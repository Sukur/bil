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24226"/>
  <mc:AlternateContent xmlns:mc="http://schemas.openxmlformats.org/markup-compatibility/2006">
    <mc:Choice Requires="x15">
      <x15ac:absPath xmlns:x15ac="http://schemas.microsoft.com/office/spreadsheetml/2010/11/ac" url="https://oworkspace.sharepoint.com/sites/germanysalesteam/Shared Documents/NVO Sales/Rate Sheets/AETEB/AET EB 01 JAN 2026/"/>
    </mc:Choice>
  </mc:AlternateContent>
  <xr:revisionPtr revIDLastSave="1547" documentId="8_{F0BD0C93-9F81-40C3-B381-E5B306D66579}" xr6:coauthVersionLast="47" xr6:coauthVersionMax="47" xr10:uidLastSave="{650476B4-B87D-4AC5-9CB6-401BDFDDEE8F}"/>
  <bookViews>
    <workbookView xWindow="-120" yWindow="-120" windowWidth="29040" windowHeight="15720" tabRatio="990" activeTab="3" xr2:uid="{00000000-000D-0000-FFFF-FFFF00000000}"/>
  </bookViews>
  <sheets>
    <sheet name="Introduction" sheetId="50" r:id="rId1"/>
    <sheet name="Lookup" sheetId="97" state="hidden" r:id="rId2"/>
    <sheet name="Rechenblatt neu" sheetId="100" state="hidden" r:id="rId3"/>
    <sheet name="Far East+Japan" sheetId="82" r:id="rId4"/>
    <sheet name="LookupK" sheetId="99" state="hidden" r:id="rId5"/>
    <sheet name="Rechenblatt Koper neu" sheetId="98" state="hidden" r:id="rId6"/>
    <sheet name="Koper+Trieste" sheetId="93" r:id="rId7"/>
    <sheet name="Intra Europe" sheetId="79" r:id="rId8"/>
    <sheet name="Middle East" sheetId="81" r:id="rId9"/>
    <sheet name="Africa" sheetId="107" r:id="rId10"/>
    <sheet name="India+Pakistan" sheetId="103" r:id="rId11"/>
    <sheet name="Australia &amp; New Zealand" sheetId="80" r:id="rId12"/>
    <sheet name="Special Equipment" sheetId="148" r:id="rId13"/>
    <sheet name="Reefer" sheetId="149" r:id="rId14"/>
    <sheet name="pick up+Inland Tariff " sheetId="132" r:id="rId15"/>
    <sheet name="Surcharges-Terms" sheetId="61" r:id="rId16"/>
    <sheet name="Restricted Prohibited Commodity" sheetId="134" r:id="rId17"/>
    <sheet name="OOG booking check list" sheetId="116" r:id="rId18"/>
  </sheets>
  <externalReferences>
    <externalReference r:id="rId19"/>
  </externalReferences>
  <definedNames>
    <definedName name="_xlnm._FilterDatabase" localSheetId="11" hidden="1">'Australia &amp; New Zealand'!#REF!</definedName>
    <definedName name="_xlnm._FilterDatabase" localSheetId="3" hidden="1">'Far East+Japan'!$B$47:$G$243</definedName>
    <definedName name="_xlnm._FilterDatabase" localSheetId="7" hidden="1">'Intra Europe'!#REF!</definedName>
    <definedName name="_xlnm._FilterDatabase" localSheetId="6" hidden="1">'Koper+Trieste'!$B$41:$G$138</definedName>
    <definedName name="_xlnm._FilterDatabase" localSheetId="8" hidden="1">'Middle East'!$C$25:$F$26</definedName>
    <definedName name="_xlnm._FilterDatabase" localSheetId="5" hidden="1">'Rechenblatt Koper neu'!$A$21:$M$120</definedName>
    <definedName name="_xlnm._FilterDatabase" localSheetId="2" hidden="1">'Rechenblatt neu'!$A$32:$M$227</definedName>
    <definedName name="_xlnm._FilterDatabase" localSheetId="13" hidden="1">Reefer!$C$17:$L$17</definedName>
    <definedName name="DAM" localSheetId="9">#REF!</definedName>
    <definedName name="DAM" localSheetId="17">#REF!</definedName>
    <definedName name="DAM" localSheetId="14">#REF!</definedName>
    <definedName name="DAM" localSheetId="5">'Rechenblatt Koper neu'!$B$4</definedName>
    <definedName name="DAM" localSheetId="2">'Rechenblatt neu'!$B$4</definedName>
    <definedName name="DAM" localSheetId="13">#REF!</definedName>
    <definedName name="DAM" localSheetId="12">#REF!</definedName>
    <definedName name="DAM">#REF!</definedName>
    <definedName name="DAMHQ" localSheetId="9">#REF!</definedName>
    <definedName name="DAMHQ" localSheetId="17">#REF!</definedName>
    <definedName name="DAMHQ" localSheetId="14">#REF!</definedName>
    <definedName name="DAMHQ" localSheetId="5">'Rechenblatt Koper neu'!$E$4</definedName>
    <definedName name="DAMHQ" localSheetId="2">'Rechenblatt neu'!$E$4</definedName>
    <definedName name="DAMHQ" localSheetId="13">#REF!</definedName>
    <definedName name="DAMHQ" localSheetId="12">#REF!</definedName>
    <definedName name="DAMHQ">#REF!</definedName>
    <definedName name="FEBP" localSheetId="9">#REF!</definedName>
    <definedName name="FEBP" localSheetId="17">#REF!</definedName>
    <definedName name="FEBP" localSheetId="14">#REF!</definedName>
    <definedName name="FEBP" localSheetId="5">'Rechenblatt Koper neu'!$B$3</definedName>
    <definedName name="FEBP" localSheetId="2">'Rechenblatt neu'!$B$3</definedName>
    <definedName name="FEBP" localSheetId="13">#REF!</definedName>
    <definedName name="FEBP" localSheetId="12">#REF!</definedName>
    <definedName name="FEBP">#REF!</definedName>
    <definedName name="FEBP20" localSheetId="9">#REF!</definedName>
    <definedName name="FEBP20" localSheetId="17">#REF!</definedName>
    <definedName name="FEBP20" localSheetId="14">#REF!</definedName>
    <definedName name="FEBP20" localSheetId="5">'Rechenblatt Koper neu'!$C$3</definedName>
    <definedName name="FEBP20" localSheetId="2">'Rechenblatt neu'!$C$3</definedName>
    <definedName name="FEBP20" localSheetId="13">#REF!</definedName>
    <definedName name="FEBP20" localSheetId="12">#REF!</definedName>
    <definedName name="FEBP20">#REF!</definedName>
    <definedName name="FEBP40" localSheetId="9">#REF!</definedName>
    <definedName name="FEBP40" localSheetId="17">#REF!</definedName>
    <definedName name="FEBP40" localSheetId="14">#REF!</definedName>
    <definedName name="FEBP40" localSheetId="5">'Rechenblatt Koper neu'!$D$3</definedName>
    <definedName name="FEBP40" localSheetId="2">'Rechenblatt neu'!$D$3</definedName>
    <definedName name="FEBP40" localSheetId="13">#REF!</definedName>
    <definedName name="FEBP40" localSheetId="12">#REF!</definedName>
    <definedName name="FEBP40">#REF!</definedName>
    <definedName name="FEBPHQ" localSheetId="9">#REF!</definedName>
    <definedName name="FEBPHQ" localSheetId="17">#REF!</definedName>
    <definedName name="FEBPHQ" localSheetId="14">#REF!</definedName>
    <definedName name="FEBPHQ" localSheetId="5">'Rechenblatt Koper neu'!$E$3</definedName>
    <definedName name="FEBPHQ" localSheetId="2">'Rechenblatt neu'!$E$3</definedName>
    <definedName name="FEBPHQ" localSheetId="13">#REF!</definedName>
    <definedName name="FEBPHQ" localSheetId="12">#REF!</definedName>
    <definedName name="FEBPHQ">#REF!</definedName>
    <definedName name="HCM" localSheetId="9">#REF!</definedName>
    <definedName name="HCM" localSheetId="17">#REF!</definedName>
    <definedName name="HCM" localSheetId="14">#REF!</definedName>
    <definedName name="HCM" localSheetId="5">'Rechenblatt Koper neu'!$B$7</definedName>
    <definedName name="HCM" localSheetId="2">'Rechenblatt neu'!$B$7</definedName>
    <definedName name="HCM" localSheetId="13">#REF!</definedName>
    <definedName name="HCM" localSheetId="12">#REF!</definedName>
    <definedName name="HCM">#REF!</definedName>
    <definedName name="JEA" localSheetId="9">#REF!</definedName>
    <definedName name="JEA" localSheetId="17">#REF!</definedName>
    <definedName name="JEA" localSheetId="14">#REF!</definedName>
    <definedName name="JEA" localSheetId="5">'Rechenblatt Koper neu'!$B$6</definedName>
    <definedName name="JEA" localSheetId="2">'Rechenblatt neu'!$B$6</definedName>
    <definedName name="JEA" localSheetId="13">#REF!</definedName>
    <definedName name="JEA" localSheetId="12">#REF!</definedName>
    <definedName name="JEA">#REF!</definedName>
    <definedName name="JEAHQ" localSheetId="9">#REF!</definedName>
    <definedName name="JEAHQ" localSheetId="17">#REF!</definedName>
    <definedName name="JEAHQ" localSheetId="14">#REF!</definedName>
    <definedName name="JEAHQ" localSheetId="5">'Rechenblatt Koper neu'!$E$6</definedName>
    <definedName name="JEAHQ" localSheetId="2">'Rechenblatt neu'!$E$6</definedName>
    <definedName name="JEAHQ" localSheetId="13">#REF!</definedName>
    <definedName name="JEAHQ" localSheetId="12">#REF!</definedName>
    <definedName name="JEAHQ">#REF!</definedName>
    <definedName name="JED" localSheetId="9">#REF!</definedName>
    <definedName name="JED" localSheetId="17">#REF!</definedName>
    <definedName name="JED" localSheetId="14">#REF!</definedName>
    <definedName name="JED" localSheetId="5">'Rechenblatt Koper neu'!$B$5</definedName>
    <definedName name="JED" localSheetId="2">'Rechenblatt neu'!$B$5</definedName>
    <definedName name="JED" localSheetId="13">#REF!</definedName>
    <definedName name="JED" localSheetId="12">#REF!</definedName>
    <definedName name="JED">#REF!</definedName>
    <definedName name="JEDHQ" localSheetId="9">#REF!</definedName>
    <definedName name="JEDHQ" localSheetId="17">#REF!</definedName>
    <definedName name="JEDHQ" localSheetId="14">#REF!</definedName>
    <definedName name="JEDHQ" localSheetId="5">'Rechenblatt Koper neu'!$E$5</definedName>
    <definedName name="JEDHQ" localSheetId="2">'Rechenblatt neu'!$E$5</definedName>
    <definedName name="JEDHQ" localSheetId="13">#REF!</definedName>
    <definedName name="JEDHQ" localSheetId="12">#REF!</definedName>
    <definedName name="JEDHQ">#REF!</definedName>
    <definedName name="JJED" localSheetId="9">#REF!</definedName>
    <definedName name="JJED" localSheetId="17">#REF!</definedName>
    <definedName name="JJED" localSheetId="14">#REF!</definedName>
    <definedName name="JJED" localSheetId="5">'Rechenblatt Koper neu'!$B$5</definedName>
    <definedName name="JJED" localSheetId="2">'Rechenblatt neu'!$B$5</definedName>
    <definedName name="JJED" localSheetId="13">#REF!</definedName>
    <definedName name="JJED" localSheetId="12">#REF!</definedName>
    <definedName name="JJED">#REF!</definedName>
    <definedName name="JKT" localSheetId="9">#REF!</definedName>
    <definedName name="JKT" localSheetId="17">#REF!</definedName>
    <definedName name="JKT" localSheetId="14">#REF!</definedName>
    <definedName name="JKT" localSheetId="5">'Rechenblatt Koper neu'!$B$8</definedName>
    <definedName name="JKT" localSheetId="2">'Rechenblatt neu'!$B$8</definedName>
    <definedName name="JKT" localSheetId="13">#REF!</definedName>
    <definedName name="JKT" localSheetId="12">#REF!</definedName>
    <definedName name="JKT">#REF!</definedName>
    <definedName name="JPB" localSheetId="9">#REF!</definedName>
    <definedName name="JPB" localSheetId="17">#REF!</definedName>
    <definedName name="JPB" localSheetId="14">#REF!</definedName>
    <definedName name="JPB" localSheetId="5">'Rechenblatt Koper neu'!$B$10</definedName>
    <definedName name="JPB" localSheetId="2">'Rechenblatt neu'!$B$11</definedName>
    <definedName name="JPB" localSheetId="13">#REF!</definedName>
    <definedName name="JPB" localSheetId="12">#REF!</definedName>
    <definedName name="JPB">#REF!</definedName>
    <definedName name="_xlnm.Print_Area" localSheetId="11">'Australia &amp; New Zealand'!$A$1:$L$82</definedName>
    <definedName name="_xlnm.Print_Area" localSheetId="3">'Far East+Japan'!$A$1:$J$309</definedName>
    <definedName name="_xlnm.Print_Area" localSheetId="7">'Intra Europe'!$A$1:$M$46</definedName>
    <definedName name="_xlnm.Print_Area" localSheetId="0">Introduction!$A$1:$H$97</definedName>
    <definedName name="_xlnm.Print_Area" localSheetId="6">'Koper+Trieste'!$A$1:$H$132</definedName>
    <definedName name="_xlnm.Print_Area" localSheetId="8">'Middle East'!$A$1:$L$53</definedName>
    <definedName name="_xlnm.Print_Area" localSheetId="14">'pick up+Inland Tariff '!$A$1:$Y$9</definedName>
    <definedName name="_xlnm.Print_Area" localSheetId="13">Reefer!$A$1:$I$100</definedName>
    <definedName name="_xlnm.Print_Area" localSheetId="12">'Special Equipment'!$A$20:$AB$212</definedName>
    <definedName name="_xlnm.Print_Area" localSheetId="15">'Surcharges-Terms'!$A$1:$R$118</definedName>
    <definedName name="RechenblattFAK" localSheetId="14">#REF!</definedName>
    <definedName name="RechenblattFAK" localSheetId="13">#REF!</definedName>
    <definedName name="RechenblattFAK">#REF!</definedName>
    <definedName name="YOK" localSheetId="9">#REF!</definedName>
    <definedName name="YOK" localSheetId="17">#REF!</definedName>
    <definedName name="YOK" localSheetId="14">#REF!</definedName>
    <definedName name="YOK" localSheetId="5">'Rechenblatt Koper neu'!$B$9</definedName>
    <definedName name="YOK" localSheetId="2">'Rechenblatt neu'!$B$10</definedName>
    <definedName name="YOK" localSheetId="13">#REF!</definedName>
    <definedName name="YOK" localSheetId="12">#REF!</definedName>
    <definedName name="YOK">#REF!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50" l="1"/>
  <c r="G23" i="107" l="1"/>
  <c r="G16" i="80"/>
  <c r="F18" i="79"/>
  <c r="F17" i="79"/>
  <c r="D12" i="82" l="1"/>
  <c r="E12" i="82"/>
  <c r="F12" i="82"/>
  <c r="D13" i="82"/>
  <c r="E13" i="82"/>
  <c r="F13" i="82"/>
  <c r="D14" i="82"/>
  <c r="E14" i="82"/>
  <c r="F14" i="82"/>
  <c r="D15" i="82"/>
  <c r="E15" i="82"/>
  <c r="F15" i="82"/>
  <c r="D16" i="82"/>
  <c r="E16" i="82"/>
  <c r="F16" i="82"/>
  <c r="D17" i="82"/>
  <c r="E17" i="82"/>
  <c r="F17" i="82"/>
  <c r="D18" i="82"/>
  <c r="E18" i="82"/>
  <c r="F18" i="82"/>
  <c r="D19" i="82"/>
  <c r="E19" i="82"/>
  <c r="F19" i="82"/>
  <c r="D20" i="82"/>
  <c r="E20" i="82"/>
  <c r="F20" i="82"/>
  <c r="D21" i="82"/>
  <c r="E21" i="82"/>
  <c r="F21" i="82"/>
  <c r="D22" i="82"/>
  <c r="E22" i="82"/>
  <c r="F22" i="82"/>
  <c r="D23" i="82"/>
  <c r="E23" i="82"/>
  <c r="F23" i="82"/>
  <c r="D24" i="82"/>
  <c r="E24" i="82"/>
  <c r="F24" i="82"/>
  <c r="F11" i="82"/>
  <c r="E11" i="82"/>
  <c r="D11" i="82"/>
  <c r="B4" i="80"/>
  <c r="B4" i="103"/>
  <c r="B4" i="107"/>
  <c r="B4" i="81"/>
  <c r="B4" i="79"/>
  <c r="B4" i="93"/>
  <c r="B4" i="82"/>
  <c r="K21" i="100"/>
  <c r="L20" i="100" l="1"/>
  <c r="M20" i="100" s="1"/>
  <c r="L21" i="100"/>
  <c r="M21" i="100" s="1"/>
  <c r="K20" i="100"/>
  <c r="A220" i="100"/>
  <c r="K220" i="100" s="1"/>
  <c r="A221" i="100"/>
  <c r="K221" i="100" s="1"/>
  <c r="A222" i="100"/>
  <c r="M222" i="100" s="1"/>
  <c r="A223" i="100"/>
  <c r="K223" i="100" s="1"/>
  <c r="A224" i="100"/>
  <c r="L224" i="100" s="1"/>
  <c r="A225" i="100"/>
  <c r="L225" i="100" s="1"/>
  <c r="A226" i="100"/>
  <c r="K226" i="100" s="1"/>
  <c r="A227" i="100"/>
  <c r="L227" i="100" s="1"/>
  <c r="K225" i="100" l="1"/>
  <c r="L222" i="100"/>
  <c r="K222" i="100"/>
  <c r="M221" i="100"/>
  <c r="M226" i="100"/>
  <c r="K224" i="100"/>
  <c r="L221" i="100"/>
  <c r="K227" i="100"/>
  <c r="L226" i="100"/>
  <c r="M223" i="100"/>
  <c r="M227" i="100"/>
  <c r="M224" i="100"/>
  <c r="L223" i="100"/>
  <c r="M220" i="100"/>
  <c r="M225" i="100"/>
  <c r="L220" i="100"/>
  <c r="E37" i="93" l="1"/>
  <c r="E36" i="93"/>
  <c r="E35" i="93"/>
  <c r="D15" i="93"/>
  <c r="D14" i="93"/>
  <c r="D13" i="93"/>
  <c r="D12" i="93"/>
  <c r="F24" i="79"/>
  <c r="E20" i="79"/>
  <c r="A113" i="98"/>
  <c r="M113" i="98" s="1"/>
  <c r="A114" i="98"/>
  <c r="M114" i="98" s="1"/>
  <c r="A115" i="98"/>
  <c r="K115" i="98" s="1"/>
  <c r="A116" i="98"/>
  <c r="L116" i="98" s="1"/>
  <c r="A117" i="98"/>
  <c r="M117" i="98" s="1"/>
  <c r="A118" i="98"/>
  <c r="K118" i="98" s="1"/>
  <c r="A119" i="98"/>
  <c r="A120" i="98"/>
  <c r="M120" i="98" s="1"/>
  <c r="L120" i="98" l="1"/>
  <c r="K120" i="98"/>
  <c r="K117" i="98"/>
  <c r="M118" i="98"/>
  <c r="L115" i="98"/>
  <c r="L117" i="98"/>
  <c r="M115" i="98"/>
  <c r="L118" i="98"/>
  <c r="K116" i="98"/>
  <c r="L113" i="98"/>
  <c r="K119" i="98"/>
  <c r="M119" i="98"/>
  <c r="L119" i="98"/>
  <c r="L114" i="98"/>
  <c r="K114" i="98"/>
  <c r="K113" i="98"/>
  <c r="M116" i="98"/>
  <c r="F15" i="103"/>
  <c r="F13" i="103"/>
  <c r="F12" i="103"/>
  <c r="D17" i="93"/>
  <c r="D21" i="93" s="1"/>
  <c r="E21" i="93"/>
  <c r="F21" i="93" s="1"/>
  <c r="F25" i="79"/>
  <c r="D18" i="93" l="1"/>
  <c r="D20" i="93"/>
  <c r="D19" i="93"/>
  <c r="F16" i="93"/>
  <c r="E17" i="93"/>
  <c r="F17" i="93" s="1"/>
  <c r="E18" i="93"/>
  <c r="E20" i="93"/>
  <c r="F20" i="93" s="1"/>
  <c r="F18" i="93" l="1"/>
  <c r="E19" i="93"/>
  <c r="E14" i="79"/>
  <c r="F14" i="79" s="1"/>
  <c r="E13" i="79"/>
  <c r="F13" i="79" s="1"/>
  <c r="E12" i="79"/>
  <c r="F12" i="79" s="1"/>
  <c r="D12" i="79"/>
  <c r="B5" i="80"/>
  <c r="B5" i="79"/>
  <c r="B5" i="107" l="1"/>
  <c r="D13" i="79" l="1"/>
  <c r="B5" i="82" l="1"/>
  <c r="B5" i="81" l="1"/>
  <c r="B5" i="103"/>
  <c r="B5" i="93"/>
  <c r="F23" i="93" l="1"/>
  <c r="F35" i="93"/>
  <c r="F36" i="93"/>
  <c r="F37" i="93"/>
  <c r="F34" i="93"/>
  <c r="G21" i="80"/>
  <c r="F12" i="81"/>
  <c r="G13" i="107" l="1"/>
  <c r="G14" i="107"/>
  <c r="G15" i="107"/>
  <c r="G16" i="107"/>
  <c r="G17" i="107"/>
  <c r="G18" i="107"/>
  <c r="G12" i="107"/>
  <c r="F14" i="103" l="1"/>
  <c r="E14" i="103"/>
  <c r="D14" i="103"/>
  <c r="F13" i="81" l="1"/>
  <c r="F21" i="79"/>
  <c r="F22" i="79"/>
  <c r="F16" i="79"/>
  <c r="F11" i="79"/>
  <c r="E13" i="93"/>
  <c r="F13" i="93" s="1"/>
  <c r="A94" i="98"/>
  <c r="A95" i="98"/>
  <c r="A96" i="98"/>
  <c r="A97" i="98"/>
  <c r="A98" i="98"/>
  <c r="A99" i="98"/>
  <c r="A100" i="98"/>
  <c r="A101" i="98"/>
  <c r="A102" i="98"/>
  <c r="A103" i="98"/>
  <c r="A104" i="98"/>
  <c r="A105" i="98"/>
  <c r="A106" i="98"/>
  <c r="A107" i="98"/>
  <c r="A108" i="98"/>
  <c r="A109" i="98"/>
  <c r="A110" i="98"/>
  <c r="A111" i="98"/>
  <c r="A112" i="98"/>
  <c r="K111" i="98" l="1"/>
  <c r="L111" i="98"/>
  <c r="M111" i="98"/>
  <c r="K102" i="98"/>
  <c r="L102" i="98"/>
  <c r="M102" i="98"/>
  <c r="L108" i="98"/>
  <c r="M108" i="98"/>
  <c r="K108" i="98"/>
  <c r="M97" i="98"/>
  <c r="K97" i="98"/>
  <c r="L97" i="98"/>
  <c r="K103" i="98"/>
  <c r="M103" i="98"/>
  <c r="L103" i="98"/>
  <c r="K95" i="98"/>
  <c r="L95" i="98"/>
  <c r="M95" i="98"/>
  <c r="K110" i="98"/>
  <c r="M110" i="98"/>
  <c r="L110" i="98"/>
  <c r="L94" i="98"/>
  <c r="K94" i="98"/>
  <c r="M94" i="98"/>
  <c r="K109" i="98"/>
  <c r="L109" i="98"/>
  <c r="M109" i="98"/>
  <c r="K101" i="98"/>
  <c r="L101" i="98"/>
  <c r="M101" i="98"/>
  <c r="L100" i="98"/>
  <c r="M100" i="98"/>
  <c r="K100" i="98"/>
  <c r="L107" i="98"/>
  <c r="K107" i="98"/>
  <c r="M107" i="98"/>
  <c r="K99" i="98"/>
  <c r="M99" i="98"/>
  <c r="L99" i="98"/>
  <c r="K106" i="98"/>
  <c r="L106" i="98"/>
  <c r="M106" i="98"/>
  <c r="L98" i="98"/>
  <c r="K98" i="98"/>
  <c r="M98" i="98"/>
  <c r="M105" i="98"/>
  <c r="K105" i="98"/>
  <c r="L105" i="98"/>
  <c r="K112" i="98"/>
  <c r="L112" i="98"/>
  <c r="M112" i="98"/>
  <c r="M104" i="98"/>
  <c r="K104" i="98"/>
  <c r="L104" i="98"/>
  <c r="L96" i="98"/>
  <c r="M96" i="98"/>
  <c r="K96" i="98"/>
  <c r="E14" i="93"/>
  <c r="F14" i="93" s="1"/>
  <c r="E15" i="93"/>
  <c r="F11" i="93"/>
  <c r="E12" i="93"/>
  <c r="F12" i="93" s="1"/>
  <c r="F15" i="93" l="1"/>
  <c r="F19" i="93"/>
  <c r="D9" i="100"/>
  <c r="E9" i="100" s="1"/>
  <c r="C9" i="100"/>
  <c r="K42" i="100"/>
  <c r="L42" i="100"/>
  <c r="M42" i="100"/>
  <c r="A200" i="100"/>
  <c r="M200" i="100" s="1"/>
  <c r="A201" i="100"/>
  <c r="L201" i="100" s="1"/>
  <c r="A202" i="100"/>
  <c r="L202" i="100" s="1"/>
  <c r="A203" i="100"/>
  <c r="A204" i="100"/>
  <c r="K204" i="100" s="1"/>
  <c r="A205" i="100"/>
  <c r="A206" i="100"/>
  <c r="K206" i="100" s="1"/>
  <c r="A207" i="100"/>
  <c r="A208" i="100"/>
  <c r="A209" i="100"/>
  <c r="L209" i="100" s="1"/>
  <c r="A210" i="100"/>
  <c r="A211" i="100"/>
  <c r="K211" i="100" s="1"/>
  <c r="A212" i="100"/>
  <c r="K212" i="100" s="1"/>
  <c r="A213" i="100"/>
  <c r="K213" i="100" s="1"/>
  <c r="A214" i="100"/>
  <c r="M214" i="100" s="1"/>
  <c r="A215" i="100"/>
  <c r="A216" i="100"/>
  <c r="L216" i="100" s="1"/>
  <c r="A217" i="100"/>
  <c r="M217" i="100" s="1"/>
  <c r="A218" i="100"/>
  <c r="K218" i="100" s="1"/>
  <c r="A219" i="100"/>
  <c r="K219" i="100" s="1"/>
  <c r="D32" i="93"/>
  <c r="M207" i="100" l="1"/>
  <c r="M211" i="100"/>
  <c r="K205" i="100"/>
  <c r="L206" i="100"/>
  <c r="L200" i="100"/>
  <c r="M218" i="100"/>
  <c r="K209" i="100"/>
  <c r="L207" i="100"/>
  <c r="K216" i="100"/>
  <c r="M204" i="100"/>
  <c r="L214" i="100"/>
  <c r="K202" i="100"/>
  <c r="L213" i="100"/>
  <c r="K201" i="100"/>
  <c r="K203" i="100"/>
  <c r="L203" i="100"/>
  <c r="K217" i="100"/>
  <c r="L217" i="100"/>
  <c r="K210" i="100"/>
  <c r="L210" i="100"/>
  <c r="M203" i="100"/>
  <c r="K215" i="100"/>
  <c r="L215" i="100"/>
  <c r="M215" i="100"/>
  <c r="K208" i="100"/>
  <c r="L208" i="100"/>
  <c r="M208" i="100"/>
  <c r="M210" i="100"/>
  <c r="L218" i="100"/>
  <c r="M216" i="100"/>
  <c r="K214" i="100"/>
  <c r="L211" i="100"/>
  <c r="M209" i="100"/>
  <c r="K207" i="100"/>
  <c r="L204" i="100"/>
  <c r="M201" i="100"/>
  <c r="K200" i="100"/>
  <c r="M213" i="100"/>
  <c r="M206" i="100"/>
  <c r="M219" i="100"/>
  <c r="M212" i="100"/>
  <c r="M205" i="100"/>
  <c r="L219" i="100"/>
  <c r="L212" i="100"/>
  <c r="L205" i="100"/>
  <c r="M202" i="100"/>
  <c r="A194" i="100"/>
  <c r="A195" i="100"/>
  <c r="A196" i="100"/>
  <c r="A197" i="100"/>
  <c r="A198" i="100"/>
  <c r="A199" i="100"/>
  <c r="L194" i="100" l="1"/>
  <c r="M194" i="100"/>
  <c r="K194" i="100"/>
  <c r="L195" i="100"/>
  <c r="M195" i="100"/>
  <c r="K195" i="100"/>
  <c r="K196" i="100"/>
  <c r="L196" i="100"/>
  <c r="M196" i="100"/>
  <c r="K198" i="100"/>
  <c r="L198" i="100"/>
  <c r="M198" i="100"/>
  <c r="K199" i="100"/>
  <c r="M199" i="100"/>
  <c r="L199" i="100"/>
  <c r="K197" i="100"/>
  <c r="L197" i="100"/>
  <c r="M197" i="100"/>
  <c r="A83" i="98"/>
  <c r="A84" i="98"/>
  <c r="A85" i="98"/>
  <c r="A86" i="98"/>
  <c r="A87" i="98"/>
  <c r="A88" i="98"/>
  <c r="A89" i="98"/>
  <c r="A90" i="98"/>
  <c r="A91" i="98"/>
  <c r="A92" i="98"/>
  <c r="A93" i="98"/>
  <c r="K88" i="98" l="1"/>
  <c r="L88" i="98"/>
  <c r="M88" i="98"/>
  <c r="K87" i="98"/>
  <c r="L87" i="98"/>
  <c r="M87" i="98"/>
  <c r="K86" i="98"/>
  <c r="L86" i="98"/>
  <c r="M86" i="98"/>
  <c r="K93" i="98"/>
  <c r="L93" i="98"/>
  <c r="M93" i="98"/>
  <c r="K85" i="98"/>
  <c r="M85" i="98"/>
  <c r="L85" i="98"/>
  <c r="L92" i="98"/>
  <c r="M92" i="98"/>
  <c r="K92" i="98"/>
  <c r="L84" i="98"/>
  <c r="M84" i="98"/>
  <c r="K84" i="98"/>
  <c r="M91" i="98"/>
  <c r="K91" i="98"/>
  <c r="L91" i="98"/>
  <c r="L90" i="98"/>
  <c r="K90" i="98"/>
  <c r="M90" i="98"/>
  <c r="L83" i="98"/>
  <c r="M83" i="98"/>
  <c r="K83" i="98"/>
  <c r="M89" i="98"/>
  <c r="K89" i="98"/>
  <c r="L89" i="98"/>
  <c r="A82" i="100"/>
  <c r="B26" i="97"/>
  <c r="D14" i="79" l="1"/>
  <c r="K82" i="100"/>
  <c r="L82" i="100"/>
  <c r="M82" i="100"/>
  <c r="A28" i="100"/>
  <c r="K28" i="100" l="1"/>
  <c r="L28" i="100"/>
  <c r="M28" i="100" s="1"/>
  <c r="A72" i="98"/>
  <c r="A73" i="98"/>
  <c r="A74" i="98"/>
  <c r="A75" i="98"/>
  <c r="A76" i="98"/>
  <c r="A77" i="98"/>
  <c r="A78" i="98"/>
  <c r="A79" i="98"/>
  <c r="A80" i="98"/>
  <c r="A81" i="98"/>
  <c r="A82" i="98"/>
  <c r="M73" i="98" l="1"/>
  <c r="K73" i="98"/>
  <c r="L73" i="98"/>
  <c r="L76" i="98"/>
  <c r="M76" i="98"/>
  <c r="K76" i="98"/>
  <c r="K72" i="98"/>
  <c r="L72" i="98"/>
  <c r="M72" i="98"/>
  <c r="K77" i="98"/>
  <c r="L77" i="98"/>
  <c r="M77" i="98"/>
  <c r="K75" i="98"/>
  <c r="L75" i="98"/>
  <c r="M75" i="98"/>
  <c r="L82" i="98"/>
  <c r="K82" i="98"/>
  <c r="M82" i="98"/>
  <c r="M81" i="98"/>
  <c r="L81" i="98"/>
  <c r="K81" i="98"/>
  <c r="K80" i="98"/>
  <c r="L80" i="98"/>
  <c r="M80" i="98"/>
  <c r="K79" i="98"/>
  <c r="L79" i="98"/>
  <c r="M79" i="98"/>
  <c r="K74" i="98"/>
  <c r="L74" i="98"/>
  <c r="M74" i="98"/>
  <c r="M78" i="98"/>
  <c r="K78" i="98"/>
  <c r="L78" i="98"/>
  <c r="B23" i="99"/>
  <c r="A69" i="98" l="1"/>
  <c r="A70" i="98"/>
  <c r="A71" i="98"/>
  <c r="B21" i="99"/>
  <c r="B22" i="99"/>
  <c r="B20" i="99"/>
  <c r="B19" i="99"/>
  <c r="A42" i="98"/>
  <c r="A43" i="98"/>
  <c r="A44" i="98"/>
  <c r="A45" i="98"/>
  <c r="A46" i="98"/>
  <c r="A47" i="98"/>
  <c r="A48" i="98"/>
  <c r="A49" i="98"/>
  <c r="A50" i="98"/>
  <c r="A51" i="98"/>
  <c r="A52" i="98"/>
  <c r="A53" i="98"/>
  <c r="A54" i="98"/>
  <c r="A55" i="98"/>
  <c r="A56" i="98"/>
  <c r="A57" i="98"/>
  <c r="A58" i="98"/>
  <c r="A59" i="98"/>
  <c r="A60" i="98"/>
  <c r="A61" i="98"/>
  <c r="A62" i="98"/>
  <c r="A63" i="98"/>
  <c r="A64" i="98"/>
  <c r="A65" i="98"/>
  <c r="A66" i="98"/>
  <c r="A67" i="98"/>
  <c r="A68" i="98"/>
  <c r="F32" i="93"/>
  <c r="E32" i="93"/>
  <c r="K58" i="98" l="1"/>
  <c r="L58" i="98"/>
  <c r="M58" i="98"/>
  <c r="M65" i="98"/>
  <c r="L65" i="98"/>
  <c r="K65" i="98"/>
  <c r="L64" i="98"/>
  <c r="M64" i="98"/>
  <c r="K64" i="98"/>
  <c r="K62" i="98"/>
  <c r="L62" i="98"/>
  <c r="M62" i="98"/>
  <c r="K54" i="98"/>
  <c r="L54" i="98"/>
  <c r="M54" i="98"/>
  <c r="M46" i="98"/>
  <c r="K46" i="98"/>
  <c r="L46" i="98"/>
  <c r="K50" i="98"/>
  <c r="L50" i="98"/>
  <c r="M50" i="98"/>
  <c r="M49" i="98"/>
  <c r="K49" i="98"/>
  <c r="L49" i="98"/>
  <c r="K47" i="98"/>
  <c r="M47" i="98"/>
  <c r="L47" i="98"/>
  <c r="K61" i="98"/>
  <c r="L61" i="98"/>
  <c r="M61" i="98"/>
  <c r="K53" i="98"/>
  <c r="M53" i="98"/>
  <c r="L53" i="98"/>
  <c r="K45" i="98"/>
  <c r="L45" i="98"/>
  <c r="M45" i="98"/>
  <c r="K71" i="98"/>
  <c r="M71" i="98"/>
  <c r="L71" i="98"/>
  <c r="K56" i="98"/>
  <c r="L56" i="98"/>
  <c r="M56" i="98"/>
  <c r="K63" i="98"/>
  <c r="M63" i="98"/>
  <c r="L63" i="98"/>
  <c r="L68" i="98"/>
  <c r="M68" i="98"/>
  <c r="K68" i="98"/>
  <c r="L60" i="98"/>
  <c r="M60" i="98"/>
  <c r="K60" i="98"/>
  <c r="L52" i="98"/>
  <c r="M52" i="98"/>
  <c r="K52" i="98"/>
  <c r="L44" i="98"/>
  <c r="M44" i="98"/>
  <c r="K44" i="98"/>
  <c r="L70" i="98"/>
  <c r="M70" i="98"/>
  <c r="K70" i="98"/>
  <c r="K66" i="98"/>
  <c r="L66" i="98"/>
  <c r="M66" i="98"/>
  <c r="K42" i="98"/>
  <c r="L42" i="98"/>
  <c r="M42" i="98"/>
  <c r="M57" i="98"/>
  <c r="L57" i="98"/>
  <c r="K57" i="98"/>
  <c r="K48" i="98"/>
  <c r="L48" i="98"/>
  <c r="M48" i="98"/>
  <c r="K55" i="98"/>
  <c r="M55" i="98"/>
  <c r="L55" i="98"/>
  <c r="K67" i="98"/>
  <c r="L67" i="98"/>
  <c r="M67" i="98"/>
  <c r="K59" i="98"/>
  <c r="L59" i="98"/>
  <c r="M59" i="98"/>
  <c r="L51" i="98"/>
  <c r="K51" i="98"/>
  <c r="M51" i="98"/>
  <c r="K43" i="98"/>
  <c r="L43" i="98"/>
  <c r="M43" i="98"/>
  <c r="K69" i="98"/>
  <c r="L69" i="98"/>
  <c r="M69" i="98"/>
  <c r="F25" i="80"/>
  <c r="G25" i="80" s="1"/>
  <c r="F24" i="80"/>
  <c r="G24" i="80" s="1"/>
  <c r="F23" i="80"/>
  <c r="G23" i="80" s="1"/>
  <c r="F22" i="80"/>
  <c r="G22" i="80" s="1"/>
  <c r="E25" i="80"/>
  <c r="E24" i="80"/>
  <c r="E23" i="80"/>
  <c r="E22" i="80"/>
  <c r="F15" i="80"/>
  <c r="F14" i="80"/>
  <c r="G14" i="80" s="1"/>
  <c r="F13" i="80"/>
  <c r="G13" i="80" s="1"/>
  <c r="F12" i="80"/>
  <c r="G12" i="80" s="1"/>
  <c r="E13" i="80"/>
  <c r="E12" i="80" s="1"/>
  <c r="F17" i="80" l="1"/>
  <c r="G17" i="80" s="1"/>
  <c r="G15" i="80"/>
  <c r="E14" i="80"/>
  <c r="E15" i="80" s="1"/>
  <c r="E17" i="80" s="1"/>
  <c r="A34" i="100" l="1"/>
  <c r="A35" i="100"/>
  <c r="A36" i="100"/>
  <c r="A37" i="100"/>
  <c r="A38" i="100"/>
  <c r="A39" i="100"/>
  <c r="A40" i="100"/>
  <c r="A41" i="100"/>
  <c r="A43" i="100"/>
  <c r="A44" i="100"/>
  <c r="A45" i="100"/>
  <c r="A46" i="100"/>
  <c r="A47" i="100"/>
  <c r="A48" i="100"/>
  <c r="A49" i="100"/>
  <c r="A50" i="100"/>
  <c r="A51" i="100"/>
  <c r="A52" i="100"/>
  <c r="A53" i="100"/>
  <c r="A54" i="100"/>
  <c r="A55" i="100"/>
  <c r="A56" i="100"/>
  <c r="A57" i="100"/>
  <c r="A58" i="100"/>
  <c r="A59" i="100"/>
  <c r="A60" i="100"/>
  <c r="A61" i="100"/>
  <c r="A62" i="100"/>
  <c r="A63" i="100"/>
  <c r="A64" i="100"/>
  <c r="A65" i="100"/>
  <c r="A66" i="100"/>
  <c r="A67" i="100"/>
  <c r="A68" i="100"/>
  <c r="A69" i="100"/>
  <c r="A70" i="100"/>
  <c r="A71" i="100"/>
  <c r="A72" i="100"/>
  <c r="A73" i="100"/>
  <c r="A74" i="100"/>
  <c r="A75" i="100"/>
  <c r="A76" i="100"/>
  <c r="A77" i="100"/>
  <c r="A78" i="100"/>
  <c r="A79" i="100"/>
  <c r="A80" i="100"/>
  <c r="A81" i="100"/>
  <c r="A83" i="100"/>
  <c r="A84" i="100"/>
  <c r="A85" i="100"/>
  <c r="A86" i="100"/>
  <c r="A87" i="100"/>
  <c r="A88" i="100"/>
  <c r="A89" i="100"/>
  <c r="A90" i="100"/>
  <c r="A91" i="100"/>
  <c r="A92" i="100"/>
  <c r="A93" i="100"/>
  <c r="A94" i="100"/>
  <c r="A95" i="100"/>
  <c r="A96" i="100"/>
  <c r="A97" i="100"/>
  <c r="A98" i="100"/>
  <c r="A99" i="100"/>
  <c r="A100" i="100"/>
  <c r="A101" i="100"/>
  <c r="A102" i="100"/>
  <c r="A103" i="100"/>
  <c r="A104" i="100"/>
  <c r="A105" i="100"/>
  <c r="A106" i="100"/>
  <c r="A107" i="100"/>
  <c r="A108" i="100"/>
  <c r="A109" i="100"/>
  <c r="A110" i="100"/>
  <c r="A111" i="100"/>
  <c r="A112" i="100"/>
  <c r="A113" i="100"/>
  <c r="A114" i="100"/>
  <c r="A115" i="100"/>
  <c r="A116" i="100"/>
  <c r="A117" i="100"/>
  <c r="A118" i="100"/>
  <c r="A119" i="100"/>
  <c r="A120" i="100"/>
  <c r="A121" i="100"/>
  <c r="A122" i="100"/>
  <c r="A123" i="100"/>
  <c r="A124" i="100"/>
  <c r="A125" i="100"/>
  <c r="A126" i="100"/>
  <c r="A127" i="100"/>
  <c r="A128" i="100"/>
  <c r="A129" i="100"/>
  <c r="A130" i="100"/>
  <c r="A131" i="100"/>
  <c r="A132" i="100"/>
  <c r="A133" i="100"/>
  <c r="A134" i="100"/>
  <c r="A135" i="100"/>
  <c r="A136" i="100"/>
  <c r="A137" i="100"/>
  <c r="A138" i="100"/>
  <c r="A139" i="100"/>
  <c r="A140" i="100"/>
  <c r="A141" i="100"/>
  <c r="A142" i="100"/>
  <c r="A143" i="100"/>
  <c r="A144" i="100"/>
  <c r="A145" i="100"/>
  <c r="A146" i="100"/>
  <c r="A147" i="100"/>
  <c r="A148" i="100"/>
  <c r="A149" i="100"/>
  <c r="A150" i="100"/>
  <c r="A151" i="100"/>
  <c r="A152" i="100"/>
  <c r="A153" i="100"/>
  <c r="A154" i="100"/>
  <c r="A155" i="100"/>
  <c r="A156" i="100"/>
  <c r="A157" i="100"/>
  <c r="A158" i="100"/>
  <c r="A159" i="100"/>
  <c r="A160" i="100"/>
  <c r="A161" i="100"/>
  <c r="A162" i="100"/>
  <c r="A163" i="100"/>
  <c r="A164" i="100"/>
  <c r="A165" i="100"/>
  <c r="A166" i="100"/>
  <c r="A167" i="100"/>
  <c r="A168" i="100"/>
  <c r="A169" i="100"/>
  <c r="A170" i="100"/>
  <c r="A171" i="100"/>
  <c r="A172" i="100"/>
  <c r="A173" i="100"/>
  <c r="A174" i="100"/>
  <c r="A175" i="100"/>
  <c r="A176" i="100"/>
  <c r="A177" i="100"/>
  <c r="A178" i="100"/>
  <c r="A179" i="100"/>
  <c r="A180" i="100"/>
  <c r="A181" i="100"/>
  <c r="A182" i="100"/>
  <c r="A183" i="100"/>
  <c r="A184" i="100"/>
  <c r="A185" i="100"/>
  <c r="A186" i="100"/>
  <c r="A187" i="100"/>
  <c r="A188" i="100"/>
  <c r="A189" i="100"/>
  <c r="A190" i="100"/>
  <c r="A191" i="100"/>
  <c r="A192" i="100"/>
  <c r="A193" i="100"/>
  <c r="L166" i="100" l="1"/>
  <c r="M166" i="100"/>
  <c r="K166" i="100"/>
  <c r="L136" i="100"/>
  <c r="M136" i="100"/>
  <c r="K136" i="100"/>
  <c r="L88" i="100"/>
  <c r="M88" i="100"/>
  <c r="K88" i="100"/>
  <c r="K58" i="100"/>
  <c r="L58" i="100"/>
  <c r="M58" i="100"/>
  <c r="L172" i="100"/>
  <c r="M172" i="100"/>
  <c r="K172" i="100"/>
  <c r="K127" i="100"/>
  <c r="L127" i="100"/>
  <c r="M127" i="100"/>
  <c r="K87" i="100"/>
  <c r="L87" i="100"/>
  <c r="M87" i="100"/>
  <c r="K49" i="100"/>
  <c r="L49" i="100"/>
  <c r="M49" i="100"/>
  <c r="K171" i="100"/>
  <c r="L171" i="100"/>
  <c r="M171" i="100"/>
  <c r="K126" i="100"/>
  <c r="L126" i="100"/>
  <c r="M126" i="100"/>
  <c r="K86" i="100"/>
  <c r="L86" i="100"/>
  <c r="M86" i="100"/>
  <c r="M48" i="100"/>
  <c r="L48" i="100"/>
  <c r="K48" i="100"/>
  <c r="M163" i="100"/>
  <c r="K163" i="100"/>
  <c r="L163" i="100"/>
  <c r="M155" i="100"/>
  <c r="K155" i="100"/>
  <c r="L155" i="100"/>
  <c r="M149" i="100"/>
  <c r="K149" i="100"/>
  <c r="L149" i="100"/>
  <c r="M141" i="100"/>
  <c r="K141" i="100"/>
  <c r="L141" i="100"/>
  <c r="M133" i="100"/>
  <c r="K133" i="100"/>
  <c r="L133" i="100"/>
  <c r="M125" i="100"/>
  <c r="K125" i="100"/>
  <c r="L125" i="100"/>
  <c r="M117" i="100"/>
  <c r="K117" i="100"/>
  <c r="L117" i="100"/>
  <c r="M109" i="100"/>
  <c r="K109" i="100"/>
  <c r="L109" i="100"/>
  <c r="M101" i="100"/>
  <c r="K101" i="100"/>
  <c r="L101" i="100"/>
  <c r="M93" i="100"/>
  <c r="K93" i="100"/>
  <c r="L93" i="100"/>
  <c r="M85" i="100"/>
  <c r="K85" i="100"/>
  <c r="L85" i="100"/>
  <c r="L79" i="100"/>
  <c r="K79" i="100"/>
  <c r="M79" i="100"/>
  <c r="L71" i="100"/>
  <c r="K71" i="100"/>
  <c r="M71" i="100"/>
  <c r="L63" i="100"/>
  <c r="K63" i="100"/>
  <c r="M63" i="100"/>
  <c r="L55" i="100"/>
  <c r="K55" i="100"/>
  <c r="M55" i="100"/>
  <c r="L47" i="100"/>
  <c r="K47" i="100"/>
  <c r="M47" i="100"/>
  <c r="K38" i="100"/>
  <c r="L38" i="100"/>
  <c r="M38" i="100"/>
  <c r="L158" i="100"/>
  <c r="M158" i="100"/>
  <c r="K158" i="100"/>
  <c r="L112" i="100"/>
  <c r="M112" i="100"/>
  <c r="K112" i="100"/>
  <c r="K74" i="100"/>
  <c r="L74" i="100"/>
  <c r="M74" i="100"/>
  <c r="L186" i="100"/>
  <c r="M186" i="100"/>
  <c r="K186" i="100"/>
  <c r="K119" i="100"/>
  <c r="L119" i="100"/>
  <c r="M119" i="100"/>
  <c r="K95" i="100"/>
  <c r="L95" i="100"/>
  <c r="M95" i="100"/>
  <c r="K65" i="100"/>
  <c r="L65" i="100"/>
  <c r="M65" i="100"/>
  <c r="K177" i="100"/>
  <c r="L177" i="100"/>
  <c r="M177" i="100"/>
  <c r="K142" i="100"/>
  <c r="L142" i="100"/>
  <c r="M142" i="100"/>
  <c r="K110" i="100"/>
  <c r="L110" i="100"/>
  <c r="M110" i="100"/>
  <c r="M72" i="100"/>
  <c r="K72" i="100"/>
  <c r="L72" i="100"/>
  <c r="K191" i="100"/>
  <c r="M191" i="100"/>
  <c r="L191" i="100"/>
  <c r="K183" i="100"/>
  <c r="M183" i="100"/>
  <c r="L183" i="100"/>
  <c r="K176" i="100"/>
  <c r="M176" i="100"/>
  <c r="L176" i="100"/>
  <c r="K170" i="100"/>
  <c r="M170" i="100"/>
  <c r="L170" i="100"/>
  <c r="K162" i="100"/>
  <c r="M162" i="100"/>
  <c r="L162" i="100"/>
  <c r="K154" i="100"/>
  <c r="M154" i="100"/>
  <c r="L154" i="100"/>
  <c r="K148" i="100"/>
  <c r="M148" i="100"/>
  <c r="L148" i="100"/>
  <c r="K140" i="100"/>
  <c r="L140" i="100"/>
  <c r="M140" i="100"/>
  <c r="L132" i="100"/>
  <c r="K132" i="100"/>
  <c r="M132" i="100"/>
  <c r="L124" i="100"/>
  <c r="K124" i="100"/>
  <c r="M124" i="100"/>
  <c r="K116" i="100"/>
  <c r="L116" i="100"/>
  <c r="M116" i="100"/>
  <c r="L108" i="100"/>
  <c r="K108" i="100"/>
  <c r="M108" i="100"/>
  <c r="L100" i="100"/>
  <c r="K100" i="100"/>
  <c r="M100" i="100"/>
  <c r="K92" i="100"/>
  <c r="L92" i="100"/>
  <c r="M92" i="100"/>
  <c r="L84" i="100"/>
  <c r="K84" i="100"/>
  <c r="M84" i="100"/>
  <c r="K78" i="100"/>
  <c r="L78" i="100"/>
  <c r="M78" i="100"/>
  <c r="K70" i="100"/>
  <c r="L70" i="100"/>
  <c r="M70" i="100"/>
  <c r="K62" i="100"/>
  <c r="L62" i="100"/>
  <c r="M62" i="100"/>
  <c r="K54" i="100"/>
  <c r="L54" i="100"/>
  <c r="M54" i="100"/>
  <c r="K46" i="100"/>
  <c r="L46" i="100"/>
  <c r="M46" i="100"/>
  <c r="K37" i="100"/>
  <c r="L37" i="100"/>
  <c r="M37" i="100"/>
  <c r="L179" i="100"/>
  <c r="M179" i="100"/>
  <c r="K179" i="100"/>
  <c r="L128" i="100"/>
  <c r="M128" i="100"/>
  <c r="K128" i="100"/>
  <c r="L96" i="100"/>
  <c r="M96" i="100"/>
  <c r="K96" i="100"/>
  <c r="K50" i="100"/>
  <c r="L50" i="100"/>
  <c r="M50" i="100"/>
  <c r="L178" i="100"/>
  <c r="M178" i="100"/>
  <c r="K178" i="100"/>
  <c r="L143" i="100"/>
  <c r="M143" i="100"/>
  <c r="K143" i="100"/>
  <c r="K103" i="100"/>
  <c r="L103" i="100"/>
  <c r="M103" i="100"/>
  <c r="K57" i="100"/>
  <c r="L57" i="100"/>
  <c r="M57" i="100"/>
  <c r="K185" i="100"/>
  <c r="L185" i="100"/>
  <c r="M185" i="100"/>
  <c r="K150" i="100"/>
  <c r="L150" i="100"/>
  <c r="M150" i="100"/>
  <c r="K118" i="100"/>
  <c r="L118" i="100"/>
  <c r="M118" i="100"/>
  <c r="M80" i="100"/>
  <c r="K80" i="100"/>
  <c r="L80" i="100"/>
  <c r="M56" i="100"/>
  <c r="L56" i="100"/>
  <c r="K56" i="100"/>
  <c r="M192" i="100"/>
  <c r="K192" i="100"/>
  <c r="L192" i="100"/>
  <c r="K190" i="100"/>
  <c r="L190" i="100"/>
  <c r="M190" i="100"/>
  <c r="K182" i="100"/>
  <c r="L182" i="100"/>
  <c r="M182" i="100"/>
  <c r="K175" i="100"/>
  <c r="L175" i="100"/>
  <c r="M175" i="100"/>
  <c r="K169" i="100"/>
  <c r="L169" i="100"/>
  <c r="M169" i="100"/>
  <c r="K161" i="100"/>
  <c r="L161" i="100"/>
  <c r="M161" i="100"/>
  <c r="K153" i="100"/>
  <c r="L153" i="100"/>
  <c r="M153" i="100"/>
  <c r="K147" i="100"/>
  <c r="L147" i="100"/>
  <c r="M147" i="100"/>
  <c r="K139" i="100"/>
  <c r="L139" i="100"/>
  <c r="M139" i="100"/>
  <c r="K131" i="100"/>
  <c r="L131" i="100"/>
  <c r="M131" i="100"/>
  <c r="K123" i="100"/>
  <c r="L123" i="100"/>
  <c r="M123" i="100"/>
  <c r="K115" i="100"/>
  <c r="L115" i="100"/>
  <c r="M115" i="100"/>
  <c r="K107" i="100"/>
  <c r="L107" i="100"/>
  <c r="M107" i="100"/>
  <c r="K99" i="100"/>
  <c r="L99" i="100"/>
  <c r="M99" i="100"/>
  <c r="K91" i="100"/>
  <c r="L91" i="100"/>
  <c r="M91" i="100"/>
  <c r="K83" i="100"/>
  <c r="L83" i="100"/>
  <c r="M83" i="100"/>
  <c r="K77" i="100"/>
  <c r="L77" i="100"/>
  <c r="M77" i="100"/>
  <c r="K69" i="100"/>
  <c r="L69" i="100"/>
  <c r="M69" i="100"/>
  <c r="K61" i="100"/>
  <c r="L61" i="100"/>
  <c r="M61" i="100"/>
  <c r="K53" i="100"/>
  <c r="M53" i="100"/>
  <c r="L53" i="100"/>
  <c r="K45" i="100"/>
  <c r="M45" i="100"/>
  <c r="L45" i="100"/>
  <c r="K36" i="100"/>
  <c r="M36" i="100"/>
  <c r="L36" i="100"/>
  <c r="L187" i="100"/>
  <c r="M187" i="100"/>
  <c r="K187" i="100"/>
  <c r="L120" i="100"/>
  <c r="M120" i="100"/>
  <c r="K120" i="100"/>
  <c r="K41" i="100"/>
  <c r="L41" i="100"/>
  <c r="M41" i="100"/>
  <c r="L157" i="100"/>
  <c r="M157" i="100"/>
  <c r="K157" i="100"/>
  <c r="K111" i="100"/>
  <c r="L111" i="100"/>
  <c r="M111" i="100"/>
  <c r="K81" i="100"/>
  <c r="L81" i="100"/>
  <c r="M81" i="100"/>
  <c r="M40" i="100"/>
  <c r="L40" i="100"/>
  <c r="K40" i="100"/>
  <c r="K164" i="100"/>
  <c r="L164" i="100"/>
  <c r="M164" i="100"/>
  <c r="K102" i="100"/>
  <c r="L102" i="100"/>
  <c r="M102" i="100"/>
  <c r="M64" i="100"/>
  <c r="K64" i="100"/>
  <c r="L64" i="100"/>
  <c r="M184" i="100"/>
  <c r="K184" i="100"/>
  <c r="L184" i="100"/>
  <c r="K189" i="100"/>
  <c r="L189" i="100"/>
  <c r="M189" i="100"/>
  <c r="K181" i="100"/>
  <c r="L181" i="100"/>
  <c r="M181" i="100"/>
  <c r="K174" i="100"/>
  <c r="L174" i="100"/>
  <c r="M174" i="100"/>
  <c r="K168" i="100"/>
  <c r="L168" i="100"/>
  <c r="M168" i="100"/>
  <c r="K160" i="100"/>
  <c r="L160" i="100"/>
  <c r="M160" i="100"/>
  <c r="K152" i="100"/>
  <c r="L152" i="100"/>
  <c r="M152" i="100"/>
  <c r="K146" i="100"/>
  <c r="L146" i="100"/>
  <c r="M146" i="100"/>
  <c r="K138" i="100"/>
  <c r="L138" i="100"/>
  <c r="M138" i="100"/>
  <c r="K130" i="100"/>
  <c r="L130" i="100"/>
  <c r="M130" i="100"/>
  <c r="K122" i="100"/>
  <c r="L122" i="100"/>
  <c r="M122" i="100"/>
  <c r="K114" i="100"/>
  <c r="L114" i="100"/>
  <c r="M114" i="100"/>
  <c r="K106" i="100"/>
  <c r="L106" i="100"/>
  <c r="M106" i="100"/>
  <c r="K98" i="100"/>
  <c r="L98" i="100"/>
  <c r="M98" i="100"/>
  <c r="K90" i="100"/>
  <c r="L90" i="100"/>
  <c r="M90" i="100"/>
  <c r="K76" i="100"/>
  <c r="L76" i="100"/>
  <c r="M76" i="100"/>
  <c r="K68" i="100"/>
  <c r="L68" i="100"/>
  <c r="M68" i="100"/>
  <c r="K60" i="100"/>
  <c r="L60" i="100"/>
  <c r="M60" i="100"/>
  <c r="K52" i="100"/>
  <c r="L52" i="100"/>
  <c r="M52" i="100"/>
  <c r="M44" i="100"/>
  <c r="K44" i="100"/>
  <c r="L44" i="100"/>
  <c r="L35" i="100"/>
  <c r="M35" i="100"/>
  <c r="K35" i="100"/>
  <c r="L144" i="100"/>
  <c r="M144" i="100"/>
  <c r="K144" i="100"/>
  <c r="L104" i="100"/>
  <c r="M104" i="100"/>
  <c r="K104" i="100"/>
  <c r="K66" i="100"/>
  <c r="L66" i="100"/>
  <c r="M66" i="100"/>
  <c r="L165" i="100"/>
  <c r="M165" i="100"/>
  <c r="K165" i="100"/>
  <c r="K135" i="100"/>
  <c r="L135" i="100"/>
  <c r="M135" i="100"/>
  <c r="K73" i="100"/>
  <c r="L73" i="100"/>
  <c r="M73" i="100"/>
  <c r="K193" i="100"/>
  <c r="L193" i="100"/>
  <c r="M193" i="100"/>
  <c r="K156" i="100"/>
  <c r="L156" i="100"/>
  <c r="M156" i="100"/>
  <c r="K134" i="100"/>
  <c r="L134" i="100"/>
  <c r="M134" i="100"/>
  <c r="K94" i="100"/>
  <c r="L94" i="100"/>
  <c r="M94" i="100"/>
  <c r="K39" i="100"/>
  <c r="L39" i="100"/>
  <c r="M39" i="100"/>
  <c r="K188" i="100"/>
  <c r="L188" i="100"/>
  <c r="M188" i="100"/>
  <c r="K180" i="100"/>
  <c r="L180" i="100"/>
  <c r="M180" i="100"/>
  <c r="K173" i="100"/>
  <c r="L173" i="100"/>
  <c r="M173" i="100"/>
  <c r="K167" i="100"/>
  <c r="L167" i="100"/>
  <c r="M167" i="100"/>
  <c r="K159" i="100"/>
  <c r="L159" i="100"/>
  <c r="M159" i="100"/>
  <c r="K151" i="100"/>
  <c r="L151" i="100"/>
  <c r="M151" i="100"/>
  <c r="M145" i="100"/>
  <c r="K145" i="100"/>
  <c r="L145" i="100"/>
  <c r="K137" i="100"/>
  <c r="L137" i="100"/>
  <c r="M137" i="100"/>
  <c r="K129" i="100"/>
  <c r="M129" i="100"/>
  <c r="L129" i="100"/>
  <c r="M121" i="100"/>
  <c r="K121" i="100"/>
  <c r="L121" i="100"/>
  <c r="M113" i="100"/>
  <c r="K113" i="100"/>
  <c r="L113" i="100"/>
  <c r="M105" i="100"/>
  <c r="K105" i="100"/>
  <c r="L105" i="100"/>
  <c r="K97" i="100"/>
  <c r="M97" i="100"/>
  <c r="L97" i="100"/>
  <c r="K89" i="100"/>
  <c r="M89" i="100"/>
  <c r="L89" i="100"/>
  <c r="L75" i="100"/>
  <c r="M75" i="100"/>
  <c r="K75" i="100"/>
  <c r="L67" i="100"/>
  <c r="M67" i="100"/>
  <c r="K67" i="100"/>
  <c r="L59" i="100"/>
  <c r="M59" i="100"/>
  <c r="K59" i="100"/>
  <c r="L51" i="100"/>
  <c r="M51" i="100"/>
  <c r="K51" i="100"/>
  <c r="L43" i="100"/>
  <c r="M43" i="100"/>
  <c r="K43" i="100"/>
  <c r="K34" i="100"/>
  <c r="L34" i="100"/>
  <c r="M34" i="100"/>
  <c r="A35" i="98"/>
  <c r="A36" i="98"/>
  <c r="A37" i="98"/>
  <c r="A38" i="98"/>
  <c r="A39" i="98"/>
  <c r="A40" i="98"/>
  <c r="A41" i="98"/>
  <c r="K39" i="98" l="1"/>
  <c r="M39" i="98"/>
  <c r="L39" i="98"/>
  <c r="L38" i="98"/>
  <c r="K38" i="98"/>
  <c r="M38" i="98"/>
  <c r="K37" i="98"/>
  <c r="L37" i="98"/>
  <c r="M37" i="98"/>
  <c r="K35" i="98"/>
  <c r="L35" i="98"/>
  <c r="M35" i="98"/>
  <c r="M40" i="98"/>
  <c r="K40" i="98"/>
  <c r="L40" i="98"/>
  <c r="L36" i="98"/>
  <c r="M36" i="98"/>
  <c r="K36" i="98"/>
  <c r="M41" i="98"/>
  <c r="K41" i="98"/>
  <c r="L41" i="98"/>
  <c r="A22" i="98"/>
  <c r="K22" i="98" s="1"/>
  <c r="A23" i="98"/>
  <c r="A24" i="98"/>
  <c r="A25" i="98"/>
  <c r="A26" i="98"/>
  <c r="A27" i="98"/>
  <c r="A28" i="98"/>
  <c r="A29" i="98"/>
  <c r="A30" i="98"/>
  <c r="A31" i="98"/>
  <c r="A32" i="98"/>
  <c r="A33" i="98"/>
  <c r="A34" i="98"/>
  <c r="K31" i="98" l="1"/>
  <c r="M31" i="98"/>
  <c r="L31" i="98"/>
  <c r="M27" i="98"/>
  <c r="K27" i="98"/>
  <c r="L27" i="98"/>
  <c r="K24" i="98"/>
  <c r="L24" i="98"/>
  <c r="M24" i="98"/>
  <c r="K23" i="98"/>
  <c r="M23" i="98"/>
  <c r="L23" i="98"/>
  <c r="K30" i="98"/>
  <c r="L30" i="98"/>
  <c r="M30" i="98"/>
  <c r="K29" i="98"/>
  <c r="L29" i="98"/>
  <c r="M29" i="98"/>
  <c r="K26" i="98"/>
  <c r="L26" i="98"/>
  <c r="M26" i="98"/>
  <c r="L32" i="98"/>
  <c r="M32" i="98"/>
  <c r="K32" i="98"/>
  <c r="L28" i="98"/>
  <c r="M28" i="98"/>
  <c r="K28" i="98"/>
  <c r="L34" i="98"/>
  <c r="K34" i="98"/>
  <c r="M34" i="98"/>
  <c r="M33" i="98"/>
  <c r="K33" i="98"/>
  <c r="L33" i="98"/>
  <c r="M25" i="98"/>
  <c r="L25" i="98"/>
  <c r="K25" i="98"/>
  <c r="L22" i="98"/>
  <c r="M22" i="98"/>
  <c r="A24" i="100" l="1"/>
  <c r="A25" i="100"/>
  <c r="A26" i="100"/>
  <c r="A27" i="100"/>
  <c r="D40" i="82"/>
  <c r="D41" i="82" s="1"/>
  <c r="D42" i="82" s="1"/>
  <c r="D43" i="82" s="1"/>
  <c r="D44" i="82" s="1"/>
  <c r="E40" i="82"/>
  <c r="K27" i="100" l="1"/>
  <c r="L27" i="100"/>
  <c r="M27" i="100" s="1"/>
  <c r="K26" i="100"/>
  <c r="L26" i="100"/>
  <c r="M26" i="100" s="1"/>
  <c r="K25" i="100"/>
  <c r="L25" i="100"/>
  <c r="M25" i="100" s="1"/>
  <c r="L24" i="100"/>
  <c r="M24" i="100" s="1"/>
  <c r="K24" i="100"/>
  <c r="F40" i="82"/>
  <c r="E41" i="82"/>
  <c r="F41" i="82" l="1"/>
  <c r="E42" i="82"/>
  <c r="B3" i="97"/>
  <c r="B4" i="97"/>
  <c r="B5" i="97"/>
  <c r="B6" i="97"/>
  <c r="B7" i="97"/>
  <c r="B8" i="97"/>
  <c r="B9" i="97"/>
  <c r="B10" i="97"/>
  <c r="B11" i="97"/>
  <c r="B12" i="97"/>
  <c r="B13" i="97"/>
  <c r="B14" i="97"/>
  <c r="B15" i="97"/>
  <c r="B16" i="97"/>
  <c r="B17" i="97"/>
  <c r="B18" i="97"/>
  <c r="B19" i="97"/>
  <c r="B21" i="97"/>
  <c r="B22" i="97"/>
  <c r="B23" i="97"/>
  <c r="B24" i="97"/>
  <c r="B27" i="97"/>
  <c r="B28" i="97"/>
  <c r="B29" i="97"/>
  <c r="B30" i="97"/>
  <c r="B31" i="97"/>
  <c r="B32" i="97"/>
  <c r="B33" i="97"/>
  <c r="B34" i="97"/>
  <c r="B35" i="97"/>
  <c r="B36" i="97"/>
  <c r="B37" i="97"/>
  <c r="B38" i="97"/>
  <c r="B39" i="97"/>
  <c r="B40" i="97"/>
  <c r="B41" i="97"/>
  <c r="B42" i="97"/>
  <c r="B43" i="97"/>
  <c r="B44" i="97"/>
  <c r="F42" i="82" l="1"/>
  <c r="E43" i="82"/>
  <c r="F43" i="82" s="1"/>
  <c r="E44" i="82"/>
  <c r="F44" i="82" s="1"/>
  <c r="A18" i="100"/>
  <c r="K18" i="100" s="1"/>
  <c r="A19" i="100"/>
  <c r="A22" i="100"/>
  <c r="A23" i="100"/>
  <c r="L18" i="100" l="1"/>
  <c r="M18" i="100" s="1"/>
  <c r="K19" i="100"/>
  <c r="L19" i="100"/>
  <c r="M19" i="100" s="1"/>
  <c r="L22" i="100"/>
  <c r="M22" i="100" s="1"/>
  <c r="K22" i="100"/>
  <c r="L23" i="100"/>
  <c r="M23" i="100" s="1"/>
  <c r="K23" i="100"/>
  <c r="B10" i="99"/>
  <c r="B11" i="99" l="1"/>
  <c r="B12" i="99"/>
  <c r="B13" i="99"/>
  <c r="B15" i="99"/>
  <c r="B16" i="99"/>
  <c r="B17" i="99"/>
  <c r="B18" i="99"/>
  <c r="A33" i="100" l="1"/>
  <c r="K33" i="100" s="1"/>
  <c r="L33" i="100" l="1"/>
  <c r="M33" i="100"/>
  <c r="B9" i="99"/>
  <c r="B8" i="99"/>
  <c r="B7" i="99"/>
  <c r="B6" i="99"/>
  <c r="B5" i="99"/>
  <c r="B4" i="99"/>
  <c r="B3" i="99"/>
  <c r="B2" i="99"/>
  <c r="A14" i="98"/>
  <c r="L14" i="98" s="1"/>
  <c r="M14" i="98" l="1"/>
  <c r="K14" i="98"/>
  <c r="B2" i="97" l="1"/>
</calcChain>
</file>

<file path=xl/sharedStrings.xml><?xml version="1.0" encoding="utf-8"?>
<sst xmlns="http://schemas.openxmlformats.org/spreadsheetml/2006/main" count="5954" uniqueCount="1175">
  <si>
    <t>Europe - Far East Ratesheet</t>
  </si>
  <si>
    <t xml:space="preserve">NEW: rate reference mentioned in your email </t>
  </si>
  <si>
    <t>valid as from 01.12.2025 - 31.01.2026</t>
  </si>
  <si>
    <t>Special Equipment: FE140000</t>
  </si>
  <si>
    <t>valid as from 01.01.2026 - 31.01.2026</t>
  </si>
  <si>
    <t>Reefer: RFT21181</t>
  </si>
  <si>
    <t>Your rate document is confidential – the contents shall not be disclosed to competitors of OOCL</t>
  </si>
  <si>
    <t>For forwarders located in Germany, Austria, Czech and Slovakia only</t>
  </si>
  <si>
    <t xml:space="preserve">Commodity Cargo all Kinds FAK </t>
  </si>
  <si>
    <t xml:space="preserve">Please provide the exact commodity description already at time of booking (no brand/product names). </t>
  </si>
  <si>
    <t xml:space="preserve">HS codes would be appreciated  </t>
  </si>
  <si>
    <t xml:space="preserve">DAY 9 Product </t>
  </si>
  <si>
    <t>Loops</t>
  </si>
  <si>
    <t>LL1</t>
  </si>
  <si>
    <t>LL2</t>
  </si>
  <si>
    <t>LL3</t>
  </si>
  <si>
    <t xml:space="preserve">      LL4</t>
  </si>
  <si>
    <t>LL5</t>
  </si>
  <si>
    <t>LL6</t>
  </si>
  <si>
    <t>LL7</t>
  </si>
  <si>
    <t>ZEE</t>
  </si>
  <si>
    <t>HAM</t>
  </si>
  <si>
    <t>RTM</t>
  </si>
  <si>
    <t xml:space="preserve">     DKK</t>
  </si>
  <si>
    <t>ANR</t>
  </si>
  <si>
    <t>WVN</t>
  </si>
  <si>
    <t xml:space="preserve">     STN</t>
  </si>
  <si>
    <t xml:space="preserve">Singapore </t>
  </si>
  <si>
    <t>Shanghai</t>
  </si>
  <si>
    <t>Port Klang</t>
  </si>
  <si>
    <t>Yantian</t>
  </si>
  <si>
    <t>Colombo</t>
  </si>
  <si>
    <t>Singapore</t>
  </si>
  <si>
    <t>Xingang</t>
  </si>
  <si>
    <t>Ningbo</t>
  </si>
  <si>
    <t>Dalian</t>
  </si>
  <si>
    <t>Xiamen</t>
  </si>
  <si>
    <t>Pusan</t>
  </si>
  <si>
    <t>Kaohsiung</t>
  </si>
  <si>
    <t>Qingdao</t>
  </si>
  <si>
    <t>Hong Kong</t>
  </si>
  <si>
    <t>Taipei</t>
  </si>
  <si>
    <t>!!! Rate inquiries - pls send your request to following contact !!!</t>
  </si>
  <si>
    <t>NVOQuotes@oocl.com</t>
  </si>
  <si>
    <t>Sales contacts Hamburg</t>
  </si>
  <si>
    <t>Sales contacts Bremen</t>
  </si>
  <si>
    <t>Name</t>
  </si>
  <si>
    <t>Phone</t>
  </si>
  <si>
    <t>E-Mail</t>
  </si>
  <si>
    <t>Anastasia Chernyshov</t>
  </si>
  <si>
    <t>040 37 49 60 72</t>
  </si>
  <si>
    <t>sales-baumann@OOCL.com</t>
  </si>
  <si>
    <t>Barbara Triep</t>
  </si>
  <si>
    <t>0421 3018 872</t>
  </si>
  <si>
    <t>Barbara.Triep@OOCL.com</t>
  </si>
  <si>
    <t>Andreas Erdmann</t>
  </si>
  <si>
    <t>040 37 49 60 41</t>
  </si>
  <si>
    <t>Andreas.Erdmann@OOCL.com</t>
  </si>
  <si>
    <t>Femke Opitz</t>
  </si>
  <si>
    <t>0421 3018 776</t>
  </si>
  <si>
    <t>Femke.Opitz@OOCL.com</t>
  </si>
  <si>
    <t>Carolin Albrecht</t>
  </si>
  <si>
    <t>040 37 49 60 55</t>
  </si>
  <si>
    <t>Carolin.Albrecht@OOCL.com</t>
  </si>
  <si>
    <t>Hendrik Seifert</t>
  </si>
  <si>
    <t>0421 3018 842</t>
  </si>
  <si>
    <t>Hendrik.Seifert@OOCL.com</t>
  </si>
  <si>
    <t>Chiara Hartwich</t>
  </si>
  <si>
    <t>040 37 49 60 48</t>
  </si>
  <si>
    <t>Chiara.Hartwich@OOCL.com</t>
  </si>
  <si>
    <t>Julius Blumenstein</t>
  </si>
  <si>
    <t>0421 3018 819</t>
  </si>
  <si>
    <t>Julius.Blumenstein@OOCL.com</t>
  </si>
  <si>
    <t>Christian Pick</t>
  </si>
  <si>
    <t>040 37 49 60 39</t>
  </si>
  <si>
    <t>Christian.Pick@OOCL.com</t>
  </si>
  <si>
    <t>Kristina Thoma</t>
  </si>
  <si>
    <t>0421 3018 820</t>
  </si>
  <si>
    <t>Kristina.Thoma@OOCL.com</t>
  </si>
  <si>
    <t>Finn Baumann</t>
  </si>
  <si>
    <t>040 37 49 60 61</t>
  </si>
  <si>
    <t>Finn.Baumann@OOCL.com</t>
  </si>
  <si>
    <t>Laura Nischik</t>
  </si>
  <si>
    <t>040 3749 6070</t>
  </si>
  <si>
    <t>Laura.Nischik@OOCL.com</t>
  </si>
  <si>
    <t>Franziska Winkler</t>
  </si>
  <si>
    <t>040 37 49 60 59</t>
  </si>
  <si>
    <t>Franziska.Winkler@OOCL.com</t>
  </si>
  <si>
    <t>Marina Gerwers</t>
  </si>
  <si>
    <t>0421 3018 828</t>
  </si>
  <si>
    <t>Marina.Gerwers@OOCL.com</t>
  </si>
  <si>
    <t>Jessica Gefcken</t>
  </si>
  <si>
    <t>040 37 49 60 46</t>
  </si>
  <si>
    <t>sales-winkler@OOCL.com</t>
  </si>
  <si>
    <t>Patrick Diederich</t>
  </si>
  <si>
    <t>0421 3018 764</t>
  </si>
  <si>
    <t>Patrick.Diederich@OOCL.com</t>
  </si>
  <si>
    <t>Jordi Villanes Erquinio</t>
  </si>
  <si>
    <t>040 37 49 60 70</t>
  </si>
  <si>
    <t>Jordi.Villanes.Erquinio@OOCL.com</t>
  </si>
  <si>
    <t>Simon Kremin</t>
  </si>
  <si>
    <t>0421 3018 763</t>
  </si>
  <si>
    <t>Simon.Kremin@OOCL.com</t>
  </si>
  <si>
    <t>Kerstin Grambow</t>
  </si>
  <si>
    <t>040 37 49 60 43</t>
  </si>
  <si>
    <t>Kerstin.Grambow@OOCL.com</t>
  </si>
  <si>
    <t>Thomas Otten</t>
  </si>
  <si>
    <t>0421 3018 870</t>
  </si>
  <si>
    <t>Thomas.Otten @OOCL.com</t>
  </si>
  <si>
    <t>Renate Kaut</t>
  </si>
  <si>
    <t>040 37 49 60 64</t>
  </si>
  <si>
    <t>Renate.Kaut@OOCL.com</t>
  </si>
  <si>
    <t>Tilman Schmitz</t>
  </si>
  <si>
    <t>0421 3018 752</t>
  </si>
  <si>
    <t>Tilman.Schmitz@OOCL.com</t>
  </si>
  <si>
    <t>Stefanie Glaser</t>
  </si>
  <si>
    <t>040 37 49 60 54</t>
  </si>
  <si>
    <t>Stefanie.Glaser@OOCL.com</t>
  </si>
  <si>
    <t>Booking contacts Hamburg</t>
  </si>
  <si>
    <t>Booking contacts Bremen</t>
  </si>
  <si>
    <t>HAMbooking.NVO@OOCL.com</t>
  </si>
  <si>
    <t>BREbooking.NVO@OOCL.com</t>
  </si>
  <si>
    <t>Index</t>
  </si>
  <si>
    <t>Base Port</t>
  </si>
  <si>
    <t>Port Group 1</t>
  </si>
  <si>
    <t>Region Group2</t>
  </si>
  <si>
    <t>Dammam, Ash Sharqiyah, Saudi Arabia</t>
  </si>
  <si>
    <t>DAM</t>
  </si>
  <si>
    <t>MEAST</t>
  </si>
  <si>
    <t>Busan, South Korea</t>
  </si>
  <si>
    <t>FEBP</t>
  </si>
  <si>
    <t>n/a</t>
  </si>
  <si>
    <t>Dalian, Dalian, Liaoning, China</t>
  </si>
  <si>
    <t>NCHN</t>
  </si>
  <si>
    <t>Hong Kong, Hong Kong, China</t>
  </si>
  <si>
    <t>Kaohsiung, Taiwan; Taipei, Taiwan</t>
  </si>
  <si>
    <t>Nansha, Guangzhou, Guangdong, China</t>
  </si>
  <si>
    <t>Ningbo, Ningbo, Zhejiang, China</t>
  </si>
  <si>
    <t>Port Klang, Selangor, Malaysia</t>
  </si>
  <si>
    <t>SIN/PKG</t>
  </si>
  <si>
    <t>Qingdao, Qingdao, Shandong, China</t>
  </si>
  <si>
    <t>Shanghai, China</t>
  </si>
  <si>
    <t>Singapore, Singapore</t>
  </si>
  <si>
    <t>Taipei, Taiwan</t>
  </si>
  <si>
    <t>Xiamen, Xiamen, Fujian, China</t>
  </si>
  <si>
    <t>Xingang, Tianjin, China</t>
  </si>
  <si>
    <t>Yantian, Shenzhen, Guangdong, China</t>
  </si>
  <si>
    <t>Ho Chi Minh, Vietnam</t>
  </si>
  <si>
    <t>HCM</t>
  </si>
  <si>
    <t>Jebel Ali, Dubai, United Arab Emirates</t>
  </si>
  <si>
    <t>JEA</t>
  </si>
  <si>
    <t>Jeddah, Makkah, Saudi Arabia</t>
  </si>
  <si>
    <t>JED</t>
  </si>
  <si>
    <t>Jakarta, Indonesia</t>
  </si>
  <si>
    <t>JKT</t>
  </si>
  <si>
    <t>Kobe, Hyogo-ken, Japan</t>
  </si>
  <si>
    <t>JPBP</t>
  </si>
  <si>
    <t>Yokohama, Kanagawa-ken, Japan</t>
  </si>
  <si>
    <t>Tokyo, Japan</t>
  </si>
  <si>
    <t>Kaohsiung, Taiwan</t>
  </si>
  <si>
    <t>Port Klang, Selangor, Malaysia; Singapore, Singapore</t>
  </si>
  <si>
    <t>Multiple</t>
  </si>
  <si>
    <r>
      <t xml:space="preserve"> * Filter Rechenblatt mit 'contains</t>
    </r>
    <r>
      <rPr>
        <b/>
        <sz val="16"/>
        <color rgb="FFFF0000"/>
        <rFont val="Arial"/>
        <family val="2"/>
      </rPr>
      <t xml:space="preserve"> </t>
    </r>
    <r>
      <rPr>
        <sz val="16"/>
        <color rgb="FFFF0000"/>
        <rFont val="Arial"/>
        <family val="2"/>
      </rPr>
      <t>;</t>
    </r>
    <r>
      <rPr>
        <sz val="11"/>
        <rFont val="Arial"/>
        <family val="2"/>
      </rPr>
      <t>'</t>
    </r>
  </si>
  <si>
    <t>Kaohsiung, Taiwan; Singapore, Singapore</t>
  </si>
  <si>
    <t>Ningbo, Ningbo, Zhejiang, China; Port Klang, Selangor, Malaysia</t>
  </si>
  <si>
    <t>Kaohsiung, Taiwan; Port Klang, Selangor, Malaysia; Singapore, Singapore</t>
  </si>
  <si>
    <t>Kaohsiung, Taiwan; Qingdao, Qingdao, Shandong, China</t>
  </si>
  <si>
    <t>Hong Kong, Hong Kong, China; Port Klang, Selangor, Malaysia; Singapore, Singapore</t>
  </si>
  <si>
    <t>Ningbo, Ningbo, Zhejiang, China; Shanghai, China</t>
  </si>
  <si>
    <t>Ningbo, Ningbo, Zhejiang, China; Qingdao, Qingdao, Shandong, China; Shanghai, China</t>
  </si>
  <si>
    <t>Hong Kong, Hong Kong, China; Yantian, Shenzhen, Guangdong, China</t>
  </si>
  <si>
    <t>Nansha, Guangzhou, Guangdong, China; Yantian, Shenzhen, Guangdong, China</t>
  </si>
  <si>
    <t>Hong Kong, Hong Kong, China; Port Klang, Selangor, Malaysia; Singapore, Singapore; Vung Tau, Ba Ria Vung Tau, Vietnam</t>
  </si>
  <si>
    <t>Hong Kong, Hong Kong, China; Nansha, Guangzhou, Guangdong, China</t>
  </si>
  <si>
    <t>Hong Kong, Hong Kong, China; Kaohsiung, Taiwan; Qingdao, Qingdao, Shandong, China</t>
  </si>
  <si>
    <t>Hong Kong, Hong Kong, China; Kaohsiung, Taiwan</t>
  </si>
  <si>
    <t>Hong Kong, Hong Kong, China; Kaohsiung, Taiwan; Port Klang, Selangor, Malaysia; Singapore, Singapore</t>
  </si>
  <si>
    <t>Hong Kong, Hong Kong, China; Nansha, Guangzhou, Guangdong, China; Yantian, Shenzhen, Guangdong, China</t>
  </si>
  <si>
    <t>Ningbo, Ningbo, Zhejiang, China; Xiamen, Xiamen, Fujian, China</t>
  </si>
  <si>
    <t>Kaohsiung, Taiwan; Port Klang, Selangor, Malaysia</t>
  </si>
  <si>
    <t>Abu Dhabi, Abu Zabi, United Arab Emirates</t>
  </si>
  <si>
    <t>Abu Dhabi</t>
  </si>
  <si>
    <t>Tokyo, Japan; Yokohama, Kanagawa-ken, Japan</t>
  </si>
  <si>
    <t>Hong Kong, Hong Kong, China; Kaohsiung, Taiwan; Singapore, Singapore</t>
  </si>
  <si>
    <t>Port Klang, Selangor, Malaysia; Shanghai, China</t>
  </si>
  <si>
    <t>Hong Kong, Hong Kong, China; Kaohsiung, Taiwan; Port Klang, Selangor, Malaysia</t>
  </si>
  <si>
    <t>Kobe, Hyogo-ken, Japan; Osaka, Japan</t>
  </si>
  <si>
    <t>Hong Kong, Hong Kong, China; Nansha, Guangzhou, Guangdong, China; Shekou, Shenzhen, Guangdong, China; Yantian, Shenzhen, Guangdong, China</t>
  </si>
  <si>
    <t>Shekou, Shenzhen, Guangdong, China; Yantian, Shenzhen, Guangdong, China</t>
  </si>
  <si>
    <t>Hong Kong, Hong Kong, China; Nansha, Guangzhou, Guangdong, China; Shekou, Shenzhen, Guangdong, China</t>
  </si>
  <si>
    <t>Nansha, Guangzhou, Guangdong, China; Shekou, Shenzhen, Guangdong, China; Yantian, Shenzhen, Guangdong, China</t>
  </si>
  <si>
    <t xml:space="preserve">Hong Kong, Hong Kong, China; </t>
  </si>
  <si>
    <t>check ports under tab 'Lookup'</t>
  </si>
  <si>
    <t>direct calls - port group</t>
  </si>
  <si>
    <t>20'</t>
  </si>
  <si>
    <t>40'</t>
  </si>
  <si>
    <t>40'HQ</t>
  </si>
  <si>
    <t>PUSAN TAD via NIN statt SHA</t>
  </si>
  <si>
    <t xml:space="preserve"> = NUR HIER EINTRAGEN</t>
  </si>
  <si>
    <t>Nhava via Colombo add on USD400/CTR</t>
  </si>
  <si>
    <t>Haldia</t>
  </si>
  <si>
    <t>20GP = same rate as Kolkata</t>
  </si>
  <si>
    <t>40'CTR = same rate as Kolkata</t>
  </si>
  <si>
    <t>Vizag</t>
  </si>
  <si>
    <t>Ratebuilder</t>
  </si>
  <si>
    <t>Kolkata</t>
  </si>
  <si>
    <t>YOK</t>
  </si>
  <si>
    <t>Forrestfield</t>
  </si>
  <si>
    <t>20GP = + USD305</t>
  </si>
  <si>
    <t>40'CTR = + USD405</t>
  </si>
  <si>
    <t>ABU DHABI nur IP1</t>
  </si>
  <si>
    <t>Middle East</t>
  </si>
  <si>
    <t>OVER (BP Rate)</t>
  </si>
  <si>
    <t>TAD20ft</t>
  </si>
  <si>
    <t>TAD40ft</t>
  </si>
  <si>
    <t>TAD40HQ</t>
  </si>
  <si>
    <t>Rate 20ft</t>
  </si>
  <si>
    <t>Rate 40ft</t>
  </si>
  <si>
    <t>Rate 40HQ</t>
  </si>
  <si>
    <t>Port group</t>
  </si>
  <si>
    <t>TAD's Far East vom Jul 24 - sortiert nach HUB-Port</t>
  </si>
  <si>
    <t>Ajman, United Arab Emirates</t>
  </si>
  <si>
    <t>CY</t>
  </si>
  <si>
    <t>Al Hidd, Muharraq Governorate, Bahrain</t>
  </si>
  <si>
    <t>Al Shuwaikh, Al Asamah, Kuwait</t>
  </si>
  <si>
    <t>Ar Riyad, Ar Riyad, Saudi Arabia</t>
  </si>
  <si>
    <t>Hamad port, Al Wakrah, Qatar</t>
  </si>
  <si>
    <t>Kuwait, Al Asamah, Kuwait</t>
  </si>
  <si>
    <t>Sharjah, United Arab Emirates</t>
  </si>
  <si>
    <t>Shuaiba, Al Ahmadi, Kuwait</t>
  </si>
  <si>
    <t>Sohar, Al Batinah North Governorate, Oman</t>
  </si>
  <si>
    <t>Umm Al Quwain, United Arab Emirates</t>
  </si>
  <si>
    <t>TAD's Far East vom Aug 24 - sortiert nach HUB-Port</t>
  </si>
  <si>
    <t>Asia Port Group</t>
  </si>
  <si>
    <t>Location</t>
  </si>
  <si>
    <t>Mode</t>
  </si>
  <si>
    <t>T/S Via</t>
  </si>
  <si>
    <t>Akita, Akita, Japan</t>
  </si>
  <si>
    <t>Hibiki, Fukuoka, Japan</t>
  </si>
  <si>
    <t>GC; DG</t>
  </si>
  <si>
    <t>550</t>
  </si>
  <si>
    <t>750</t>
  </si>
  <si>
    <t>Anji, Huzhou, Zhejiang, China</t>
  </si>
  <si>
    <t>175</t>
  </si>
  <si>
    <t>300</t>
  </si>
  <si>
    <t>Anqing, Anqing, Anhui, China</t>
  </si>
  <si>
    <t>200</t>
  </si>
  <si>
    <t>Bandar Lampung, Lampung, Indonesia</t>
  </si>
  <si>
    <t>425</t>
  </si>
  <si>
    <t>700</t>
  </si>
  <si>
    <t>Bangkok, Thailand</t>
  </si>
  <si>
    <t>225</t>
  </si>
  <si>
    <t>350</t>
  </si>
  <si>
    <t>Beihai, Beihai, Guangxi, China</t>
  </si>
  <si>
    <t>Beijiao, Shunde, Guangdong, China</t>
  </si>
  <si>
    <t>125</t>
  </si>
  <si>
    <t>Belawan, Sumatera Utara, Indonesia</t>
  </si>
  <si>
    <t>475</t>
  </si>
  <si>
    <t>Bintulu, Sarawak, Malaysia</t>
  </si>
  <si>
    <t>1350</t>
  </si>
  <si>
    <t>1050</t>
  </si>
  <si>
    <t>1850</t>
  </si>
  <si>
    <t>45</t>
  </si>
  <si>
    <t>65</t>
  </si>
  <si>
    <t>Cebu City, Cebu, Philippines</t>
  </si>
  <si>
    <t>450</t>
  </si>
  <si>
    <t>775</t>
  </si>
  <si>
    <t>Changde, Changde, Hunan, China</t>
  </si>
  <si>
    <t>375</t>
  </si>
  <si>
    <t>Changsha, Changsha, Hunan, China</t>
  </si>
  <si>
    <t>325</t>
  </si>
  <si>
    <t>Changshu, Suzhou, Jiangsu, China</t>
  </si>
  <si>
    <t>275</t>
  </si>
  <si>
    <t>Changzhou, Changzhou, Jiangsu, China</t>
  </si>
  <si>
    <t>Chengdu, Chengdu, Sichuan, China</t>
  </si>
  <si>
    <t>1250</t>
  </si>
  <si>
    <t>1600</t>
  </si>
  <si>
    <t>Chongqing, China</t>
  </si>
  <si>
    <t>400</t>
  </si>
  <si>
    <t>725</t>
  </si>
  <si>
    <t>Da Nang, Vietnam</t>
  </si>
  <si>
    <t>875</t>
  </si>
  <si>
    <t>1550</t>
  </si>
  <si>
    <t>Dafeng, Yancheng, Jiangsu, China</t>
  </si>
  <si>
    <t>Davao City, Davao del Sur, Philippines</t>
  </si>
  <si>
    <t>950</t>
  </si>
  <si>
    <t>1750</t>
  </si>
  <si>
    <t>Dongguan, Dongguan, Guangdong, China</t>
  </si>
  <si>
    <t>Doumen, Zhuhai, Guangdong, China</t>
  </si>
  <si>
    <t>150</t>
  </si>
  <si>
    <t>Fangcheng, Fangchenggang, Guangxi, China</t>
  </si>
  <si>
    <t>380</t>
  </si>
  <si>
    <t>685</t>
  </si>
  <si>
    <t>Foshan, Foshan, Guangdong, China</t>
  </si>
  <si>
    <t>Fukuyama, Hiroshima, Japan</t>
  </si>
  <si>
    <t>500</t>
  </si>
  <si>
    <t>Fuqing, Fuzhou, Fujian, China</t>
  </si>
  <si>
    <t>250</t>
  </si>
  <si>
    <t>Fuzhou, Fuzhou, Fujian, China</t>
  </si>
  <si>
    <t>Gaolan, Zhuhai, Zhuhai, Guangdong, China</t>
  </si>
  <si>
    <t>Gaoming, Foshan, Guangdong, China</t>
  </si>
  <si>
    <t>Guangzhou, Guangzhou, Guangdong, China</t>
  </si>
  <si>
    <t>Guigang, Guigang, Guangxi, China</t>
  </si>
  <si>
    <t>Hachinohe, Aomori, Japan</t>
  </si>
  <si>
    <t>650</t>
  </si>
  <si>
    <t>Hai Phong, Vietnam</t>
  </si>
  <si>
    <t>Haikou, Haikou, Hainan, China</t>
  </si>
  <si>
    <t>Hakata, Fukuoka, Japan</t>
  </si>
  <si>
    <t>Hangzhou, Hangzhou, Zhejiang, China</t>
  </si>
  <si>
    <t>Hefei, Hefei, Anhui, China</t>
  </si>
  <si>
    <t>Heshan, Jiangmen, Guangdong, China</t>
  </si>
  <si>
    <t>Hiroshima, Japan</t>
  </si>
  <si>
    <t>625</t>
  </si>
  <si>
    <t>Hososhima, Miyazaki, Japan</t>
  </si>
  <si>
    <t>Huadu, Guangzhou, Guangdong, China</t>
  </si>
  <si>
    <t>Huangpu, Guangzhou, Guangdong, China</t>
  </si>
  <si>
    <t>Huangshigang, Huangshi, Hubei, China</t>
  </si>
  <si>
    <t>Imabari, Ehime, Japan</t>
  </si>
  <si>
    <t>600</t>
  </si>
  <si>
    <t>Imari, Saga, Japan</t>
  </si>
  <si>
    <t>Iwakuni, Yamaguchi, Japan</t>
  </si>
  <si>
    <t>Iyomishima (Shikokuchuo), Ehime, Japan</t>
  </si>
  <si>
    <t>Jiangmen, Jiangmen, Guangdong, China</t>
  </si>
  <si>
    <t>Jiangyin, Fuqing, Fuzhou, Fujian, China</t>
  </si>
  <si>
    <t>Jiangyin, Wuxi, Jiangsu, China</t>
  </si>
  <si>
    <t>GC</t>
  </si>
  <si>
    <t>Jiaoxin, Guangzhou, Guangdong, China</t>
  </si>
  <si>
    <t>Jiaxing, Jiaxing, Zhejiang, China</t>
  </si>
  <si>
    <t>Jingzhou, Jingzhou, Hubei, China</t>
  </si>
  <si>
    <t>Jiujiang, Foshan, Guangdong, China</t>
  </si>
  <si>
    <t>Jiujiang, Jiujiang, Jiangxi, China</t>
  </si>
  <si>
    <t>Kanazawa, Ishikawa, Japan</t>
  </si>
  <si>
    <t>Keelung, Taiwan</t>
  </si>
  <si>
    <t>Kota Kinabalu, Sabah, Malaysia</t>
  </si>
  <si>
    <t>850</t>
  </si>
  <si>
    <t>1500</t>
  </si>
  <si>
    <t>Kuantan, Pahang, Malaysia</t>
  </si>
  <si>
    <t>Kuching, Sarawak, Malaysia</t>
  </si>
  <si>
    <t>1150</t>
  </si>
  <si>
    <t>900</t>
  </si>
  <si>
    <t>Kumamoto, Japan</t>
  </si>
  <si>
    <t>Kwangyang, Chollanam-do, South Korea</t>
  </si>
  <si>
    <t>Labuan, Federal Territory of Labuan, Malaysia</t>
  </si>
  <si>
    <t>1950</t>
  </si>
  <si>
    <t>Laem Chabang, Chon Buri, Thailand</t>
  </si>
  <si>
    <t>Lat Krabang, Bangkok, Thailand</t>
  </si>
  <si>
    <t>370</t>
  </si>
  <si>
    <t>Leliu, Shunde, Guangdong, China</t>
  </si>
  <si>
    <t>Lianhuashan, Guangzhou, Guangdong, China</t>
  </si>
  <si>
    <t>Lianyungang, Lianyungang, Jiangsu, China</t>
  </si>
  <si>
    <t>Linqing, Liaocheng, Shandong, China</t>
  </si>
  <si>
    <t>280</t>
  </si>
  <si>
    <t>Luzhou, Luzhou, Sichuan, China</t>
  </si>
  <si>
    <t>525</t>
  </si>
  <si>
    <t>925</t>
  </si>
  <si>
    <t>Ma'anshan, Ma'anshan, Anhui, China</t>
  </si>
  <si>
    <t>Macao, Macau, China</t>
  </si>
  <si>
    <t>575</t>
  </si>
  <si>
    <t>Maizuru, Kyoto, Japan</t>
  </si>
  <si>
    <t>Manila, Metro Manila, Philippines</t>
  </si>
  <si>
    <t>675</t>
  </si>
  <si>
    <t>Matsuyama, Ehime, Japan</t>
  </si>
  <si>
    <t>Mawei, Fuzhou, Fujian, China</t>
  </si>
  <si>
    <t>Mizushima, Okayama, Japan</t>
  </si>
  <si>
    <t>Moji, Fukuoka, Japan</t>
  </si>
  <si>
    <t>Muara, Brunei &amp; Muara, Brunei</t>
  </si>
  <si>
    <t>800</t>
  </si>
  <si>
    <t>1450</t>
  </si>
  <si>
    <t>Nagasaki, Nagasaki, Japan</t>
  </si>
  <si>
    <t>Naha, Okinawa, Japan</t>
  </si>
  <si>
    <t>1200</t>
  </si>
  <si>
    <t>Nanchang, Nanchang, Jiangxi, China</t>
  </si>
  <si>
    <t>Nanhai, Foshan, Guangdong, China</t>
  </si>
  <si>
    <t>Nanjing, Nanjing, Jiangsu, China</t>
  </si>
  <si>
    <t>75</t>
  </si>
  <si>
    <t>Nantong, Nantong, Jiangsu, China</t>
  </si>
  <si>
    <t>Niigata, Niigata, Japan</t>
  </si>
  <si>
    <t>Oita, Oita, Japan</t>
  </si>
  <si>
    <t>Palembang, Sumatera Selatan, Indonesia</t>
  </si>
  <si>
    <t>Panabo, Davao del Norte, Philippines</t>
  </si>
  <si>
    <t>Panjang, Lampung, Indonesia</t>
  </si>
  <si>
    <t>Panyu, Guangzhou, Guangdong, China</t>
  </si>
  <si>
    <t>Pasir Gudang, Johor, Malaysia</t>
  </si>
  <si>
    <t>Pekanbaru, Riau, Indonesia</t>
  </si>
  <si>
    <t>560</t>
  </si>
  <si>
    <t>770</t>
  </si>
  <si>
    <t>Penang, Pulau Pinang, Malaysia</t>
  </si>
  <si>
    <t>Pontianak, Kalimantan Barat, Indonesia</t>
  </si>
  <si>
    <t>Qinhuangdao, Qinhuangdao, Hebei, China</t>
  </si>
  <si>
    <t>Qinzhou, Qinzhou, Guangxi, China</t>
  </si>
  <si>
    <t>Quanzhou, Quanzhou, Fujian, China</t>
  </si>
  <si>
    <t>Quy Nhon, Gia Lai, Vietnam</t>
  </si>
  <si>
    <t>1000</t>
  </si>
  <si>
    <t>Rizhao, Shandong, China</t>
  </si>
  <si>
    <t>Rugao, Nantong, Jiangsu, China</t>
  </si>
  <si>
    <t>Sakaiminato, Tottori, Japan</t>
  </si>
  <si>
    <t>Sandakan, Sabah, Malaysia</t>
  </si>
  <si>
    <t>Sanshan, Foshan, Guangdong, China</t>
  </si>
  <si>
    <t>Sanshui, Foshan, Guangdong, China</t>
  </si>
  <si>
    <t>Satsumasendai, Kagoshima, Japan</t>
  </si>
  <si>
    <t>Semarang, Jawa Tengah, Indonesia</t>
  </si>
  <si>
    <t>Sendai, Miyagi, Japan</t>
  </si>
  <si>
    <t>Busan, South Korea; Ningbo, Ningbo, Zhejiang, China</t>
  </si>
  <si>
    <t>Shantou, Shantou, Guangdong, China</t>
  </si>
  <si>
    <t>Shashi, Jingzhou, Hubei, China</t>
  </si>
  <si>
    <t>Shatian, Dongguan, Guangdong, China</t>
  </si>
  <si>
    <t>Shibushi, Kagoshima, Japan</t>
  </si>
  <si>
    <t>Shuidong, Maoming, Guangdong, China</t>
  </si>
  <si>
    <t>Shunde, Shunde, Guangdong, China</t>
  </si>
  <si>
    <t>Sibu, Sarawak, Malaysia</t>
  </si>
  <si>
    <t>Sihanoukville, Sihanoukville, Cambodia</t>
  </si>
  <si>
    <t>Songkhla, Songkhla, Thailand</t>
  </si>
  <si>
    <t>Surabaya, Jawa Timur, Indonesia</t>
  </si>
  <si>
    <t>Taicang, Suzhou, Jiangsu, China</t>
  </si>
  <si>
    <t>Taichung, Taiwan</t>
  </si>
  <si>
    <t>Taizhou, Yangzhou, Jiangsu, China</t>
  </si>
  <si>
    <t>Takamatsu, Kagawa, Japan</t>
  </si>
  <si>
    <t>Tan Thanh, Vung Tau, Ho Chi Minh, Vietnam</t>
  </si>
  <si>
    <t>Tanjung Pelepas, Johor, Malaysia</t>
  </si>
  <si>
    <t>Taoyuan, Taoyuan, Taiwan</t>
  </si>
  <si>
    <t>Tawau, Sabah, Malaysia</t>
  </si>
  <si>
    <t>Tokushima, Tokushima, Japan</t>
  </si>
  <si>
    <t>Tokuyama (Shunan), Yamaguchi, Japan</t>
  </si>
  <si>
    <t>Tomakomai, Hokkaido, Japan</t>
  </si>
  <si>
    <t>Ningbo, Ningbo, Zhejiang, China; Port Klang, Selangor, Malaysia; Yokohama, Kanagawa-ken, Japan</t>
  </si>
  <si>
    <t>Tongling, Tongling, Anhui, China</t>
  </si>
  <si>
    <t>Toyama, Toyama, Japan</t>
  </si>
  <si>
    <t>Tsuruga, Fukui, Japan</t>
  </si>
  <si>
    <t>Ube, Yamaguchi, Japan</t>
  </si>
  <si>
    <t>Vung Tau, Ho Chi Minh, Vietnam</t>
  </si>
  <si>
    <t>155</t>
  </si>
  <si>
    <t>Wakayama, Wakayama, Japan</t>
  </si>
  <si>
    <t>Weihai, Weihai, Shandong, China</t>
  </si>
  <si>
    <t>Wenzhou, Wenzhou, Zhejiang, China</t>
  </si>
  <si>
    <t>Wuhan, Wuhan, Hubei, China</t>
  </si>
  <si>
    <t>Wuhu, Wuhu, Anhui, China</t>
  </si>
  <si>
    <t>Wutu, New Taipei City, Taiwan</t>
  </si>
  <si>
    <t>Wuxi, Wuxi, Jiangsu, China</t>
  </si>
  <si>
    <t>Xi'an, Xi'an, Shaanxi, China</t>
  </si>
  <si>
    <t>740</t>
  </si>
  <si>
    <t>1075</t>
  </si>
  <si>
    <t>Xiangzhou, Zhuhai, Guangdong, China</t>
  </si>
  <si>
    <t>Xiaochantan, Danzhou, Hainan, China</t>
  </si>
  <si>
    <t>185</t>
  </si>
  <si>
    <t>345</t>
  </si>
  <si>
    <t>Xiaolan, Zhongshan, Guangdong, China</t>
  </si>
  <si>
    <t>Xinhui, Jiangmen, Guangdong, China</t>
  </si>
  <si>
    <t>Xinsha, Huangpu, Guangzhou, Guangdong, China</t>
  </si>
  <si>
    <t>Yangon, Yangon, Myanmar</t>
  </si>
  <si>
    <t>Yangpu, Danzhou, Hainan, China</t>
  </si>
  <si>
    <t>220</t>
  </si>
  <si>
    <t>410</t>
  </si>
  <si>
    <t>Yangzhou, Yangzhou, Jiangsu, China</t>
  </si>
  <si>
    <t>Yantai, Yantai, Shandong, China</t>
  </si>
  <si>
    <t>Yatsushiro, Kumamoto-ken, Japan</t>
  </si>
  <si>
    <t>Yibin, Yibin, Sichuan, China</t>
  </si>
  <si>
    <t>Yichang, Yichang, Hubei, China</t>
  </si>
  <si>
    <t>Yingkou, Yingkou, Liaoning, China</t>
  </si>
  <si>
    <t>Yokkaichi, Mie, Japan</t>
  </si>
  <si>
    <t>Yueyang, Yueyang, Hunan, China</t>
  </si>
  <si>
    <t>Yunfu, Yunfu, Guangdong, China</t>
  </si>
  <si>
    <t>Zhangjiagang, Suzhou, Jiangsu, China</t>
  </si>
  <si>
    <t>Zhanjiang, Zhanjiang, Guangdong, China</t>
  </si>
  <si>
    <t>Zhapu, Pinghu, Jiaxing, Zhejiang, China</t>
  </si>
  <si>
    <t>Zhengzhou, Zhengzhou, Henan, China</t>
  </si>
  <si>
    <t>470</t>
  </si>
  <si>
    <t>590</t>
  </si>
  <si>
    <t>Zhenjiang, Zhenjiang, Jiangsu, China</t>
  </si>
  <si>
    <t>Zhongshan, Zhongshan, Guangdong, China</t>
  </si>
  <si>
    <t>Zhuhai, Zhuhai, Guangdong, China</t>
  </si>
  <si>
    <t>Orient Overseas Container Line Ltd.</t>
  </si>
  <si>
    <t>Far East direct calls</t>
  </si>
  <si>
    <t xml:space="preserve">GATE IN subject to below + destination charges </t>
  </si>
  <si>
    <t>POL</t>
  </si>
  <si>
    <t>POD</t>
  </si>
  <si>
    <t>20' Box</t>
  </si>
  <si>
    <t>40' Box</t>
  </si>
  <si>
    <t>40' HQ</t>
  </si>
  <si>
    <t>GC;DG</t>
  </si>
  <si>
    <t>Loop</t>
  </si>
  <si>
    <t>HAM / RTM / ANR</t>
  </si>
  <si>
    <t>HAM / RTM / ZEE</t>
  </si>
  <si>
    <t>HAM / RTM</t>
  </si>
  <si>
    <t>HAM / WVN / RTM / ANR / ZEE</t>
  </si>
  <si>
    <t>Nansha  ( in t/s via PKG/SIN)</t>
  </si>
  <si>
    <t>LL1; LL3; LL5; LL6; LL7</t>
  </si>
  <si>
    <t>LL1; LL2; LL5; LL6; LL7</t>
  </si>
  <si>
    <t>LL3; LL5</t>
  </si>
  <si>
    <t xml:space="preserve">Qingdao </t>
  </si>
  <si>
    <t xml:space="preserve">LL1; LL2; LL6 </t>
  </si>
  <si>
    <t>LL1; LL3; LL2; LL6; LL7</t>
  </si>
  <si>
    <t>Shekou ( in t/s via PKG/SIN)</t>
  </si>
  <si>
    <t>LL1; LL6; LL7</t>
  </si>
  <si>
    <t xml:space="preserve">HAM / RTM </t>
  </si>
  <si>
    <t>WVN / ZEE / HAM / RTM</t>
  </si>
  <si>
    <t>LL1; LL3</t>
  </si>
  <si>
    <t xml:space="preserve">HAM / RTM / ANR </t>
  </si>
  <si>
    <t xml:space="preserve">Xingang </t>
  </si>
  <si>
    <t>LL2; LL7</t>
  </si>
  <si>
    <t>Freetime at Origin for destination CHINA / INDONESIA / SINGAPORE / MALAYSIA / TAIWAN / VIETNAM / THAILAND</t>
  </si>
  <si>
    <t xml:space="preserve">ANR / RTM / WHV / ZEE / HAM : 14 cal days DD combined (2in1) </t>
  </si>
  <si>
    <t>Freetime at Destination:</t>
  </si>
  <si>
    <t>CHINA / INDONESIA / SINGAPORE / VIETNAM / HONG KONG  : 14 cal days DD combined (2in1)</t>
  </si>
  <si>
    <t xml:space="preserve">MALAYSIA / TAIWAN / THAILAND : 14 cal days DETENTION - sub to QUAY RENT </t>
  </si>
  <si>
    <t>Far East direct calls &amp; transshipments</t>
  </si>
  <si>
    <t>GATE IN subject to below + destination charges (all charges prepaid!)</t>
  </si>
  <si>
    <t>WVN / HAM / ZEE / RTM</t>
  </si>
  <si>
    <r>
      <t xml:space="preserve">Chattogram </t>
    </r>
    <r>
      <rPr>
        <sz val="10"/>
        <color theme="1" tint="0.34998626667073579"/>
        <rFont val="Arial"/>
        <family val="2"/>
      </rPr>
      <t xml:space="preserve"> (via Port Klang / Singapore / Colombo)</t>
    </r>
  </si>
  <si>
    <t xml:space="preserve">Colombo </t>
  </si>
  <si>
    <t>Japan via transshipment</t>
  </si>
  <si>
    <t>WVN / HAM / RTM / ANR / ZEE</t>
  </si>
  <si>
    <t xml:space="preserve">Tokyo </t>
  </si>
  <si>
    <t>LL1; LL2 ; LL3; LL5; LL6; LL7</t>
  </si>
  <si>
    <t>Kobe</t>
  </si>
  <si>
    <t>Nagoya</t>
  </si>
  <si>
    <t>Yokohama</t>
  </si>
  <si>
    <t>Osaka</t>
  </si>
  <si>
    <t>Far East Wing Ports</t>
  </si>
  <si>
    <t>transshipment via</t>
  </si>
  <si>
    <t>!! No DG acceptance in Cat Lai !!</t>
  </si>
  <si>
    <t>Ningbo, Ningbo, China; Qingdao, Qingdao,  China; Shanghai, China</t>
  </si>
  <si>
    <t>Hong Kong, Hong Kong; Kaohsiung, Taiwan; Port Klang, Malaysia</t>
  </si>
  <si>
    <t>*Only accept couple of 20'GP rail T/S via Shanghai to FND Hefei, Xi'an, Zhengzhou, Mianyang, Chengdu, Nanchang,Shenyang,Changchun,Harbin</t>
  </si>
  <si>
    <t xml:space="preserve">For single 20GP over 6 ton, Ctr will stay at Shanghai/Qingdao for a long time (usually at least 3 weeks). </t>
  </si>
  <si>
    <t>Occuring extra costs have to be absorbed by shipper or consignee</t>
  </si>
  <si>
    <t>Included charges: BAF; CAF; CWC; CWX; EMS; ETS; GAS; LSA; SUZ; THC; IFP</t>
  </si>
  <si>
    <t>-------------------------------------------</t>
  </si>
  <si>
    <t>plus following surcharges, valid until further notice</t>
  </si>
  <si>
    <t>MBF:</t>
  </si>
  <si>
    <t>EUR 40,- per booking (for non-Electronic Booking Instruction, except bookings to Russia until further notice)</t>
  </si>
  <si>
    <t xml:space="preserve">DOC:      </t>
  </si>
  <si>
    <t>EUR 75,- per B/L (applies for non-Electronic Shipping Instruction only (Documentation -&gt; Shipping Instructions) via My OOCL.com)</t>
  </si>
  <si>
    <t>AMS:     </t>
  </si>
  <si>
    <t>EUR 25,- per B/L - shipments to/via Japan/China</t>
  </si>
  <si>
    <t>IMO: </t>
  </si>
  <si>
    <t>USD 100,- per CTR (dry) subject to PSA costs if transshipped via Singapore (subject to acceptance) ; except Malaysia</t>
  </si>
  <si>
    <t>IMO to/via Port Kelang:                </t>
  </si>
  <si>
    <t xml:space="preserve">USD 150,-/200,-/200,- per 20’/40’/40’HQ DRY - subject to acceptance </t>
  </si>
  <si>
    <t>CLE Colombo (Cleaning Fee):</t>
  </si>
  <si>
    <t>USD 10,- per TEU prepaid</t>
  </si>
  <si>
    <t>CLE Chattogram (Cleaning Fee):</t>
  </si>
  <si>
    <t>BDT 500,- per CTR prepaid</t>
  </si>
  <si>
    <t>Plus origin charges (all listed on www.oocl.com/eng/resourcecenter/globalinfo/Pages/default.aspx )</t>
  </si>
  <si>
    <t>Plus destination charges (all listed on www.oocl.com/eng/resourcecenter/globalinfo/Pages/default.aspx )</t>
  </si>
  <si>
    <t>For your PSA Group (to/via Singapore) please check with local OOCL Customer Service</t>
  </si>
  <si>
    <r>
      <t xml:space="preserve">PSA costs = DHT tariff per 20’/40’/45’ for DG t/s via SIN </t>
    </r>
    <r>
      <rPr>
        <sz val="10"/>
        <color rgb="FFFF0000"/>
        <rFont val="Arial"/>
        <family val="2"/>
      </rPr>
      <t>valid till 31.01.2026</t>
    </r>
  </si>
  <si>
    <t>·         PSA 3/2F/2S: SGD 180/360/405</t>
  </si>
  <si>
    <t>·         PSA 2B/2C: SGD 930/1485/1643</t>
  </si>
  <si>
    <t>·         PSA 2A: SGD 1080/1635/1793</t>
  </si>
  <si>
    <t>·         PSA 1S: SGD 380/560/605</t>
  </si>
  <si>
    <t>·         PSA 1C/1N: SGD 1130/1685/1843</t>
  </si>
  <si>
    <t xml:space="preserve">·         PSA 1/1D: SGD 1490/2405/2653 </t>
  </si>
  <si>
    <t xml:space="preserve">·         PSA 2 (UN1057 only): SGD 1690/2605/2853 </t>
  </si>
  <si>
    <t>·         PSA 2 (except UN1057): SGD 1290/2205/2453</t>
  </si>
  <si>
    <r>
      <t xml:space="preserve">PSA costs = DHT tariff per 20’/40’/45’ for DG t/s via SIN </t>
    </r>
    <r>
      <rPr>
        <sz val="10"/>
        <color rgb="FFFF0000"/>
        <rFont val="Arial"/>
        <family val="2"/>
      </rPr>
      <t>as from 01.02.2026</t>
    </r>
  </si>
  <si>
    <t>PSA Dangerous Good Group</t>
  </si>
  <si>
    <t>per 20/40' CTR</t>
  </si>
  <si>
    <t>3/2F/2S</t>
  </si>
  <si>
    <t>USD 140/280</t>
  </si>
  <si>
    <t>2B/2S</t>
  </si>
  <si>
    <t>USD 730/1160</t>
  </si>
  <si>
    <t>2A</t>
  </si>
  <si>
    <t>USD 850/1280</t>
  </si>
  <si>
    <t>1S</t>
  </si>
  <si>
    <t>USD 305/445</t>
  </si>
  <si>
    <t>1C/1N</t>
  </si>
  <si>
    <t>USD 890/1320</t>
  </si>
  <si>
    <t>2 - lighter UN1057</t>
  </si>
  <si>
    <t>USD 1325/2030</t>
  </si>
  <si>
    <t>2 - except for lighter UN1057</t>
  </si>
  <si>
    <t>USD 1010/1720</t>
  </si>
  <si>
    <t>1/1D</t>
  </si>
  <si>
    <t>USD 1165/1875</t>
  </si>
  <si>
    <t>DG via Port Klang:</t>
  </si>
  <si>
    <r>
      <t xml:space="preserve">Please check the acceptance of dangerous goods for transshipment in </t>
    </r>
    <r>
      <rPr>
        <b/>
        <sz val="10"/>
        <color rgb="FF000000"/>
        <rFont val="Arial"/>
        <family val="2"/>
      </rPr>
      <t>Port Kelang</t>
    </r>
    <r>
      <rPr>
        <sz val="10"/>
        <color rgb="FF000000"/>
        <rFont val="Arial"/>
        <family val="2"/>
      </rPr>
      <t>.</t>
    </r>
  </si>
  <si>
    <t>RATE DATE IS SAILING DATE</t>
  </si>
  <si>
    <t>Freight prepaid only</t>
  </si>
  <si>
    <t xml:space="preserve"> </t>
  </si>
  <si>
    <t>Shekou, Shenzhen, Guangdong, China</t>
  </si>
  <si>
    <t>Hong Kong, Hong Kong; Kaohsiung, Taiwan; Port Klang, Selangor, Malaysia; Singapore, Singapore</t>
  </si>
  <si>
    <t>Qingdao, Qingdao, Shandong, China; Shanghai, China</t>
  </si>
  <si>
    <t>Hong Kong, Hong Kong; Nansha, Guangzhou, Guangdong, China</t>
  </si>
  <si>
    <t>Port Klang, Selangor, Malaysia; Shekou, Shenzhen, Guangdong, China</t>
  </si>
  <si>
    <t>Hong Kong, Hong Kong; Shekou, Shenzhen, Guangdong, China</t>
  </si>
  <si>
    <t>HKG</t>
  </si>
  <si>
    <t>SIN</t>
  </si>
  <si>
    <t>Nansha, Guangzhou, Guangdong, China; Shekou, Shenzhen, Guangdong, China</t>
  </si>
  <si>
    <t>check ports under tab 'LookupK'</t>
  </si>
  <si>
    <t xml:space="preserve"> = DO NOT TOUCH!</t>
  </si>
  <si>
    <t>Dalian , Xingang nicht bei Over Ports?</t>
  </si>
  <si>
    <t>TAD's Far East vom Aug 2018 - sortiert nach HUB-Port</t>
  </si>
  <si>
    <t>Al 'Aqabah, Jordan</t>
  </si>
  <si>
    <t>TAD's Far East vom May  2025 - sortiert nach HUB-Port</t>
  </si>
  <si>
    <t>Sanrong, Zhaoqing, Guangdong, China</t>
  </si>
  <si>
    <t>Zhaoqing, Zhaoqing, Guangdong, China</t>
  </si>
  <si>
    <t xml:space="preserve">FAR EAST  (direct calls) </t>
  </si>
  <si>
    <t>GATE IN subject to below + destination charges</t>
  </si>
  <si>
    <t>20' GP</t>
  </si>
  <si>
    <t>40' GP</t>
  </si>
  <si>
    <t>Koper; Trieste</t>
  </si>
  <si>
    <t xml:space="preserve">Ningbo </t>
  </si>
  <si>
    <t>DG; GC</t>
  </si>
  <si>
    <t>Busan</t>
  </si>
  <si>
    <t>Shekou</t>
  </si>
  <si>
    <t>Jeddah</t>
  </si>
  <si>
    <r>
      <t>Australia / New Zealand</t>
    </r>
    <r>
      <rPr>
        <b/>
        <sz val="10"/>
        <color rgb="FFFF0000"/>
        <rFont val="Arial"/>
        <family val="2"/>
      </rPr>
      <t xml:space="preserve"> </t>
    </r>
    <r>
      <rPr>
        <b/>
        <sz val="10"/>
        <color theme="1" tint="0.34998626667073579"/>
        <rFont val="Arial"/>
        <family val="2"/>
      </rPr>
      <t xml:space="preserve">(via Port Klang) </t>
    </r>
  </si>
  <si>
    <t>Adelaide</t>
  </si>
  <si>
    <t>Fremantle</t>
  </si>
  <si>
    <t>Brisbane</t>
  </si>
  <si>
    <t>Melbourne</t>
  </si>
  <si>
    <t>Sydney</t>
  </si>
  <si>
    <r>
      <t xml:space="preserve">Forrestfield </t>
    </r>
    <r>
      <rPr>
        <sz val="10"/>
        <color theme="1" tint="0.34998626667073579"/>
        <rFont val="Arial"/>
        <family val="2"/>
      </rPr>
      <t>(via Fremantle)</t>
    </r>
  </si>
  <si>
    <t>Auckland</t>
  </si>
  <si>
    <t>Lyttelton</t>
  </si>
  <si>
    <t>Tauranga</t>
  </si>
  <si>
    <t>Napier</t>
  </si>
  <si>
    <t>via transshipment</t>
  </si>
  <si>
    <t>LSA Australia/New Zealand</t>
  </si>
  <si>
    <t>December USD 256,- per TEU // January USD 219,- per TEU - Low sulphur adjustment (floating)</t>
  </si>
  <si>
    <t>ETS Australia/New Zealand</t>
  </si>
  <si>
    <t xml:space="preserve">USD 21,- per TEU - Emission Trading System (floating) </t>
  </si>
  <si>
    <t xml:space="preserve">ISPS Koper: </t>
  </si>
  <si>
    <t xml:space="preserve">EUR 15 per Cont. </t>
  </si>
  <si>
    <t>LFN Trieste:</t>
  </si>
  <si>
    <t>EUR 20,- per Cont.</t>
  </si>
  <si>
    <t>AMS:</t>
  </si>
  <si>
    <t>USD 30,- per B/L - shipments to/via Japan/China/Israel</t>
  </si>
  <si>
    <t>DOC    </t>
  </si>
  <si>
    <t>EUR 75,- per B/L (applies for non-Electronic Shipping Instruction only via My OOCL.com)</t>
  </si>
  <si>
    <t>WRS (War Risk Surcharge)  TRIESTE</t>
  </si>
  <si>
    <t>USD 50,- per TEU (except Jeddah) – War Risk Surcharge for Middle East Gulf region</t>
  </si>
  <si>
    <t xml:space="preserve">Status Change Fee </t>
  </si>
  <si>
    <t>EUR 90,- /Cntr in case of a difference between VGM declared on Container arrival at terminal and weight declared on loading list will exceed  + / - 2 tons</t>
  </si>
  <si>
    <t>Please also note the new Demurrage/Detention Terms for Trieste and Koper</t>
  </si>
  <si>
    <t>https://www.oocl.com/slovenia/eng/localinformation/ddfreetime/Pages/default.aspx</t>
  </si>
  <si>
    <t>KOPER</t>
  </si>
  <si>
    <t>https://www.oocl.com/italy/eng/localinformation/ddfreetime/Pages/default.aspx</t>
  </si>
  <si>
    <t>TRIESTE</t>
  </si>
  <si>
    <t>NET Turkey Service</t>
  </si>
  <si>
    <t>HAM / BHV / ANR</t>
  </si>
  <si>
    <t>Istanbul (Kumport)</t>
  </si>
  <si>
    <t>NET</t>
  </si>
  <si>
    <t>Korfez (DP World Yarimca)</t>
  </si>
  <si>
    <t>Gemlik</t>
  </si>
  <si>
    <t>Aliaga (Izmir)</t>
  </si>
  <si>
    <t>Piraeus</t>
  </si>
  <si>
    <t>NET2</t>
  </si>
  <si>
    <t>RTM / HAM / ANR</t>
  </si>
  <si>
    <t>Mersin</t>
  </si>
  <si>
    <t>Iskenderun</t>
  </si>
  <si>
    <t>El Dekheila</t>
  </si>
  <si>
    <r>
      <t>Ashdod (</t>
    </r>
    <r>
      <rPr>
        <b/>
        <i/>
        <sz val="10"/>
        <color theme="1" tint="0.34998626667073579"/>
        <rFont val="Arial"/>
        <family val="2"/>
      </rPr>
      <t>via Piraeus</t>
    </r>
    <r>
      <rPr>
        <b/>
        <sz val="10"/>
        <color theme="1" tint="0.34998626667073579"/>
        <rFont val="Arial"/>
        <family val="2"/>
      </rPr>
      <t>)</t>
    </r>
  </si>
  <si>
    <t>NET; NET2</t>
  </si>
  <si>
    <r>
      <t>Haifa</t>
    </r>
    <r>
      <rPr>
        <b/>
        <i/>
        <sz val="10"/>
        <color theme="1" tint="0.34998626667073579"/>
        <rFont val="Arial"/>
        <family val="2"/>
      </rPr>
      <t xml:space="preserve"> (via Piraeus)</t>
    </r>
  </si>
  <si>
    <t>Included charges: BAF; LSA; THC</t>
  </si>
  <si>
    <t>ETS:</t>
  </si>
  <si>
    <t>December EUR 34,- per TEU // January EUR 53,- per TEU - Emission Trading System (floating)</t>
  </si>
  <si>
    <t>USD 30,- per BL - shipments to/via Turkey &amp; Egypt</t>
  </si>
  <si>
    <t>DOC:       </t>
  </si>
  <si>
    <t>WRP:</t>
  </si>
  <si>
    <t>USD 45,- per TEU War Risk Premium for all containers to and from Israel eff. 1st November 2024</t>
  </si>
  <si>
    <t xml:space="preserve">IMO       </t>
  </si>
  <si>
    <t xml:space="preserve">EUR 150,-/150,-/150,- per 20’/40’/40’HQ DRY - subject to acceptance </t>
  </si>
  <si>
    <t>heavy weight add.</t>
  </si>
  <si>
    <t xml:space="preserve">EUR 100,- per 20' &gt;= 21tons payload (except NET Loop) </t>
  </si>
  <si>
    <r>
      <t xml:space="preserve">RATE DATE IS </t>
    </r>
    <r>
      <rPr>
        <b/>
        <u/>
        <sz val="10"/>
        <color rgb="FFFF0000"/>
        <rFont val="Arial"/>
        <family val="2"/>
      </rPr>
      <t>GATE IN</t>
    </r>
    <r>
      <rPr>
        <b/>
        <u/>
        <sz val="10"/>
        <color theme="1" tint="0.34998626667073579"/>
        <rFont val="Arial"/>
        <family val="2"/>
      </rPr>
      <t xml:space="preserve"> DATE</t>
    </r>
  </si>
  <si>
    <t>remark: no hazardous cargo on IP service!</t>
  </si>
  <si>
    <t>MIDDLE EAST  (direct calls)</t>
  </si>
  <si>
    <r>
      <t xml:space="preserve">Jebel Ali, </t>
    </r>
    <r>
      <rPr>
        <sz val="10"/>
        <color theme="1" tint="0.34998626667073579"/>
        <rFont val="Arial"/>
        <family val="2"/>
      </rPr>
      <t>Dubai, United Arab Emirates</t>
    </r>
  </si>
  <si>
    <t>IP1</t>
  </si>
  <si>
    <r>
      <t xml:space="preserve">Abu Dhabi, </t>
    </r>
    <r>
      <rPr>
        <sz val="10"/>
        <color theme="1" tint="0.34998626667073579"/>
        <rFont val="Arial"/>
        <family val="2"/>
      </rPr>
      <t>United Arab Emirates</t>
    </r>
  </si>
  <si>
    <t>MIDDLE EAST  Wing Ports</t>
  </si>
  <si>
    <t>Included charges: BAF; CAF; CWX; CWC; EMS; ETS; GAS; LSA: SUZ; IFP; THC</t>
  </si>
  <si>
    <t>WRS (War Risk Surcharge):</t>
  </si>
  <si>
    <t>USD 50,- per TEU (except Jeddah)</t>
  </si>
  <si>
    <t xml:space="preserve">USD 75,- per CTR (dry) (subject to acceptance) </t>
  </si>
  <si>
    <t>EUR Payment!</t>
  </si>
  <si>
    <t>WEST AFRICA</t>
  </si>
  <si>
    <t>Abidjan (Ivory Coast)</t>
  </si>
  <si>
    <t>Algeciras</t>
  </si>
  <si>
    <t>EEX; IP1</t>
  </si>
  <si>
    <t>Apapa (Lagos - Nigeria)*</t>
  </si>
  <si>
    <t>Tema</t>
  </si>
  <si>
    <t>Cotonou (Benin)</t>
  </si>
  <si>
    <t>Dakar (Senegal)</t>
  </si>
  <si>
    <t xml:space="preserve"> Lekki (Nigeria)</t>
  </si>
  <si>
    <t>Lome (Togo)</t>
  </si>
  <si>
    <t>Tema (Ghana)</t>
  </si>
  <si>
    <t>EAST AFRICA</t>
  </si>
  <si>
    <t>Mombasa (Kenya)</t>
  </si>
  <si>
    <t>Jebel Ali</t>
  </si>
  <si>
    <t>Beira (Mozambique)</t>
  </si>
  <si>
    <t>Maputo (Mozambique)</t>
  </si>
  <si>
    <t>Dar Es Salaam (Tanzania)</t>
  </si>
  <si>
    <t>*remark: no hazardous cargo on IP service!</t>
  </si>
  <si>
    <t>Included charges: CWC; CWX; THC; EBS</t>
  </si>
  <si>
    <t xml:space="preserve">December EUR 6,- per TEU // January EUR 13,- per TEU - Emission Trading System (floating) </t>
  </si>
  <si>
    <t>LSA:</t>
  </si>
  <si>
    <t>December EUR 124,- per TEU // January EUR 116,- per TEU - Low sulphur adjustment (floating)</t>
  </si>
  <si>
    <t>*PSS</t>
  </si>
  <si>
    <r>
      <t>EUR 980,- per Cont.</t>
    </r>
    <r>
      <rPr>
        <u/>
        <sz val="10"/>
        <color theme="1" tint="0.34998626667073579"/>
        <rFont val="Arial"/>
        <family val="2"/>
      </rPr>
      <t xml:space="preserve"> for Lagos only</t>
    </r>
  </si>
  <si>
    <t xml:space="preserve">EUR 200,- per TEU (dry)  (subject to acceptance)  </t>
  </si>
  <si>
    <t>INDIA / PAKISTAN</t>
  </si>
  <si>
    <r>
      <t xml:space="preserve">Nhava Sheva / Mundra </t>
    </r>
    <r>
      <rPr>
        <sz val="10"/>
        <color theme="1" tint="0.34998626667073579"/>
        <rFont val="Arial"/>
        <family val="2"/>
      </rPr>
      <t>(direct service)</t>
    </r>
  </si>
  <si>
    <r>
      <t xml:space="preserve">Karachi </t>
    </r>
    <r>
      <rPr>
        <sz val="10"/>
        <color theme="1" tint="0.34998626667073579"/>
        <rFont val="Arial"/>
        <family val="2"/>
      </rPr>
      <t>(direct service)</t>
    </r>
    <r>
      <rPr>
        <b/>
        <sz val="10"/>
        <color theme="1" tint="0.34998626667073579"/>
        <rFont val="Arial"/>
        <family val="2"/>
      </rPr>
      <t xml:space="preserve"> **</t>
    </r>
  </si>
  <si>
    <r>
      <t xml:space="preserve">Haldia </t>
    </r>
    <r>
      <rPr>
        <sz val="10"/>
        <color theme="1" tint="0.34998626667073579"/>
        <rFont val="Arial"/>
        <family val="2"/>
      </rPr>
      <t>(via Colombo)</t>
    </r>
  </si>
  <si>
    <t>RTM / HAM / ANR / WVN / ZEE</t>
  </si>
  <si>
    <r>
      <t xml:space="preserve">Kolkata </t>
    </r>
    <r>
      <rPr>
        <sz val="10"/>
        <color theme="1" tint="0.34998626667073579"/>
        <rFont val="Arial"/>
        <family val="2"/>
      </rPr>
      <t>(via Port Klang / Singapore)</t>
    </r>
  </si>
  <si>
    <t>LL1; LL5; LL6; LL7</t>
  </si>
  <si>
    <r>
      <t xml:space="preserve">Tuticorin </t>
    </r>
    <r>
      <rPr>
        <sz val="10"/>
        <color theme="1" tint="0.34998626667073579"/>
        <rFont val="Arial"/>
        <family val="2"/>
      </rPr>
      <t>(via Colombo)</t>
    </r>
  </si>
  <si>
    <t>GATE IN GATE OUT subject to below + destination charges (all charges prepaid!)</t>
  </si>
  <si>
    <t xml:space="preserve">ONCARRIAGE (ICD) </t>
  </si>
  <si>
    <t>REMARK:  18,00 % GST (Goods Service Tax) applicable on collect basis (vatos)</t>
  </si>
  <si>
    <t>harmless cargo ONLY!!!</t>
  </si>
  <si>
    <t xml:space="preserve"> Pls see b.m. link:</t>
  </si>
  <si>
    <t>OOCL - Local Surcharges / Inland Haulage Tariff</t>
  </si>
  <si>
    <t>INDIA FREETIME</t>
  </si>
  <si>
    <t xml:space="preserve">14 calendar days DET/DEM combined (2 in 1) free in port of discharge and ICD’s (excl port storage) </t>
  </si>
  <si>
    <t>OOCL - Demurrage &amp; Detention Free Time and Charges</t>
  </si>
  <si>
    <t>Included charges: BAF; CAF; CWX; EMS; ETS; GAS; LSA: SUZ; IFP; THC</t>
  </si>
  <si>
    <t>IMO to Chattogram / Colombo on LL-services only:</t>
  </si>
  <si>
    <t>*CWC applicable for Haldia/Kolkata only:</t>
  </si>
  <si>
    <t>USD 175,- per 20'GP &gt;= 24 tons payload</t>
  </si>
  <si>
    <t>** RES Karachi (Routing Emergency Surcharge)</t>
  </si>
  <si>
    <t>USD 200,- per CTR eff 6th May 2025</t>
  </si>
  <si>
    <t>PSA additionals</t>
  </si>
  <si>
    <t>Please note following PSA additional will be charged for transshipment via Singapore:</t>
  </si>
  <si>
    <t xml:space="preserve">PSA = DHT tariff per 20’/40’/45’ for DG t/s via SIN </t>
  </si>
  <si>
    <t>PSA Group Finder:</t>
  </si>
  <si>
    <t>https://www.portnet.com/DGWebPublic/com/pn2/dg/web/newdgchemicalpublic/restrEnquireController.jpf</t>
  </si>
  <si>
    <t>Please use this link to check the acceptance of dangerous goods for transshipment in Port Kelang:</t>
  </si>
  <si>
    <t>http://pkapp.pka.gov.my/dg/unno.php?unno=3462&amp;Search=Search</t>
  </si>
  <si>
    <t xml:space="preserve">AUSTRALIA </t>
  </si>
  <si>
    <t>Transshipment via</t>
  </si>
  <si>
    <t>Singapore / Port Klang</t>
  </si>
  <si>
    <t xml:space="preserve">Singapore / Port Klang </t>
  </si>
  <si>
    <t>Devonport</t>
  </si>
  <si>
    <t>via Singapore/Port Klang-Melbourne</t>
  </si>
  <si>
    <t>via Fremantle</t>
  </si>
  <si>
    <t>NEW ZEALAND</t>
  </si>
  <si>
    <t>Wellington</t>
  </si>
  <si>
    <t>Included charges: BAF; CAF; CWC; CWX; EMS: GAS; SUZ; THC; IFP</t>
  </si>
  <si>
    <t>December USD 35,- per TEU // January USD 51,- per TEU - Emission Trading System (floating)</t>
  </si>
  <si>
    <t>December USD 237,- per TEU // January USD 213,- per TEU - Low sulphur adjustment (floating)</t>
  </si>
  <si>
    <t>EUR 25,- per B/L - shipments to/via Japan/China/Israel</t>
  </si>
  <si>
    <t xml:space="preserve">USD 150,-/200,-/200,- per 20’/40’/40’HQ (dry) – subject to PSA costs when transshipped via Singapore  (subject to acceptance) </t>
  </si>
  <si>
    <t>Type</t>
  </si>
  <si>
    <t xml:space="preserve">max. length in gauge </t>
  </si>
  <si>
    <t>max. width in gauge</t>
  </si>
  <si>
    <t xml:space="preserve">max. height in gauge </t>
  </si>
  <si>
    <t xml:space="preserve">max. top loading width </t>
  </si>
  <si>
    <t xml:space="preserve">max. payload </t>
  </si>
  <si>
    <t xml:space="preserve">20' OT </t>
  </si>
  <si>
    <t>589 cm</t>
  </si>
  <si>
    <t>235 cm</t>
  </si>
  <si>
    <t>234 cm</t>
  </si>
  <si>
    <t>220 cm</t>
  </si>
  <si>
    <t xml:space="preserve">28.000 kos </t>
  </si>
  <si>
    <t xml:space="preserve">40' OT </t>
  </si>
  <si>
    <t>1203 cm</t>
  </si>
  <si>
    <t xml:space="preserve">26.500 kos </t>
  </si>
  <si>
    <t xml:space="preserve">40' OQ </t>
  </si>
  <si>
    <t>265 cm</t>
  </si>
  <si>
    <r>
      <rPr>
        <b/>
        <sz val="12"/>
        <rFont val="Arial"/>
        <family val="2"/>
      </rPr>
      <t>OQ</t>
    </r>
    <r>
      <rPr>
        <sz val="12"/>
        <rFont val="Arial"/>
        <family val="2"/>
      </rPr>
      <t xml:space="preserve"> = Open Top  High Cube</t>
    </r>
  </si>
  <si>
    <t xml:space="preserve">40'OQ max. cargo height = 247 cm if cargo width is &gt;= 223 cm </t>
  </si>
  <si>
    <t xml:space="preserve">20' FR </t>
  </si>
  <si>
    <t xml:space="preserve">550 cm </t>
  </si>
  <si>
    <t xml:space="preserve">244 cm </t>
  </si>
  <si>
    <t xml:space="preserve"> - </t>
  </si>
  <si>
    <t xml:space="preserve">31.000 kos </t>
  </si>
  <si>
    <t xml:space="preserve">40' FR </t>
  </si>
  <si>
    <t>1150 cm*</t>
  </si>
  <si>
    <t>244 cm</t>
  </si>
  <si>
    <t>195 cm</t>
  </si>
  <si>
    <t xml:space="preserve">39.600 kos </t>
  </si>
  <si>
    <t xml:space="preserve">40' FQ </t>
  </si>
  <si>
    <t>1150 cm *</t>
  </si>
  <si>
    <t>226 cm</t>
  </si>
  <si>
    <t xml:space="preserve">47.300 kos </t>
  </si>
  <si>
    <r>
      <rPr>
        <b/>
        <sz val="12"/>
        <rFont val="Arial"/>
        <family val="2"/>
      </rPr>
      <t xml:space="preserve">FQ </t>
    </r>
    <r>
      <rPr>
        <sz val="12"/>
        <rFont val="Arial"/>
        <family val="2"/>
      </rPr>
      <t>= Flat High Cube</t>
    </r>
  </si>
  <si>
    <t xml:space="preserve">max. cargo width / height: 395 cm </t>
  </si>
  <si>
    <t xml:space="preserve"> * if OW / OWOH</t>
  </si>
  <si>
    <t>Service Contract Number: FE140000</t>
  </si>
  <si>
    <t>Restrictions</t>
  </si>
  <si>
    <t>T/S</t>
  </si>
  <si>
    <t>20' OT/FR IG</t>
  </si>
  <si>
    <t>20' OT/FR OH</t>
  </si>
  <si>
    <t>20' FR(OW)</t>
  </si>
  <si>
    <t xml:space="preserve">20' FR OH OW one side </t>
  </si>
  <si>
    <t>20' FR OWOH</t>
  </si>
  <si>
    <t>40' OT IG</t>
  </si>
  <si>
    <t>40OQ IG</t>
  </si>
  <si>
    <t>40' FR IG</t>
  </si>
  <si>
    <t>40FQ IG</t>
  </si>
  <si>
    <t>40' OT OH</t>
  </si>
  <si>
    <t>40' OQ OH</t>
  </si>
  <si>
    <t>40' FR OH</t>
  </si>
  <si>
    <t>40' FQ OH</t>
  </si>
  <si>
    <t>40' FR OW</t>
  </si>
  <si>
    <t>40' FQ OW</t>
  </si>
  <si>
    <t xml:space="preserve">40' FR OH OW one side </t>
  </si>
  <si>
    <t xml:space="preserve">40' FQ OH OW one side </t>
  </si>
  <si>
    <t>40' FR OWOH</t>
  </si>
  <si>
    <t>40' FQ OWOH</t>
  </si>
  <si>
    <r>
      <t xml:space="preserve">Max </t>
    </r>
    <r>
      <rPr>
        <b/>
        <u/>
        <sz val="10"/>
        <color theme="0"/>
        <rFont val="Arial"/>
        <family val="2"/>
      </rPr>
      <t>payload</t>
    </r>
    <r>
      <rPr>
        <b/>
        <i/>
        <u/>
        <sz val="10"/>
        <color theme="0"/>
        <rFont val="Arial"/>
        <family val="2"/>
      </rPr>
      <t xml:space="preserve"> </t>
    </r>
    <r>
      <rPr>
        <b/>
        <sz val="10"/>
        <color theme="0"/>
        <rFont val="Arial"/>
        <family val="2"/>
      </rPr>
      <t>/ to</t>
    </r>
  </si>
  <si>
    <t>Max OW / cm (per side)</t>
  </si>
  <si>
    <t>Max OH / cm</t>
  </si>
  <si>
    <t xml:space="preserve">Main Ports </t>
  </si>
  <si>
    <t>GATE IN + AMS / DOC fee where applicable + destination charges</t>
  </si>
  <si>
    <t xml:space="preserve">Dalian    </t>
  </si>
  <si>
    <t xml:space="preserve">direct </t>
  </si>
  <si>
    <r>
      <t>34</t>
    </r>
    <r>
      <rPr>
        <b/>
        <sz val="9"/>
        <color rgb="FFFF0000"/>
        <rFont val="Arial"/>
        <family val="2"/>
      </rPr>
      <t>**</t>
    </r>
  </si>
  <si>
    <t>HAM / RTM / ANR / ZEE</t>
  </si>
  <si>
    <t>HAM / RTM / ANR / WVN / ZEE</t>
  </si>
  <si>
    <t xml:space="preserve">Shanghai </t>
  </si>
  <si>
    <t>ZEE / WVN /HAM / RTM /ANR</t>
  </si>
  <si>
    <t>Taipeh</t>
  </si>
  <si>
    <t>WVN / HAM / RTM / ZEE</t>
  </si>
  <si>
    <t>HAM / RTM / ZEE / WVN</t>
  </si>
  <si>
    <r>
      <t>Kobe / Nagoya /Tokyo / Yokohama / Osaka</t>
    </r>
    <r>
      <rPr>
        <b/>
        <sz val="9"/>
        <color rgb="FFFF0000"/>
        <rFont val="Arial"/>
        <family val="2"/>
      </rPr>
      <t>*</t>
    </r>
  </si>
  <si>
    <r>
      <t>29</t>
    </r>
    <r>
      <rPr>
        <b/>
        <sz val="9"/>
        <color rgb="FFFF0000"/>
        <rFont val="Arial"/>
        <family val="2"/>
      </rPr>
      <t>**</t>
    </r>
  </si>
  <si>
    <r>
      <t xml:space="preserve">Colombo </t>
    </r>
    <r>
      <rPr>
        <b/>
        <sz val="9"/>
        <color rgb="FFFF0000"/>
        <rFont val="Arial"/>
        <family val="2"/>
      </rPr>
      <t xml:space="preserve">(gigo all in incl. THD) </t>
    </r>
  </si>
  <si>
    <t>*direct delivery is a must for OOG at JAPAN</t>
  </si>
  <si>
    <t>**weight above on request!</t>
  </si>
  <si>
    <t xml:space="preserve">Australia Main Ports </t>
  </si>
  <si>
    <t>GATE IN + ETS / LSA / AMS / DOC fee where applicable + destination charges</t>
  </si>
  <si>
    <t>Brisbane / Sydney / Melbourne / Fremantle / Adelaide</t>
  </si>
  <si>
    <t>on request</t>
  </si>
  <si>
    <t>WVN / ZEE</t>
  </si>
  <si>
    <t>direct delivery is a must for OOG at Australia</t>
  </si>
  <si>
    <t xml:space="preserve">New Zealand Main Ports </t>
  </si>
  <si>
    <t>Auckland / Lyttelton</t>
  </si>
  <si>
    <t>n.a.</t>
  </si>
  <si>
    <t>IG only</t>
  </si>
  <si>
    <t xml:space="preserve">ZEE / WVN </t>
  </si>
  <si>
    <t>Tauranga / Napier / Wellington</t>
  </si>
  <si>
    <t>India Main Ports *</t>
  </si>
  <si>
    <t>Nhava Sheva / Mundra</t>
  </si>
  <si>
    <t>HAM /RTM / ANR</t>
  </si>
  <si>
    <t>direct (IP1)</t>
  </si>
  <si>
    <t xml:space="preserve"> no hazardous cargo on IP service!</t>
  </si>
  <si>
    <t>Middle East Ports *</t>
  </si>
  <si>
    <t xml:space="preserve">Jebel Ali </t>
  </si>
  <si>
    <t>Al Hidd</t>
  </si>
  <si>
    <t>Dammam</t>
  </si>
  <si>
    <t>Al Shuwaikh</t>
  </si>
  <si>
    <t>Shuaiba</t>
  </si>
  <si>
    <t>Sohar</t>
  </si>
  <si>
    <t>Sharjah</t>
  </si>
  <si>
    <t>Umm Qasr</t>
  </si>
  <si>
    <t xml:space="preserve">South East Asia Wing Ports </t>
  </si>
  <si>
    <t>Jakarta</t>
  </si>
  <si>
    <t>ZEE / WVN / HAM / RTM/  ANR</t>
  </si>
  <si>
    <t>Keelung</t>
  </si>
  <si>
    <t>HAM/RTM</t>
  </si>
  <si>
    <t>Taichung</t>
  </si>
  <si>
    <t>Semarang</t>
  </si>
  <si>
    <t>ZEE / WVN / HAM / RTM / ANR</t>
  </si>
  <si>
    <t>Surabaya</t>
  </si>
  <si>
    <t>Belawan</t>
  </si>
  <si>
    <t>Pasir Gudang</t>
  </si>
  <si>
    <t>ZEE/ WVN / HAM / RTM / ANR</t>
  </si>
  <si>
    <t>Penang</t>
  </si>
  <si>
    <t>Laem Chabang</t>
  </si>
  <si>
    <t>Bangkok (PAT)</t>
  </si>
  <si>
    <t>Bangkok (Sahatai)</t>
  </si>
  <si>
    <t>Ho Chi Minh</t>
  </si>
  <si>
    <t>Hai Phong</t>
  </si>
  <si>
    <t>Songkhla</t>
  </si>
  <si>
    <t>China Wing Ports</t>
  </si>
  <si>
    <t>Anqing (Shenan)</t>
  </si>
  <si>
    <t>Foshan (Lanshi)</t>
  </si>
  <si>
    <t>HAM / RTM / ANR / ZEE / WVN</t>
  </si>
  <si>
    <t>Huangpu New Port</t>
  </si>
  <si>
    <t>Jiangyin</t>
  </si>
  <si>
    <t>Jiangmen</t>
  </si>
  <si>
    <t>Ma'anshan</t>
  </si>
  <si>
    <t>Nanjing</t>
  </si>
  <si>
    <t>Nansha</t>
  </si>
  <si>
    <t>34**</t>
  </si>
  <si>
    <t>Nantong</t>
  </si>
  <si>
    <t>Taicang</t>
  </si>
  <si>
    <t>Wuhan</t>
  </si>
  <si>
    <t>Wuhu (Zhujiaqiao)</t>
  </si>
  <si>
    <t>Yangzhou</t>
  </si>
  <si>
    <t>Zhangjiagang</t>
  </si>
  <si>
    <t>Zhongshan</t>
  </si>
  <si>
    <t>Zhuhai (Doumen)</t>
  </si>
  <si>
    <t>Intra-Europe Ports</t>
  </si>
  <si>
    <t>GATE IN + ETS / AMS / DOC fee where applicable + destination charges</t>
  </si>
  <si>
    <t xml:space="preserve">Piraeus </t>
  </si>
  <si>
    <t>direct (NET)</t>
  </si>
  <si>
    <t xml:space="preserve">Yarimca / Aliaga / Istanbul  </t>
  </si>
  <si>
    <t>direct (NET2)</t>
  </si>
  <si>
    <t>Haifa</t>
  </si>
  <si>
    <t>via Piraeus</t>
  </si>
  <si>
    <t>Africa Ports</t>
  </si>
  <si>
    <t>Dakar</t>
  </si>
  <si>
    <t>via Algeciras // EEX</t>
  </si>
  <si>
    <t>Feeder service:</t>
  </si>
  <si>
    <t xml:space="preserve">As a pre-emptive warning, in the view of limited feeder service or feeder suspensions. </t>
  </si>
  <si>
    <t>Actual feeder schedule is subject to final notice from feeder operators.</t>
  </si>
  <si>
    <t>Bookings are subject to availability &amp; extra costs and customers have to bear in mind that such services might be changed last minute and are out of OOCL control.  </t>
  </si>
  <si>
    <t>All related extra charges &amp; extra feeder cost will be charged to customers account.</t>
  </si>
  <si>
    <t>For cargo with overwidth - the cargo must be stowed with 20 cm distance from both end walls to avoid any cell guide issues.</t>
  </si>
  <si>
    <r>
      <t xml:space="preserve">LSA Far East / Middle East / India </t>
    </r>
    <r>
      <rPr>
        <b/>
        <sz val="10"/>
        <color rgb="FFFF0000"/>
        <rFont val="Arial"/>
        <family val="2"/>
      </rPr>
      <t>included</t>
    </r>
  </si>
  <si>
    <t>LSA Australia/ New Zealand January EUR 213,- per TEU - floating</t>
  </si>
  <si>
    <r>
      <t xml:space="preserve">LSA Intra-Europe  </t>
    </r>
    <r>
      <rPr>
        <b/>
        <sz val="10"/>
        <color rgb="FFFF0000"/>
        <rFont val="Arial"/>
        <family val="2"/>
      </rPr>
      <t>included</t>
    </r>
  </si>
  <si>
    <t>LSA West Africa January EUR 116,- per TEU- floating</t>
  </si>
  <si>
    <t>DOC:       EUR 75,- per B/L (applies for non-Electronic Shipping Instruction only (Documentation -&gt; Shipping Instructions) via My OOCL.com)</t>
  </si>
  <si>
    <r>
      <t xml:space="preserve">IMO:        USD 300,-/CTR (subject to acceptance) – sub to PSA costs if cargo will be transshipped via Singapore to FND Asia (please note that we cannot accept any DG Cargo on vessels operated by Evergreen - </t>
    </r>
    <r>
      <rPr>
        <sz val="10"/>
        <color rgb="FFFF0000"/>
        <rFont val="Arial"/>
        <family val="2"/>
      </rPr>
      <t>Specials only</t>
    </r>
    <r>
      <rPr>
        <sz val="10"/>
        <color theme="1" tint="0.34998626667073579"/>
        <rFont val="Arial"/>
        <family val="2"/>
      </rPr>
      <t>)</t>
    </r>
  </si>
  <si>
    <t xml:space="preserve">WRS:    War Risk Surcharge US$ 50,- per TEU eff 22.07.2019 (shipments to to and from Oman, United Arab Emirates, Qatar, Bahrain, Saudi Arabia excl Jeddah, Kuwait and Iraq) </t>
  </si>
  <si>
    <t>AMS:     EUR 25,- / B/L - shipments to/via Japan/China/Israel/Turkey</t>
  </si>
  <si>
    <t>ETS: Emission Trading System</t>
  </si>
  <si>
    <r>
      <t xml:space="preserve">ETS Far East / Middle East / India </t>
    </r>
    <r>
      <rPr>
        <b/>
        <sz val="10"/>
        <color rgb="FFFF0000"/>
        <rFont val="Arial"/>
        <family val="2"/>
      </rPr>
      <t>included</t>
    </r>
    <r>
      <rPr>
        <sz val="10"/>
        <rFont val="Arial"/>
        <family val="2"/>
      </rPr>
      <t xml:space="preserve"> </t>
    </r>
  </si>
  <si>
    <t>ETS Australia/ New Zealand January EUR 53,- per TEU - floating</t>
  </si>
  <si>
    <t>ETS Intra-Europe January EUR 53,- per TEU - floating</t>
  </si>
  <si>
    <t>ETS West Africa January EUR 13,- per TEU - floating</t>
  </si>
  <si>
    <t>Emergency Surcharge (EMS):</t>
  </si>
  <si>
    <r>
      <t xml:space="preserve">Asia-Europe Trade Eastbound </t>
    </r>
    <r>
      <rPr>
        <b/>
        <sz val="10"/>
        <color rgb="FFFF0000"/>
        <rFont val="Arial"/>
        <family val="2"/>
      </rPr>
      <t xml:space="preserve">included </t>
    </r>
  </si>
  <si>
    <r>
      <t xml:space="preserve">Australia &amp; New Zealand to/from Europe </t>
    </r>
    <r>
      <rPr>
        <b/>
        <sz val="10"/>
        <color rgb="FFFF0000"/>
        <rFont val="Arial"/>
        <family val="2"/>
      </rPr>
      <t>included</t>
    </r>
  </si>
  <si>
    <t>correction to B/L / re-submission to customs:</t>
  </si>
  <si>
    <t>AAM:       EUR 30,-/BL shipments to/via Japan/China/Israel  Customs system</t>
  </si>
  <si>
    <t>CMA:       EUR 40,- / B/L – corrections to shipments</t>
  </si>
  <si>
    <t>Plus destination charges</t>
  </si>
  <si>
    <t>FAC included</t>
  </si>
  <si>
    <t>Please note: direct delivery is a must for OOG at Australia</t>
  </si>
  <si>
    <t>Any surcharges implemented during the validity of this offer, are valid as per OOCL Tariff</t>
  </si>
  <si>
    <t>1. Max lifting capacity for POL Rotterdam is 40 ts grossweight under spreader. If container is overheight then max lifting capacity under special OH frame is 33 ts.</t>
  </si>
  <si>
    <t>2. All rates are subject to vessel planners and third party approval</t>
  </si>
  <si>
    <t>3. We can accept also higher payload (depending on dimensions and payload as well as POL/POD) - pls check with local Sales</t>
  </si>
  <si>
    <t>4. Under deck stowage cannot be guaranteed as the final decision of the stowage position (on/under deck) is always in Ship operators/-planners discretion.</t>
  </si>
  <si>
    <t>4a. In case any restow is required, cost incurred shall be for account of the cargo</t>
  </si>
  <si>
    <t>4b. Rates valid only for under deck stowage and need to be reviewed in case of on deck stowage</t>
  </si>
  <si>
    <t>5. Subject to equipment and space availability</t>
  </si>
  <si>
    <t xml:space="preserve">6. Special Equipment booking cancellation fee: from 5 working days (working days = Mo – Fr) or less before gate in deadline EUR 150,- per container for cancelled or rolled bookings / http://www.oocl.com/germany/eng/localinformation/localsurcharges/Pages/default.aspx?site=germany&amp;lang=eng </t>
  </si>
  <si>
    <t xml:space="preserve">booking cancellation fees: </t>
  </si>
  <si>
    <t>http://www.oocl.com/germany/eng/localinformation/localsurcharges/Pages/default.aspx?site=germany&amp;lang=eng</t>
  </si>
  <si>
    <t>7. Additional cost for barge delivery at POL Hamburg shall be for account of cargo</t>
  </si>
  <si>
    <t>8. Demurrage and Detention will be applied as per tariff - pls check for extension of freetimes with your local sales prior booking</t>
  </si>
  <si>
    <t>9. Centre of gravity (COG) must be lower than height of 1x40FQ</t>
  </si>
  <si>
    <t>REEFER EQUIPMENT</t>
  </si>
  <si>
    <r>
      <rPr>
        <b/>
        <sz val="10"/>
        <color rgb="FF595959"/>
        <rFont val="Arial"/>
        <family val="2"/>
      </rPr>
      <t xml:space="preserve">Service Contract Number: RFT21181 </t>
    </r>
    <r>
      <rPr>
        <b/>
        <sz val="10"/>
        <color rgb="FFFF0000"/>
        <rFont val="Arial"/>
        <family val="2"/>
      </rPr>
      <t xml:space="preserve"> </t>
    </r>
  </si>
  <si>
    <t>valid as from 01.12. - 31.01.2026</t>
  </si>
  <si>
    <t>Reefer shipments are on freight prepaid basis only</t>
  </si>
  <si>
    <t>Direct service only and subject to service change</t>
  </si>
  <si>
    <r>
      <t xml:space="preserve">Only valid for foodstuffs and harmless low value cargo up to cargo value USD 499,999 per unit; 
</t>
    </r>
    <r>
      <rPr>
        <sz val="10"/>
        <color theme="1" tint="0.34998626667073579"/>
        <rFont val="Arial"/>
        <family val="2"/>
      </rPr>
      <t xml:space="preserve">Please check commodity acceptance with your local OOCL Sales; no hides &amp; skins, high value cargo, pharmaceuticals and chemicals acceptable without carrier’s consent </t>
    </r>
  </si>
  <si>
    <t>Please note that there may be restrictions regarding shipments of frozen meats to/via certain PODs, especially to Vietnam, Philippines and Malaysia;                                                                                                                                                                                                                                         a pre-check of commodity and consignee details may be required before a shipment can be confirmed. Please check with your sales and customer service representative</t>
  </si>
  <si>
    <t xml:space="preserve">Far East/Middle East Eastbound : gate in subject to surcharges as per below, subject to destination surcharges </t>
  </si>
  <si>
    <t>POL ROTTERDAM</t>
  </si>
  <si>
    <t>POL Antwerpen</t>
  </si>
  <si>
    <t>POL HAMBURG</t>
  </si>
  <si>
    <t>POL WILHELMSHAVEN</t>
  </si>
  <si>
    <t xml:space="preserve">
POD</t>
  </si>
  <si>
    <t>Currency</t>
  </si>
  <si>
    <t xml:space="preserve">Rate 20RF </t>
  </si>
  <si>
    <t>Rate 40RQ</t>
  </si>
  <si>
    <t>Rate 20RF</t>
  </si>
  <si>
    <t>Abu Dhabi, Abu Zabi, United Arab Emirates (direct only)</t>
  </si>
  <si>
    <t>USD</t>
  </si>
  <si>
    <t>No Offering</t>
  </si>
  <si>
    <r>
      <t xml:space="preserve">Abu Dhabi, Abu Zabi, United Arab Emirates </t>
    </r>
    <r>
      <rPr>
        <b/>
        <sz val="10"/>
        <color rgb="FFFF0000"/>
        <rFont val="Arial"/>
        <family val="2"/>
      </rPr>
      <t>(via T/S Jebel Ali)</t>
    </r>
  </si>
  <si>
    <t>Colombo, Western, Sri Lanka</t>
  </si>
  <si>
    <r>
      <t xml:space="preserve">Hong Kong, Hong Kong, China </t>
    </r>
    <r>
      <rPr>
        <b/>
        <sz val="10"/>
        <color rgb="FFFF0000"/>
        <rFont val="Arial"/>
        <family val="2"/>
      </rPr>
      <t>on LL3 only</t>
    </r>
  </si>
  <si>
    <t>currently no service</t>
  </si>
  <si>
    <t>Keamari, Karachi, Sindh, Pakistan</t>
  </si>
  <si>
    <t>Nagoya, Aichi, Japan</t>
  </si>
  <si>
    <t>Osaka, Japan</t>
  </si>
  <si>
    <t>Shimizu, Shizuoka, Japan</t>
  </si>
  <si>
    <r>
      <t xml:space="preserve">Tan Thanh, Vung Tau, Ba Ria Vung Tau, Vietnam </t>
    </r>
    <r>
      <rPr>
        <b/>
        <sz val="10"/>
        <color rgb="FFFF0000"/>
        <rFont val="Arial"/>
        <family val="2"/>
      </rPr>
      <t>on LL3 only</t>
    </r>
  </si>
  <si>
    <r>
      <t xml:space="preserve">Xiamen, Xiamen, Fujian, China </t>
    </r>
    <r>
      <rPr>
        <b/>
        <sz val="10"/>
        <color rgb="FFFF0000"/>
        <rFont val="Arial"/>
        <family val="2"/>
      </rPr>
      <t>on LL3/LL1</t>
    </r>
  </si>
  <si>
    <t>Australia</t>
  </si>
  <si>
    <t>GATE IN ALL IN ; subj. to  AMS /DOC + destination charges</t>
  </si>
  <si>
    <t>POL Hamburg/Wilhelmshaven/Rotterdam/Antwerpen to POD</t>
  </si>
  <si>
    <t>Adelaide, South Australia, Australia</t>
  </si>
  <si>
    <t>Auckland, Auckland, New Zealand</t>
  </si>
  <si>
    <t>Brisbane, Queensland, Australia</t>
  </si>
  <si>
    <t>Fremantle, Western Australia, Australia</t>
  </si>
  <si>
    <t>Lyttelton, Canterbury, New Zealand</t>
  </si>
  <si>
    <t>Melbourne, Victoria, Australia</t>
  </si>
  <si>
    <t>Napier, Hawkes Bay, New Zealand</t>
  </si>
  <si>
    <t>Sydney, New South Wales, Australia</t>
  </si>
  <si>
    <t>Tauranga, Bay of Plenty, New Zealand</t>
  </si>
  <si>
    <t>Wellington, Wellington, New Zealand</t>
  </si>
  <si>
    <t>Intra Europe</t>
  </si>
  <si>
    <t>GATE IN ALL IN ; subj to AMS/DOC + destination charges</t>
  </si>
  <si>
    <t xml:space="preserve"> Base Ports to Destination Port</t>
  </si>
  <si>
    <t>Routing</t>
  </si>
  <si>
    <t>20RF</t>
  </si>
  <si>
    <t>40RQ</t>
  </si>
  <si>
    <t>direct</t>
  </si>
  <si>
    <t>-</t>
  </si>
  <si>
    <t>EUR 1600</t>
  </si>
  <si>
    <t>Ashdod</t>
  </si>
  <si>
    <t>USD 2100</t>
  </si>
  <si>
    <t>USD 3000</t>
  </si>
  <si>
    <t>USD 1700</t>
  </si>
  <si>
    <t>Aliaga</t>
  </si>
  <si>
    <t>EUR 1550</t>
  </si>
  <si>
    <t>Gebze</t>
  </si>
  <si>
    <t>Istanbul</t>
  </si>
  <si>
    <t>El Dekheila*</t>
  </si>
  <si>
    <t>EUR 1050</t>
  </si>
  <si>
    <r>
      <t xml:space="preserve">* incl. 21 days dem/det in </t>
    </r>
    <r>
      <rPr>
        <b/>
        <sz val="10"/>
        <color rgb="FF000000"/>
        <rFont val="Calibri"/>
        <family val="2"/>
        <scheme val="minor"/>
      </rPr>
      <t>Egypt</t>
    </r>
    <r>
      <rPr>
        <sz val="10"/>
        <color rgb="FF000000"/>
        <rFont val="Calibri"/>
        <family val="2"/>
        <scheme val="minor"/>
      </rPr>
      <t>, subject to storage</t>
    </r>
  </si>
  <si>
    <r>
      <t xml:space="preserve">Far East/ Middle East/ Inida:  </t>
    </r>
    <r>
      <rPr>
        <b/>
        <u/>
        <sz val="10"/>
        <color theme="1" tint="0.34998626667073579"/>
        <rFont val="Arial"/>
        <family val="2"/>
      </rPr>
      <t>RATE DATE IS SAILING DATE</t>
    </r>
  </si>
  <si>
    <r>
      <t xml:space="preserve">Australia/ New Zealand: </t>
    </r>
    <r>
      <rPr>
        <b/>
        <u/>
        <sz val="10"/>
        <color theme="1" tint="0.34998626667073579"/>
        <rFont val="Arial"/>
        <family val="2"/>
      </rPr>
      <t>RATE DATE IS ON BOARD DATE</t>
    </r>
  </si>
  <si>
    <r>
      <t xml:space="preserve">Intra Europe: </t>
    </r>
    <r>
      <rPr>
        <b/>
        <u/>
        <sz val="10"/>
        <color theme="1" tint="0.34998626667073579"/>
        <rFont val="Arial"/>
        <family val="2"/>
      </rPr>
      <t>RATE DATE IS GATE IN DATE</t>
    </r>
  </si>
  <si>
    <t>included charges: BAF;CAF;GAS;SUZ;THC;IFP;FCR;EMS;ETS ; destination surcharges are applicable as per tariff on www.oocl.com (collect)</t>
  </si>
  <si>
    <t xml:space="preserve">EMS Far East, India, Middle East, Australia &amp; NZL </t>
  </si>
  <si>
    <r>
      <rPr>
        <b/>
        <sz val="10"/>
        <color rgb="FFFF0000"/>
        <rFont val="Arial"/>
        <family val="2"/>
      </rPr>
      <t>INCLUDED</t>
    </r>
    <r>
      <rPr>
        <sz val="10"/>
        <color rgb="FFFF0000"/>
        <rFont val="Arial"/>
        <family val="2"/>
      </rPr>
      <t xml:space="preserve"> </t>
    </r>
  </si>
  <si>
    <t xml:space="preserve">FCR Far East, India &amp; Middle East (fuel cost recovery):         </t>
  </si>
  <si>
    <t xml:space="preserve">FCR Australia &amp; NZL (fuel cost recovery):         </t>
  </si>
  <si>
    <t>FCR Intra Europe (fuel cost recovery):</t>
  </si>
  <si>
    <t>ETS Far East, India &amp; Middle East:</t>
  </si>
  <si>
    <t>ETS Australia &amp; NZL:</t>
  </si>
  <si>
    <t>ETS Intra Europe:</t>
  </si>
  <si>
    <t>MBF:(Manual Booking Fee)</t>
  </si>
  <si>
    <t>EUR 40 per booking (for non-Electronic Booking Instruction)</t>
  </si>
  <si>
    <t>DOC:(Documentation / BL Fee)  </t>
  </si>
  <si>
    <t>EUR 75 per B/L (applies for non-Electronic Shipping Instruction only via My OOCL.com)</t>
  </si>
  <si>
    <t>AMS:(Advanced Manifest Filing Fee) </t>
  </si>
  <si>
    <t>EUR 25 per B/L - shipments to/via Japan/China/Israel</t>
  </si>
  <si>
    <t>WRS:(War Risk Surcharge):</t>
  </si>
  <si>
    <t>USD 50 per TEU for all Middle East POD's (except Jeddah)</t>
  </si>
  <si>
    <t>WRP:(War Risk Surcharge):</t>
  </si>
  <si>
    <t xml:space="preserve">USD 45 per TEU War Risk Premium for all containers to and from Israel </t>
  </si>
  <si>
    <t>USD 14,- per TEU prepaid</t>
  </si>
  <si>
    <t>THD Colombo (Terminal Handling Charge)</t>
  </si>
  <si>
    <t>USD 150/20RF //  USD 232/40RQ prepaid</t>
  </si>
  <si>
    <t>Inland Tariff &gt;&gt; CLICK ME!</t>
  </si>
  <si>
    <t xml:space="preserve">Fahrplan / Schedule  &gt;&gt; CLICK ME!  </t>
  </si>
  <si>
    <t xml:space="preserve">demurrage - detention - restrictions &gt;&gt; CLICK ME! </t>
  </si>
  <si>
    <t>ODEZ_Inland_Terms_and_Conditions. &gt;&gt; CLICK ME!</t>
  </si>
  <si>
    <t>OOCL - Pick Up and Drop Off charges German hinterland &gt;&gt; CLICK ME!</t>
  </si>
  <si>
    <t>Origin charges (all listed on www.oocl.com/eng/resourcecenter/globalinfo/Pages/default.aspx )</t>
  </si>
  <si>
    <t>Destination charges (all listed on www.oocl.com/eng/resourcecenter/globalinfo/Pages/default.aspx )</t>
  </si>
  <si>
    <t xml:space="preserve">* For shipments to Fareast wingports &amp; Australia / New Zealand (via Singapore) the following </t>
  </si>
  <si>
    <t xml:space="preserve">PSA additionals apply on top of a.m. DG-surcharge  </t>
  </si>
  <si>
    <t>For your PSA Group please check with local OOCL Customer Service</t>
  </si>
  <si>
    <t>no acceptance  for PSA 1 + PSA 2 not recommended via SIN t/s</t>
  </si>
  <si>
    <t>1S, 2S, 2A, 2B, 2F, 3</t>
  </si>
  <si>
    <t>DG is recommended for storage.</t>
  </si>
  <si>
    <t>1D, 2</t>
  </si>
  <si>
    <t>DG is not recommended for storage.</t>
  </si>
  <si>
    <t xml:space="preserve"> ---------------------------------------- </t>
  </si>
  <si>
    <t>PSA 3/2F/2S: SGD 180/360/405</t>
  </si>
  <si>
    <t>PSA 2B/2C: SGD 930/1485/1643</t>
  </si>
  <si>
    <t>PSA 2A: SGD 1080/1635/1793</t>
  </si>
  <si>
    <t>PSA 1S: SGD 380/560/605</t>
  </si>
  <si>
    <t>PSA 1C/1N: SGD 1130/1685/1843</t>
  </si>
  <si>
    <t xml:space="preserve">PSA 1/1D: SGD 1490/2405/2653 </t>
  </si>
  <si>
    <t xml:space="preserve">PSA 2 (UN1057 only): SGD 1690/2605/2853 </t>
  </si>
  <si>
    <t>PSA 2 (except UN1057): SGD 1290/2205/2453</t>
  </si>
  <si>
    <r>
      <t xml:space="preserve">&gt;&gt;&gt; </t>
    </r>
    <r>
      <rPr>
        <sz val="10"/>
        <color theme="1" tint="0.34998626667073579"/>
        <rFont val="Arial"/>
        <family val="2"/>
      </rPr>
      <t xml:space="preserve">ALL SUBJECT TO FINAL CARRIER ACCEPTANCE - </t>
    </r>
    <r>
      <rPr>
        <b/>
        <sz val="10"/>
        <color rgb="FFFF0000"/>
        <rFont val="Arial"/>
        <family val="2"/>
      </rPr>
      <t>CLASSES 1 &amp; 7 ARE REJECTED</t>
    </r>
  </si>
  <si>
    <r>
      <t xml:space="preserve">Please use this link to check the acceptance of dangerous goods for transshipment in </t>
    </r>
    <r>
      <rPr>
        <b/>
        <sz val="10"/>
        <color theme="1" tint="0.34998626667073579"/>
        <rFont val="Arial"/>
        <family val="2"/>
      </rPr>
      <t>Port Kelang:</t>
    </r>
  </si>
  <si>
    <t xml:space="preserve">China 24h rules </t>
  </si>
  <si>
    <t>Valid for ALL China + Japan Shipments !!</t>
  </si>
  <si>
    <t>DOCUMENTATION FEE</t>
  </si>
  <si>
    <t xml:space="preserve">Euro 75   </t>
  </si>
  <si>
    <t>pro B/L</t>
  </si>
  <si>
    <t>(applies for non-Electronic Shipping Instruction only (Documentation -&gt; Shipping Instructions) via My OOCL.com)</t>
  </si>
  <si>
    <t xml:space="preserve">ADVANCED MANIFEST FEE (AMS) </t>
  </si>
  <si>
    <t>Euro 25</t>
  </si>
  <si>
    <t xml:space="preserve">pro B/L  </t>
  </si>
  <si>
    <t>shipments to/via China/Japan/Turkey/Egypt  </t>
  </si>
  <si>
    <t>Amendments in addition (AAM)</t>
  </si>
  <si>
    <t>Euro 30</t>
  </si>
  <si>
    <t>shipments to/via China/Japan/Turkey/Egypt  Customs system</t>
  </si>
  <si>
    <t>Cargo Manifest Amendment Fee (CMA)</t>
  </si>
  <si>
    <t>Euro 40</t>
  </si>
  <si>
    <t>corrections to shipments to/via China/Japan/Turkey/Egypt Carrier System</t>
  </si>
  <si>
    <t>Telex Release Fee</t>
  </si>
  <si>
    <t>Euro 60</t>
  </si>
  <si>
    <t>Late SI FEE</t>
  </si>
  <si>
    <t>Euro 80</t>
  </si>
  <si>
    <t>when providing BL instructions after SI cut off</t>
  </si>
  <si>
    <t>Manual booking fee</t>
  </si>
  <si>
    <t>per booking</t>
  </si>
  <si>
    <t xml:space="preserve">booking cancellation fees eff. 01.09.2023: </t>
  </si>
  <si>
    <r>
      <t>General cargo dry - from</t>
    </r>
    <r>
      <rPr>
        <b/>
        <sz val="10"/>
        <color theme="1" tint="0.34998626667073579"/>
        <rFont val="Arial"/>
        <family val="2"/>
      </rPr>
      <t xml:space="preserve"> </t>
    </r>
    <r>
      <rPr>
        <b/>
        <sz val="10"/>
        <color rgb="FFFF0000"/>
        <rFont val="Arial"/>
        <family val="2"/>
      </rPr>
      <t>5 calendar days</t>
    </r>
    <r>
      <rPr>
        <sz val="10"/>
        <color theme="1" tint="0.34998626667073579"/>
        <rFont val="Arial"/>
        <family val="2"/>
      </rPr>
      <t xml:space="preserve"> or less before gate in deadline EUR 100,- per container for cancelled or rolled bookings, including missing VGM/SI. (Except Destination Region Russia)</t>
    </r>
  </si>
  <si>
    <r>
      <t>Reefer/Dangerous goods/Special Equipment - from</t>
    </r>
    <r>
      <rPr>
        <b/>
        <sz val="10"/>
        <color theme="1" tint="0.34998626667073579"/>
        <rFont val="Arial"/>
        <family val="2"/>
      </rPr>
      <t xml:space="preserve"> </t>
    </r>
    <r>
      <rPr>
        <b/>
        <sz val="10"/>
        <color rgb="FFFF0000"/>
        <rFont val="Arial"/>
        <family val="2"/>
      </rPr>
      <t>5 calendar days</t>
    </r>
    <r>
      <rPr>
        <sz val="10"/>
        <color theme="1" tint="0.34998626667073579"/>
        <rFont val="Arial"/>
        <family val="2"/>
      </rPr>
      <t xml:space="preserve"> or less before gate in deadline EUR 150,- per container for cancelled or rolled bookings, including missing VGM/SI (Except Destination)</t>
    </r>
  </si>
  <si>
    <t>Certificates</t>
  </si>
  <si>
    <t>as Word Doc provided by customer</t>
  </si>
  <si>
    <t>Data provided or certificate manually created by carrier</t>
  </si>
  <si>
    <t>Euro 50</t>
  </si>
  <si>
    <t>Notarized Certificate</t>
  </si>
  <si>
    <t>Euro 150</t>
  </si>
  <si>
    <t xml:space="preserve">HSS :           </t>
  </si>
  <si>
    <t xml:space="preserve">In case Shipper fail to secure Cntr.  with High Security Seal, then the Terminal Operator needs </t>
  </si>
  <si>
    <t xml:space="preserve">to re-seal the container without pre-notice. Terminal charges Euro 50 per Container / load location Euro 35 per Container, what OOCL has to </t>
  </si>
  <si>
    <t xml:space="preserve">charge to shipper without deduction - reduction. </t>
  </si>
  <si>
    <t>Customs RTM + ANR:</t>
  </si>
  <si>
    <r>
      <t xml:space="preserve">All customs formalities (also for carriers haulage) to be </t>
    </r>
    <r>
      <rPr>
        <b/>
        <u/>
        <sz val="10"/>
        <color theme="1" tint="0.34998626667073579"/>
        <rFont val="Arial"/>
        <family val="2"/>
      </rPr>
      <t>arranged by shipper/forwarder</t>
    </r>
    <r>
      <rPr>
        <sz val="10"/>
        <color theme="1" tint="0.34998626667073579"/>
        <rFont val="Arial"/>
        <family val="2"/>
      </rPr>
      <t xml:space="preserve"> themselves and must be completed at “CARGO CUT OFF DATE/TIME” </t>
    </r>
  </si>
  <si>
    <t>as stated in the booking acknowledgement to ensure a smooth shipping.</t>
  </si>
  <si>
    <t>All details regarding safety &amp; security must be listed in your export documents.</t>
  </si>
  <si>
    <t>The responsibility that all necessary documents have been received and accepted and processed by customs is in your hands. </t>
  </si>
  <si>
    <t>Carrier is not liable for any customs blockage (customs stop) as a result of customs matters.</t>
  </si>
  <si>
    <t>For further information please contact your customs broker.</t>
  </si>
  <si>
    <t>Port Shift Charge (SHF)</t>
  </si>
  <si>
    <t>Euro 75 per container for change of vessel / change of POD / delivery without  or with wrong booking number</t>
  </si>
  <si>
    <t>Validity</t>
  </si>
  <si>
    <t xml:space="preserve">valid until date mentioned in front of the appropriate rate sheet </t>
  </si>
  <si>
    <t xml:space="preserve">rates are valid subject to space and equipment availability </t>
  </si>
  <si>
    <t xml:space="preserve">rates are valid to German based customers only </t>
  </si>
  <si>
    <t xml:space="preserve">local charges at origin and destination are not included in this offer and are subject to. </t>
  </si>
  <si>
    <t xml:space="preserve">Rates  are not inclusive of all other surcharges, including those, if any, </t>
  </si>
  <si>
    <t xml:space="preserve">published in the Governing Tariff (s)  at the time of shipment. </t>
  </si>
  <si>
    <t>Carrier' Haulage</t>
  </si>
  <si>
    <t>https://moc.oocl.com/wls_prs_rp/public/inlandTariff/search/display</t>
  </si>
  <si>
    <t>Payment terms</t>
  </si>
  <si>
    <t xml:space="preserve">Freight and charges are payable upon presentation of Bill of Lading.  If customer wants </t>
  </si>
  <si>
    <t>a special agreement, OOCL will  , after investigation, consider a special and mutual agreement</t>
  </si>
  <si>
    <t xml:space="preserve">with demanding party. </t>
  </si>
  <si>
    <t>Detention/Demurrage / Surcharge table / Restriction  at discharging ports</t>
  </si>
  <si>
    <t>click here &gt;&gt;&gt;</t>
  </si>
  <si>
    <t>http://www.oocl.com/eng/resourcecenter/globalinfo/</t>
  </si>
  <si>
    <t>and select the country of your interest</t>
  </si>
  <si>
    <t>Terms:</t>
  </si>
  <si>
    <t>Surcharges and fees are set at maximum, valid until further notice and are governed by prevailing tariffs published on www.oocl.com at time of shipment.</t>
  </si>
  <si>
    <t>All shipments are subject to vessel operators, planners and relevant third party approval.</t>
  </si>
  <si>
    <t>All offers are subject to space and equipment availability.</t>
  </si>
  <si>
    <t>We reserve the right to implement any surcharge at any time.</t>
  </si>
  <si>
    <t>Valid for under deck only, contact your local Sales to obtain appropriate pricing for on deck acceptance.</t>
  </si>
  <si>
    <t>We reserve the right to charge deadfreight in case of cancellations of lot shipments (consisting of 5 or more containers).</t>
  </si>
  <si>
    <t>For Special Equipment in Merchant’s Haulage the Carrier will not be liable for any damages to the tarpaulin for OT/OQ container during pre-carriages; any repair charges to be considered for the account of cargo.</t>
  </si>
  <si>
    <t>Important Notice: This Rate Document is subject to the Rate Document Terms and Conditions published on www.oocl.com, which has the payment and other terms and meaning of definitions used in the Rate Documents. Except for Surcharge and Fees marked as “Fixed” in this Rate Document, the quantum of other Surcharge and Fees in this Rate Document are set at maximum rates, valid until further notice (unless specified) and are governed by and subject to Carrier’s prevailing tariffs published on www.oocl.com at the time of shipment. Other Surcharge and Fees applicable include Surcharge and Fees introduced to cover a change of requirements or additional services at your request, contingency charges, local surcharges or other charges due to extraordinary conditions beyond OOCL’s control, if relevant, which are available at carrier’s prevailing governing tariff(s) on www.oocl.com at the time of shipment, and specified by OOCL* in its invoice(s) when your booking is accepted. Unless otherwise specified, all bookings are subject to carrier’s cargo acceptance, and availability of equipment, service loop and vessel space. All business transactions are undertaken in accordance with and subject to the carrier's Bills of Lading terms and conditions, which are available on www.oocl.com. OOCL* and carrier are defined in OOCL Bill of Lading. This Rate Document is governed by English Law.</t>
  </si>
  <si>
    <r>
      <t xml:space="preserve">The parties agree to fully comply with General Data Protection Regulation 2016/679 (“GDPR”) and any applicable data protection laws and be bound by the terms available at </t>
    </r>
    <r>
      <rPr>
        <u/>
        <sz val="10"/>
        <rFont val="Arial"/>
        <family val="2"/>
      </rPr>
      <t xml:space="preserve">http://www.oocl.com/eng/resourcecenter/industrylinks/Documents/Framework%20%28A%29-Shipper.pdf </t>
    </r>
    <r>
      <rPr>
        <sz val="10"/>
        <rFont val="Arial"/>
        <family val="2"/>
      </rPr>
      <t>under which you are the “data controller” and OOCL is the “data processor” in respect of any personal data provided by you to us for the contract of carriage.  You (i) authorise OOCL to process any personal data provided to OOCL or which is made available to OOCL by you for the purposes of providing service under the contract of carriage and the Rate Document and for other purposes including transferring personal data to competent bodies, courts or regulatory authorities, as may be requested; (ii) acknowledge and agree that OOCL may transfer the personal data to its affiliates, employees, agents, delegates, sub-processors or competent authorities and to a country outside of the European Economic Area in accordance with the “Model Clauses” at</t>
    </r>
    <r>
      <rPr>
        <u/>
        <sz val="10"/>
        <rFont val="Arial"/>
        <family val="2"/>
      </rPr>
      <t xml:space="preserve"> http://eur-lex.europa.eu/legal-content/EN/TXT/PDF/?uri=CELEX:32010D0087&amp;from=en</t>
    </r>
    <r>
      <rPr>
        <sz val="10"/>
        <rFont val="Arial"/>
        <family val="2"/>
      </rPr>
      <t xml:space="preserve"> or “Ad hoc Clauses” at </t>
    </r>
    <r>
      <rPr>
        <u/>
        <sz val="10"/>
        <rFont val="Arial"/>
        <family val="2"/>
      </rPr>
      <t>http://ec.europa.eu/justice/article-29/documentation/opinion-recommendation/files/2014/wp214_en.pdf</t>
    </r>
    <r>
      <rPr>
        <sz val="10"/>
        <rFont val="Arial"/>
        <family val="2"/>
      </rPr>
      <t xml:space="preserve"> and/or other available data transfer solutions.</t>
    </r>
  </si>
  <si>
    <t>following commodites are either prohibited or need further checking:</t>
  </si>
  <si>
    <t>optional acceptance with conditions / further checking:</t>
  </si>
  <si>
    <t>prohibited commodities:</t>
  </si>
  <si>
    <t xml:space="preserve">Alcohol </t>
  </si>
  <si>
    <t xml:space="preserve">Charcoal + carbon related cargo </t>
  </si>
  <si>
    <t>Bone Meal</t>
  </si>
  <si>
    <t>Military Cargo</t>
  </si>
  <si>
    <t>Cacao Butter</t>
  </si>
  <si>
    <t xml:space="preserve">Waste / scrap </t>
  </si>
  <si>
    <t>Cargo in Flexitank</t>
  </si>
  <si>
    <t>Wet Hides</t>
  </si>
  <si>
    <t>Coils</t>
  </si>
  <si>
    <t>Whale, Dolphin and Shark and its related products</t>
  </si>
  <si>
    <t>Dangerous goods</t>
  </si>
  <si>
    <t>specie, bullion, precious or rare metals or stones, plate, jewellery or other objects of a rare or precious nature</t>
  </si>
  <si>
    <t>donation goods</t>
  </si>
  <si>
    <t>banknotes or other forms of currency</t>
  </si>
  <si>
    <t>Dry Hides / skins</t>
  </si>
  <si>
    <t>bonds or other negotiable instruments</t>
  </si>
  <si>
    <t>Fish Meal</t>
  </si>
  <si>
    <t>Lithium Batteries on LL4/LL5 service and for OOG if DG</t>
  </si>
  <si>
    <t>High and heavy density (= weight per single package (not loaded on pallet) is over 1000 kg)</t>
  </si>
  <si>
    <t>High value cargo</t>
  </si>
  <si>
    <t>Lithium Batteries (except LL4/LL5 service)</t>
  </si>
  <si>
    <t>Magnetic iron/materials</t>
  </si>
  <si>
    <t>NI-MH Batteries (Nickel-Metal-Hydrid Batteries)</t>
  </si>
  <si>
    <t>Personal effects (Canada-USA cross-boarder &amp; Door-Deliveries prohibited)</t>
  </si>
  <si>
    <t>Rubber</t>
  </si>
  <si>
    <t xml:space="preserve">Silicon briquette </t>
  </si>
  <si>
    <t>Steel</t>
  </si>
  <si>
    <t>used cargo</t>
  </si>
  <si>
    <t>AWKWARD SHIPMENT – CHECKLISTE (effective 13.06.2019)</t>
  </si>
  <si>
    <r>
      <t xml:space="preserve">Ø </t>
    </r>
    <r>
      <rPr>
        <sz val="11.5"/>
        <color theme="1"/>
        <rFont val="Calibri"/>
        <family val="2"/>
        <scheme val="minor"/>
      </rPr>
      <t>Each change of awkward details (for example: overdimension / weight) causes</t>
    </r>
  </si>
  <si>
    <t>cancellation of existing „acceptances“.</t>
  </si>
  <si>
    <t>Following steps may help to smoothen the process of new application but are</t>
  </si>
  <si>
    <r>
      <t xml:space="preserve">no guarantee </t>
    </r>
    <r>
      <rPr>
        <sz val="11.5"/>
        <color theme="1"/>
        <rFont val="Calibri"/>
        <family val="2"/>
        <scheme val="minor"/>
      </rPr>
      <t>for final loading.</t>
    </r>
  </si>
  <si>
    <r>
      <t xml:space="preserve">Ø </t>
    </r>
    <r>
      <rPr>
        <sz val="11.5"/>
        <color theme="1"/>
        <rFont val="Calibri"/>
        <family val="2"/>
        <scheme val="minor"/>
      </rPr>
      <t>Finally changed over-dimensions (as well as dimension and weight of single</t>
    </r>
  </si>
  <si>
    <t>pieces) have to be advised to OOCL immediately, latest until VGM-cut off.</t>
  </si>
  <si>
    <r>
      <t xml:space="preserve">Ø </t>
    </r>
    <r>
      <rPr>
        <sz val="11.5"/>
        <color theme="1"/>
        <rFont val="Calibri"/>
        <family val="2"/>
        <scheme val="minor"/>
      </rPr>
      <t>Booking, booked over-dimensions, cargo dimension and picked up container</t>
    </r>
  </si>
  <si>
    <t>are linked and related to each other. Any mix up of containers must be</t>
  </si>
  <si>
    <t>advised to OOCL immediately, latest until VGM- cut off.</t>
  </si>
  <si>
    <r>
      <t xml:space="preserve">Ø </t>
    </r>
    <r>
      <rPr>
        <sz val="11.5"/>
        <color theme="1"/>
        <rFont val="Calibri"/>
        <family val="2"/>
        <scheme val="minor"/>
      </rPr>
      <t>Type of stowage must be advised: overwidth centered / one side only.</t>
    </r>
  </si>
  <si>
    <t>If oversize both sides is not centered i. e. due to “center of gravity” –</t>
  </si>
  <si>
    <t>overwidth of both sides must be announced.</t>
  </si>
  <si>
    <r>
      <t xml:space="preserve">Ø </t>
    </r>
    <r>
      <rPr>
        <sz val="11.5"/>
        <color theme="1"/>
        <rFont val="Calibri"/>
        <family val="2"/>
        <scheme val="minor"/>
      </rPr>
      <t>Costs which may accrue due to incorrect or belated information will be</t>
    </r>
  </si>
  <si>
    <t>charged for account of cargo. Announced over-dimension will be roughly</t>
  </si>
  <si>
    <t>checked against actual over-dimensions at time of full gate in at terminal (port</t>
  </si>
  <si>
    <t>of loading). Any findings may result in non-shipment and/or costs.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</si>
</sst>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6" formatCode="&quot;$&quot;#,##0_);[Red]\(&quot;$&quot;#,##0\)"/>
    <numFmt numFmtId="44" formatCode="_(&quot;$&quot;* #,##0.00_);_(&quot;$&quot;* \(#,##0.00\);_(&quot;$&quot;* &quot;-&quot;??_);_(@_)"/>
    <numFmt numFmtId="164" formatCode="&quot;$&quot;#,##0.00"/>
    <numFmt numFmtId="165" formatCode="&quot;$&quot;#,##0"/>
    <numFmt numFmtId="166" formatCode="&quot;$&quot;#,##0.00;[Red]&quot;$&quot;#,##0.00"/>
    <numFmt numFmtId="167" formatCode="#,##0\ [$€-407]"/>
    <numFmt numFmtId="168" formatCode="[$€-2]\ #,##0"/>
    <numFmt numFmtId="169" formatCode="_(&quot;$&quot;* #,##0_);_(&quot;$&quot;* \(#,##0\);_(&quot;$&quot;* &quot;-&quot;??_);_(@_)"/>
    <numFmt numFmtId="170" formatCode="[$$-409]#,##0"/>
    <numFmt numFmtId="171" formatCode="#,##0\ [$€-1]"/>
  </numFmts>
  <fonts count="197">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1"/>
      <color theme="1"/>
      <name val="Calibri"/>
      <family val="2"/>
      <scheme val="minor"/>
    </font>
    <font>
      <sz val="10"/>
      <color theme="1"/>
      <name val="Arial"/>
      <family val="2"/>
    </font>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1"/>
      <color theme="1"/>
      <name val="Calibri"/>
      <family val="2"/>
      <scheme val="minor"/>
    </font>
    <font>
      <sz val="11"/>
      <color theme="1"/>
      <name val="Calibri"/>
      <family val="2"/>
      <scheme val="minor"/>
    </font>
    <font>
      <sz val="10"/>
      <name val="Arial"/>
      <family val="2"/>
    </font>
    <font>
      <u/>
      <sz val="10"/>
      <color indexed="12"/>
      <name val="Arial"/>
      <family val="2"/>
    </font>
    <font>
      <b/>
      <sz val="10"/>
      <name val="Arial"/>
      <family val="2"/>
    </font>
    <font>
      <b/>
      <sz val="10"/>
      <color indexed="8"/>
      <name val="Arial"/>
      <family val="2"/>
    </font>
    <font>
      <b/>
      <sz val="12"/>
      <name val="Arial"/>
      <family val="2"/>
    </font>
    <font>
      <b/>
      <sz val="10"/>
      <color indexed="10"/>
      <name val="Arial"/>
      <family val="2"/>
    </font>
    <font>
      <sz val="9"/>
      <name val="Arial"/>
      <family val="2"/>
    </font>
    <font>
      <b/>
      <u/>
      <sz val="10"/>
      <name val="Arial"/>
      <family val="2"/>
    </font>
    <font>
      <sz val="10"/>
      <color indexed="8"/>
      <name val="Arial"/>
      <family val="2"/>
    </font>
    <font>
      <sz val="8"/>
      <name val="Arial"/>
      <family val="2"/>
    </font>
    <font>
      <u/>
      <sz val="10"/>
      <name val="Arial"/>
      <family val="2"/>
    </font>
    <font>
      <b/>
      <sz val="11"/>
      <color theme="0"/>
      <name val="Arial"/>
      <family val="2"/>
    </font>
    <font>
      <sz val="10"/>
      <color theme="0"/>
      <name val="Arial"/>
      <family val="2"/>
    </font>
    <font>
      <sz val="10"/>
      <color rgb="FFC00000"/>
      <name val="Arial"/>
      <family val="2"/>
    </font>
    <font>
      <b/>
      <sz val="10"/>
      <color rgb="FFFF0000"/>
      <name val="Arial"/>
      <family val="2"/>
    </font>
    <font>
      <u/>
      <sz val="10"/>
      <color rgb="FFFF0000"/>
      <name val="Arial"/>
      <family val="2"/>
    </font>
    <font>
      <sz val="10"/>
      <color rgb="FFFF0000"/>
      <name val="Arial"/>
      <family val="2"/>
    </font>
    <font>
      <sz val="10"/>
      <name val="Arial"/>
      <family val="2"/>
    </font>
    <font>
      <sz val="10"/>
      <name val="Calibri"/>
      <family val="2"/>
      <scheme val="minor"/>
    </font>
    <font>
      <sz val="10"/>
      <name val="Arial"/>
      <family val="2"/>
    </font>
    <font>
      <u/>
      <sz val="10"/>
      <color rgb="FFFF0000"/>
      <name val="Eras Bold ITC"/>
      <family val="2"/>
    </font>
    <font>
      <b/>
      <sz val="10"/>
      <color rgb="FFC00000"/>
      <name val="Arial"/>
      <family val="2"/>
    </font>
    <font>
      <sz val="11"/>
      <name val="Arial"/>
      <family val="2"/>
    </font>
    <font>
      <u/>
      <sz val="8"/>
      <color rgb="FF800080"/>
      <name val="Arial"/>
      <family val="2"/>
    </font>
    <font>
      <u/>
      <sz val="8"/>
      <color rgb="FF0000FF"/>
      <name val="Arial"/>
      <family val="2"/>
    </font>
    <font>
      <sz val="10"/>
      <color theme="0" tint="-0.499984740745262"/>
      <name val="Arial"/>
      <family val="2"/>
    </font>
    <font>
      <sz val="10"/>
      <color theme="1" tint="0.249977111117893"/>
      <name val="Arial"/>
      <family val="2"/>
    </font>
    <font>
      <b/>
      <sz val="10"/>
      <color theme="1" tint="0.249977111117893"/>
      <name val="Arial"/>
      <family val="2"/>
    </font>
    <font>
      <b/>
      <u/>
      <sz val="10"/>
      <color theme="1" tint="0.249977111117893"/>
      <name val="Arial"/>
      <family val="2"/>
    </font>
    <font>
      <u/>
      <sz val="10"/>
      <color theme="1" tint="0.249977111117893"/>
      <name val="Arial"/>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color theme="1" tint="0.34998626667073579"/>
      <name val="Arial"/>
      <family val="2"/>
    </font>
    <font>
      <sz val="10"/>
      <color theme="1" tint="0.34998626667073579"/>
      <name val="Arial"/>
      <family val="2"/>
    </font>
    <font>
      <u/>
      <sz val="8"/>
      <color rgb="FF0000FF"/>
      <name val="Calibri"/>
      <family val="2"/>
      <scheme val="minor"/>
    </font>
    <font>
      <u/>
      <sz val="8"/>
      <color rgb="FF800080"/>
      <name val="Calibri"/>
      <family val="2"/>
      <scheme val="minor"/>
    </font>
    <font>
      <u/>
      <sz val="10"/>
      <color theme="1" tint="0.34998626667073579"/>
      <name val="Arial"/>
      <family val="2"/>
    </font>
    <font>
      <b/>
      <u/>
      <sz val="10"/>
      <color theme="1" tint="0.34998626667073579"/>
      <name val="Arial"/>
      <family val="2"/>
    </font>
    <font>
      <sz val="10"/>
      <name val="Times New Roman"/>
      <family val="1"/>
    </font>
    <font>
      <b/>
      <sz val="10"/>
      <color rgb="FF595959"/>
      <name val="Arial"/>
      <family val="2"/>
    </font>
    <font>
      <b/>
      <sz val="10"/>
      <color theme="0" tint="-0.34998626667073579"/>
      <name val="Arial"/>
      <family val="2"/>
    </font>
    <font>
      <b/>
      <sz val="9"/>
      <color theme="1" tint="0.249977111117893"/>
      <name val="Arial"/>
      <family val="2"/>
    </font>
    <font>
      <b/>
      <sz val="10"/>
      <color theme="0"/>
      <name val="Arial"/>
      <family val="2"/>
    </font>
    <font>
      <i/>
      <sz val="10"/>
      <name val="Arial"/>
      <family val="2"/>
    </font>
    <font>
      <b/>
      <sz val="9"/>
      <name val="Arial"/>
      <family val="2"/>
    </font>
    <font>
      <sz val="9"/>
      <color rgb="FFFF0000"/>
      <name val="Arial"/>
      <family val="2"/>
    </font>
    <font>
      <i/>
      <sz val="8"/>
      <name val="Arial"/>
      <family val="2"/>
    </font>
    <font>
      <b/>
      <i/>
      <sz val="11"/>
      <color theme="1"/>
      <name val="Calibri"/>
      <family val="2"/>
      <scheme val="minor"/>
    </font>
    <font>
      <b/>
      <sz val="16"/>
      <color rgb="FFFF0000"/>
      <name val="Arial"/>
      <family val="2"/>
    </font>
    <font>
      <sz val="16"/>
      <color rgb="FFFF0000"/>
      <name val="Arial"/>
      <family val="2"/>
    </font>
    <font>
      <u/>
      <sz val="11"/>
      <color theme="10"/>
      <name val="Calibri"/>
      <family val="2"/>
      <scheme val="minor"/>
    </font>
    <font>
      <b/>
      <sz val="15"/>
      <color theme="1"/>
      <name val="Calibri,Bold"/>
    </font>
    <font>
      <sz val="11.5"/>
      <color theme="1"/>
      <name val="Wingdings"/>
      <charset val="2"/>
    </font>
    <font>
      <sz val="11.5"/>
      <color theme="1"/>
      <name val="Calibri"/>
      <family val="2"/>
      <scheme val="minor"/>
    </font>
    <font>
      <b/>
      <sz val="11.5"/>
      <color theme="1"/>
      <name val="Calibri,Bold"/>
    </font>
    <font>
      <sz val="8"/>
      <name val="Arial"/>
      <family val="2"/>
    </font>
    <font>
      <sz val="11"/>
      <color rgb="FFFF0000"/>
      <name val="Arial"/>
      <family val="2"/>
    </font>
    <font>
      <b/>
      <u/>
      <sz val="10"/>
      <color rgb="FFFF0000"/>
      <name val="Arial"/>
      <family val="2"/>
    </font>
    <font>
      <i/>
      <sz val="10"/>
      <color theme="1" tint="0.249977111117893"/>
      <name val="Arial"/>
      <family val="2"/>
    </font>
    <font>
      <b/>
      <sz val="10"/>
      <color rgb="FF000000"/>
      <name val="Arial"/>
      <family val="2"/>
    </font>
    <font>
      <sz val="11"/>
      <color rgb="FF9C5700"/>
      <name val="Calibri"/>
      <family val="2"/>
      <scheme val="minor"/>
    </font>
    <font>
      <b/>
      <strike/>
      <sz val="10"/>
      <color rgb="FFFF0000"/>
      <name val="Arial"/>
      <family val="2"/>
    </font>
    <font>
      <sz val="11"/>
      <color theme="1" tint="0.34998626667073579"/>
      <name val="Calibri"/>
      <family val="2"/>
    </font>
    <font>
      <b/>
      <sz val="10"/>
      <color theme="1" tint="0.34998626667073579"/>
      <name val="Tahoma"/>
      <family val="2"/>
    </font>
    <font>
      <b/>
      <sz val="11"/>
      <color theme="1" tint="0.34998626667073579"/>
      <name val="Aptos"/>
      <family val="2"/>
    </font>
    <font>
      <b/>
      <i/>
      <sz val="10"/>
      <color theme="1" tint="0.34998626667073579"/>
      <name val="Arial"/>
      <family val="2"/>
    </font>
    <font>
      <b/>
      <strike/>
      <sz val="10"/>
      <color theme="1" tint="0.34998626667073579"/>
      <name val="Arial"/>
      <family val="2"/>
    </font>
    <font>
      <sz val="10"/>
      <color rgb="FF000000"/>
      <name val="Arial"/>
      <family val="2"/>
    </font>
    <font>
      <sz val="10"/>
      <color theme="1" tint="0.499984740745262"/>
      <name val="Arial"/>
      <family val="2"/>
    </font>
    <font>
      <b/>
      <u/>
      <sz val="10"/>
      <color theme="0"/>
      <name val="Arial"/>
      <family val="2"/>
    </font>
    <font>
      <b/>
      <i/>
      <u/>
      <sz val="10"/>
      <color theme="0"/>
      <name val="Arial"/>
      <family val="2"/>
    </font>
    <font>
      <b/>
      <sz val="10"/>
      <color theme="1"/>
      <name val="Arial"/>
      <family val="2"/>
    </font>
    <font>
      <sz val="10"/>
      <color rgb="FFFF0000"/>
      <name val="Calibri"/>
      <family val="2"/>
      <scheme val="minor"/>
    </font>
    <font>
      <b/>
      <u/>
      <sz val="10"/>
      <color theme="1"/>
      <name val="Calibri"/>
      <family val="2"/>
      <scheme val="minor"/>
    </font>
    <font>
      <sz val="10"/>
      <color theme="1"/>
      <name val="Calibri"/>
      <family val="2"/>
      <scheme val="minor"/>
    </font>
    <font>
      <u/>
      <sz val="10"/>
      <color theme="10"/>
      <name val="Calibri"/>
      <family val="2"/>
      <scheme val="minor"/>
    </font>
    <font>
      <strike/>
      <sz val="10"/>
      <color theme="1" tint="0.34998626667073579"/>
      <name val="Arial"/>
      <family val="2"/>
    </font>
    <font>
      <b/>
      <i/>
      <sz val="10"/>
      <color theme="1" tint="0.249977111117893"/>
      <name val="Arial"/>
      <family val="2"/>
    </font>
    <font>
      <b/>
      <u/>
      <sz val="10"/>
      <color rgb="FFFF0000"/>
      <name val="Eras Bold ITC"/>
      <family val="2"/>
    </font>
    <font>
      <b/>
      <sz val="10"/>
      <color theme="1" tint="0.34998626667073579"/>
      <name val="Calibri"/>
      <family val="2"/>
      <scheme val="minor"/>
    </font>
    <font>
      <b/>
      <sz val="10"/>
      <color theme="1"/>
      <name val="Calibri"/>
      <family val="2"/>
      <scheme val="minor"/>
    </font>
    <font>
      <b/>
      <sz val="10"/>
      <color theme="1" tint="0.499984740745262"/>
      <name val="Arial"/>
      <family val="2"/>
    </font>
    <font>
      <b/>
      <sz val="10"/>
      <color theme="0" tint="-0.249977111117893"/>
      <name val="Arial"/>
      <family val="2"/>
    </font>
    <font>
      <u/>
      <sz val="10"/>
      <color rgb="FF0000FF"/>
      <name val="Arial"/>
      <family val="2"/>
    </font>
    <font>
      <sz val="10"/>
      <color rgb="FF0000FF"/>
      <name val="Arial"/>
      <family val="2"/>
    </font>
    <font>
      <b/>
      <sz val="10"/>
      <color rgb="FF0000FF"/>
      <name val="Arial"/>
      <family val="2"/>
    </font>
    <font>
      <sz val="10"/>
      <color theme="1" tint="0.249977111117893"/>
      <name val="Calibri"/>
      <family val="2"/>
    </font>
    <font>
      <b/>
      <sz val="14"/>
      <color theme="1" tint="0.34998626667073579"/>
      <name val="Arial"/>
      <family val="2"/>
    </font>
    <font>
      <b/>
      <sz val="12"/>
      <color theme="1" tint="0.34998626667073579"/>
      <name val="Arial"/>
      <family val="2"/>
    </font>
    <font>
      <b/>
      <u/>
      <sz val="30"/>
      <color rgb="FFFF0000"/>
      <name val="Eras Bold ITC"/>
      <family val="2"/>
    </font>
    <font>
      <b/>
      <sz val="9"/>
      <color theme="1" tint="0.34998626667073579"/>
      <name val="Tahoma"/>
      <family val="2"/>
    </font>
    <font>
      <sz val="8"/>
      <color rgb="FF000000"/>
      <name val="Arial"/>
      <family val="2"/>
    </font>
    <font>
      <b/>
      <sz val="11"/>
      <color indexed="8"/>
      <name val="Arial"/>
      <family val="2"/>
    </font>
    <font>
      <sz val="12"/>
      <color theme="1" tint="0.34998626667073579"/>
      <name val="Arial"/>
      <family val="2"/>
    </font>
    <font>
      <sz val="12"/>
      <name val="Arial"/>
      <family val="2"/>
    </font>
    <font>
      <sz val="14"/>
      <color rgb="FFFF0000"/>
      <name val="Arial"/>
      <family val="2"/>
    </font>
    <font>
      <b/>
      <sz val="18"/>
      <color theme="1" tint="0.34998626667073579"/>
      <name val="Arial"/>
      <family val="2"/>
    </font>
    <font>
      <b/>
      <sz val="14"/>
      <color theme="0"/>
      <name val="Arial"/>
      <family val="2"/>
    </font>
    <font>
      <b/>
      <sz val="9"/>
      <color theme="1" tint="0.34998626667073579"/>
      <name val="Arial"/>
      <family val="2"/>
    </font>
    <font>
      <sz val="9"/>
      <color theme="1" tint="0.34998626667073579"/>
      <name val="Arial"/>
      <family val="2"/>
    </font>
    <font>
      <b/>
      <sz val="9"/>
      <color rgb="FFFF0000"/>
      <name val="Arial"/>
      <family val="2"/>
    </font>
    <font>
      <sz val="12"/>
      <color theme="1" tint="0.249977111117893"/>
      <name val="Arial"/>
      <family val="2"/>
    </font>
    <font>
      <b/>
      <sz val="12"/>
      <color theme="1" tint="0.249977111117893"/>
      <name val="Arial"/>
      <family val="2"/>
    </font>
    <font>
      <sz val="9"/>
      <color theme="1" tint="0.249977111117893"/>
      <name val="Arial"/>
      <family val="2"/>
    </font>
    <font>
      <sz val="10"/>
      <color rgb="FF000000"/>
      <name val="Calibri"/>
      <family val="2"/>
      <scheme val="minor"/>
    </font>
    <font>
      <b/>
      <sz val="10"/>
      <color rgb="FF000000"/>
      <name val="Calibri"/>
      <family val="2"/>
      <scheme val="minor"/>
    </font>
    <font>
      <b/>
      <sz val="11"/>
      <name val="Arial"/>
      <family val="2"/>
    </font>
    <font>
      <b/>
      <sz val="11"/>
      <color theme="1" tint="0.249977111117893"/>
      <name val="Arial"/>
      <family val="2"/>
    </font>
    <font>
      <b/>
      <sz val="12"/>
      <color rgb="FFFF0000"/>
      <name val="Arial"/>
      <family val="2"/>
    </font>
    <font>
      <b/>
      <sz val="10"/>
      <color theme="1" tint="0.249977111117893"/>
      <name val="Calibri"/>
      <family val="2"/>
      <scheme val="minor"/>
    </font>
    <font>
      <b/>
      <u/>
      <sz val="10"/>
      <color theme="1" tint="0.249977111117893"/>
      <name val="Calibri"/>
      <family val="2"/>
      <scheme val="minor"/>
    </font>
    <font>
      <sz val="11"/>
      <name val="Calibri"/>
      <family val="2"/>
      <scheme val="minor"/>
    </font>
    <font>
      <b/>
      <sz val="11"/>
      <color rgb="FF000000"/>
      <name val="Aptos"/>
      <family val="2"/>
    </font>
  </fonts>
  <fills count="53">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FFF00"/>
        <bgColor indexed="64"/>
      </patternFill>
    </fill>
    <fill>
      <patternFill patternType="solid">
        <fgColor indexed="65"/>
        <bgColor indexed="64"/>
      </patternFill>
    </fill>
    <fill>
      <patternFill patternType="solid">
        <fgColor auto="1"/>
        <bgColor auto="1"/>
      </patternFill>
    </fill>
    <fill>
      <patternFill patternType="solid">
        <fgColor rgb="FFFFFFCC"/>
      </patternFill>
    </fill>
    <fill>
      <patternFill patternType="solid">
        <fgColor theme="9" tint="0.79998168889431442"/>
        <bgColor indexed="64"/>
      </patternFill>
    </fill>
    <fill>
      <patternFill patternType="solid">
        <fgColor rgb="FFFFFFFF"/>
        <bgColor indexed="64"/>
      </patternFill>
    </fill>
    <fill>
      <gradientFill degree="90">
        <stop position="0">
          <color theme="0" tint="-0.1490218817712943"/>
        </stop>
        <stop position="1">
          <color theme="0" tint="-0.49803155613879818"/>
        </stop>
      </gradient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lightTrellis">
        <bgColor theme="0" tint="-0.34998626667073579"/>
      </patternFill>
    </fill>
    <fill>
      <patternFill patternType="solid">
        <fgColor theme="1" tint="0.34998626667073579"/>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theme="0"/>
        <bgColor auto="1"/>
      </patternFill>
    </fill>
    <fill>
      <patternFill patternType="solid">
        <fgColor theme="0" tint="-0.249977111117893"/>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rgb="FFFFFF66"/>
        <bgColor indexed="64"/>
      </patternFill>
    </fill>
  </fills>
  <borders count="212">
    <border>
      <left/>
      <right/>
      <top/>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rgb="FFB2B2B2"/>
      </left>
      <right style="thin">
        <color rgb="FFB2B2B2"/>
      </right>
      <top style="thin">
        <color rgb="FFB2B2B2"/>
      </top>
      <bottom style="thin">
        <color rgb="FFB2B2B2"/>
      </bottom>
      <diagonal/>
    </border>
    <border>
      <left/>
      <right/>
      <top style="thin">
        <color theme="0" tint="-4.9989318521683403E-2"/>
      </top>
      <bottom/>
      <diagonal/>
    </border>
    <border>
      <left style="medium">
        <color theme="1" tint="0.499984740745262"/>
      </left>
      <right/>
      <top style="medium">
        <color theme="1" tint="0.499984740745262"/>
      </top>
      <bottom/>
      <diagonal/>
    </border>
    <border>
      <left/>
      <right/>
      <top style="medium">
        <color theme="1" tint="0.499984740745262"/>
      </top>
      <bottom/>
      <diagonal/>
    </border>
    <border>
      <left/>
      <right style="medium">
        <color theme="1" tint="0.499984740745262"/>
      </right>
      <top style="medium">
        <color theme="1" tint="0.499984740745262"/>
      </top>
      <bottom/>
      <diagonal/>
    </border>
    <border>
      <left style="medium">
        <color theme="1" tint="0.499984740745262"/>
      </left>
      <right/>
      <top/>
      <bottom style="medium">
        <color theme="1" tint="0.499984740745262"/>
      </bottom>
      <diagonal/>
    </border>
    <border>
      <left/>
      <right/>
      <top/>
      <bottom style="medium">
        <color theme="1" tint="0.499984740745262"/>
      </bottom>
      <diagonal/>
    </border>
    <border>
      <left/>
      <right style="medium">
        <color theme="1" tint="0.499984740745262"/>
      </right>
      <top/>
      <bottom style="medium">
        <color theme="1" tint="0.499984740745262"/>
      </bottom>
      <diagonal/>
    </border>
    <border>
      <left style="medium">
        <color theme="1" tint="0.499984740745262"/>
      </left>
      <right style="thin">
        <color theme="1" tint="0.499984740745262"/>
      </right>
      <top style="medium">
        <color theme="1" tint="0.499984740745262"/>
      </top>
      <bottom style="thin">
        <color theme="1" tint="0.499984740745262"/>
      </bottom>
      <diagonal/>
    </border>
    <border>
      <left style="thin">
        <color theme="1" tint="0.499984740745262"/>
      </left>
      <right style="thin">
        <color theme="1" tint="0.499984740745262"/>
      </right>
      <top style="medium">
        <color theme="1" tint="0.499984740745262"/>
      </top>
      <bottom style="thin">
        <color theme="1" tint="0.499984740745262"/>
      </bottom>
      <diagonal/>
    </border>
    <border>
      <left style="thin">
        <color theme="1" tint="0.499984740745262"/>
      </left>
      <right style="medium">
        <color theme="1" tint="0.499984740745262"/>
      </right>
      <top style="medium">
        <color theme="1" tint="0.499984740745262"/>
      </top>
      <bottom style="thin">
        <color theme="1" tint="0.499984740745262"/>
      </bottom>
      <diagonal/>
    </border>
    <border>
      <left style="medium">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medium">
        <color theme="1" tint="0.499984740745262"/>
      </right>
      <top style="thin">
        <color theme="1" tint="0.499984740745262"/>
      </top>
      <bottom style="thin">
        <color theme="1" tint="0.499984740745262"/>
      </bottom>
      <diagonal/>
    </border>
    <border>
      <left style="medium">
        <color theme="1" tint="0.499984740745262"/>
      </left>
      <right style="thin">
        <color theme="1" tint="0.499984740745262"/>
      </right>
      <top style="thin">
        <color theme="1" tint="0.499984740745262"/>
      </top>
      <bottom style="medium">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1" tint="0.499984740745262"/>
      </left>
      <right style="medium">
        <color theme="1" tint="0.499984740745262"/>
      </right>
      <top style="thin">
        <color theme="1" tint="0.499984740745262"/>
      </top>
      <bottom style="medium">
        <color theme="1" tint="0.499984740745262"/>
      </bottom>
      <diagonal/>
    </border>
    <border>
      <left style="medium">
        <color theme="1" tint="0.499984740745262"/>
      </left>
      <right/>
      <top/>
      <bottom/>
      <diagonal/>
    </border>
    <border>
      <left/>
      <right style="medium">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theme="1" tint="0.499984740745262"/>
      </left>
      <right style="thin">
        <color theme="1" tint="0.499984740745262"/>
      </right>
      <top style="medium">
        <color theme="1" tint="0.499984740745262"/>
      </top>
      <bottom style="medium">
        <color theme="1" tint="0.499984740745262"/>
      </bottom>
      <diagonal/>
    </border>
    <border>
      <left style="thin">
        <color theme="1" tint="0.499984740745262"/>
      </left>
      <right style="medium">
        <color theme="1" tint="0.499984740745262"/>
      </right>
      <top style="medium">
        <color theme="1" tint="0.499984740745262"/>
      </top>
      <bottom style="medium">
        <color theme="1" tint="0.499984740745262"/>
      </bottom>
      <diagonal/>
    </border>
    <border>
      <left style="medium">
        <color theme="0" tint="-0.499984740745262"/>
      </left>
      <right/>
      <top style="medium">
        <color theme="0" tint="-0.499984740745262"/>
      </top>
      <bottom/>
      <diagonal/>
    </border>
    <border>
      <left/>
      <right/>
      <top style="medium">
        <color theme="0" tint="-0.499984740745262"/>
      </top>
      <bottom/>
      <diagonal/>
    </border>
    <border>
      <left/>
      <right style="medium">
        <color theme="0" tint="-0.499984740745262"/>
      </right>
      <top style="medium">
        <color theme="0" tint="-0.499984740745262"/>
      </top>
      <bottom/>
      <diagonal/>
    </border>
    <border>
      <left style="medium">
        <color theme="0" tint="-0.499984740745262"/>
      </left>
      <right/>
      <top/>
      <bottom/>
      <diagonal/>
    </border>
    <border>
      <left/>
      <right style="medium">
        <color theme="0" tint="-0.499984740745262"/>
      </right>
      <top/>
      <bottom/>
      <diagonal/>
    </border>
    <border>
      <left style="medium">
        <color theme="0" tint="-0.499984740745262"/>
      </left>
      <right/>
      <top/>
      <bottom style="medium">
        <color theme="0" tint="-0.499984740745262"/>
      </bottom>
      <diagonal/>
    </border>
    <border>
      <left/>
      <right/>
      <top/>
      <bottom style="medium">
        <color theme="0" tint="-0.499984740745262"/>
      </bottom>
      <diagonal/>
    </border>
    <border>
      <left/>
      <right style="medium">
        <color theme="0" tint="-0.499984740745262"/>
      </right>
      <top/>
      <bottom style="medium">
        <color theme="0"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style="medium">
        <color theme="1" tint="0.499984740745262"/>
      </bottom>
      <diagonal/>
    </border>
    <border>
      <left/>
      <right/>
      <top style="thin">
        <color indexed="64"/>
      </top>
      <bottom style="thin">
        <color indexed="64"/>
      </bottom>
      <diagonal/>
    </border>
    <border>
      <left style="thin">
        <color theme="0" tint="-0.499984740745262"/>
      </left>
      <right style="thin">
        <color theme="0" tint="-0.499984740745262"/>
      </right>
      <top style="thin">
        <color theme="0" tint="-0.499984740745262"/>
      </top>
      <bottom/>
      <diagonal/>
    </border>
    <border>
      <left/>
      <right/>
      <top/>
      <bottom style="thin">
        <color theme="0" tint="-0.499984740745262"/>
      </bottom>
      <diagonal/>
    </border>
    <border>
      <left style="thin">
        <color theme="1" tint="0.499984740745262"/>
      </left>
      <right/>
      <top style="thin">
        <color theme="1" tint="0.499984740745262"/>
      </top>
      <bottom style="thin">
        <color theme="1" tint="0.499984740745262"/>
      </bottom>
      <diagonal/>
    </border>
    <border>
      <left style="medium">
        <color theme="0" tint="-0.34998626667073579"/>
      </left>
      <right/>
      <top style="medium">
        <color theme="0" tint="-0.34998626667073579"/>
      </top>
      <bottom style="medium">
        <color theme="0" tint="-0.34998626667073579"/>
      </bottom>
      <diagonal/>
    </border>
    <border>
      <left/>
      <right/>
      <top style="medium">
        <color theme="0" tint="-0.34998626667073579"/>
      </top>
      <bottom style="medium">
        <color theme="0" tint="-0.34998626667073579"/>
      </bottom>
      <diagonal/>
    </border>
    <border>
      <left/>
      <right style="medium">
        <color theme="0" tint="-0.34998626667073579"/>
      </right>
      <top style="medium">
        <color theme="0" tint="-0.34998626667073579"/>
      </top>
      <bottom style="medium">
        <color theme="0" tint="-0.34998626667073579"/>
      </bottom>
      <diagonal/>
    </border>
    <border>
      <left style="medium">
        <color theme="1" tint="0.499984740745262"/>
      </left>
      <right/>
      <top style="medium">
        <color theme="1" tint="0.499984740745262"/>
      </top>
      <bottom style="medium">
        <color theme="1" tint="0.499984740745262"/>
      </bottom>
      <diagonal/>
    </border>
    <border>
      <left/>
      <right/>
      <top style="medium">
        <color theme="1" tint="0.499984740745262"/>
      </top>
      <bottom style="medium">
        <color theme="1" tint="0.499984740745262"/>
      </bottom>
      <diagonal/>
    </border>
    <border>
      <left/>
      <right style="medium">
        <color theme="1" tint="0.499984740745262"/>
      </right>
      <top style="medium">
        <color theme="1" tint="0.499984740745262"/>
      </top>
      <bottom style="medium">
        <color theme="1" tint="0.499984740745262"/>
      </bottom>
      <diagonal/>
    </border>
    <border>
      <left style="medium">
        <color theme="1" tint="0.499984740745262"/>
      </left>
      <right style="thin">
        <color theme="1" tint="0.499984740745262"/>
      </right>
      <top/>
      <bottom style="thin">
        <color theme="1" tint="0.499984740745262"/>
      </bottom>
      <diagonal/>
    </border>
    <border>
      <left style="thin">
        <color theme="0" tint="-0.499984740745262"/>
      </left>
      <right style="thin">
        <color theme="0" tint="-0.499984740745262"/>
      </right>
      <top/>
      <bottom style="medium">
        <color theme="1" tint="0.499984740745262"/>
      </bottom>
      <diagonal/>
    </border>
    <border>
      <left style="medium">
        <color theme="1" tint="0.499984740745262"/>
      </left>
      <right style="thin">
        <color theme="1" tint="0.499984740745262"/>
      </right>
      <top style="thin">
        <color theme="1" tint="0.499984740745262"/>
      </top>
      <bottom/>
      <diagonal/>
    </border>
    <border>
      <left style="medium">
        <color theme="1" tint="0.499984740745262"/>
      </left>
      <right style="thin">
        <color theme="1" tint="0.499984740745262"/>
      </right>
      <top/>
      <bottom/>
      <diagonal/>
    </border>
    <border>
      <left style="thin">
        <color theme="1" tint="0.499984740745262"/>
      </left>
      <right style="medium">
        <color theme="1" tint="0.499984740745262"/>
      </right>
      <top/>
      <bottom style="thin">
        <color theme="1" tint="0.499984740745262"/>
      </bottom>
      <diagonal/>
    </border>
    <border>
      <left style="medium">
        <color theme="1" tint="0.499984740745262"/>
      </left>
      <right style="thin">
        <color theme="1" tint="0.499984740745262"/>
      </right>
      <top/>
      <bottom style="medium">
        <color theme="1" tint="0.499984740745262"/>
      </bottom>
      <diagonal/>
    </border>
    <border>
      <left style="thin">
        <color theme="1" tint="0.499984740745262"/>
      </left>
      <right style="medium">
        <color theme="1" tint="0.499984740745262"/>
      </right>
      <top/>
      <bottom style="medium">
        <color theme="1" tint="0.499984740745262"/>
      </bottom>
      <diagonal/>
    </border>
    <border>
      <left/>
      <right style="thin">
        <color theme="1" tint="0.499984740745262"/>
      </right>
      <top style="thin">
        <color theme="1" tint="0.499984740745262"/>
      </top>
      <bottom style="thin">
        <color theme="1" tint="0.499984740745262"/>
      </bottom>
      <diagonal/>
    </border>
    <border>
      <left/>
      <right/>
      <top style="thin">
        <color theme="1" tint="0.499984740745262"/>
      </top>
      <bottom/>
      <diagonal/>
    </border>
    <border>
      <left/>
      <right style="thin">
        <color theme="1" tint="0.499984740745262"/>
      </right>
      <top style="thin">
        <color theme="1" tint="0.499984740745262"/>
      </top>
      <bottom/>
      <diagonal/>
    </border>
    <border>
      <left/>
      <right/>
      <top style="thin">
        <color theme="1" tint="0.34998626667073579"/>
      </top>
      <bottom/>
      <diagonal/>
    </border>
    <border>
      <left style="medium">
        <color theme="1" tint="0.499984740745262"/>
      </left>
      <right/>
      <top style="thin">
        <color theme="1" tint="0.34998626667073579"/>
      </top>
      <bottom/>
      <diagonal/>
    </border>
    <border>
      <left/>
      <right style="medium">
        <color theme="1" tint="0.499984740745262"/>
      </right>
      <top style="thin">
        <color theme="1" tint="0.34998626667073579"/>
      </top>
      <bottom/>
      <diagonal/>
    </border>
    <border>
      <left style="medium">
        <color theme="1" tint="0.499984740745262"/>
      </left>
      <right/>
      <top style="thin">
        <color theme="1" tint="0.499984740745262"/>
      </top>
      <bottom/>
      <diagonal/>
    </border>
    <border>
      <left/>
      <right style="medium">
        <color theme="1" tint="0.499984740745262"/>
      </right>
      <top style="thin">
        <color theme="1" tint="0.499984740745262"/>
      </top>
      <bottom/>
      <diagonal/>
    </border>
    <border>
      <left style="thin">
        <color theme="0" tint="-0.499984740745262"/>
      </left>
      <right style="thin">
        <color theme="0"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style="medium">
        <color theme="0" tint="-0.499984740745262"/>
      </bottom>
      <diagonal/>
    </border>
    <border>
      <left/>
      <right style="medium">
        <color theme="1" tint="0.499984740745262"/>
      </right>
      <top style="thin">
        <color theme="1" tint="0.499984740745262"/>
      </top>
      <bottom style="thin">
        <color theme="1" tint="0.499984740745262"/>
      </bottom>
      <diagonal/>
    </border>
    <border>
      <left style="medium">
        <color theme="1" tint="0.499984740745262"/>
      </left>
      <right style="medium">
        <color theme="1" tint="0.499984740745262"/>
      </right>
      <top style="medium">
        <color theme="1" tint="0.499984740745262"/>
      </top>
      <bottom style="medium">
        <color theme="1" tint="0.499984740745262"/>
      </bottom>
      <diagonal/>
    </border>
    <border>
      <left style="medium">
        <color theme="0" tint="-0.499984740745262"/>
      </left>
      <right style="thin">
        <color theme="0" tint="-0.499984740745262"/>
      </right>
      <top/>
      <bottom style="medium">
        <color theme="0" tint="-0.499984740745262"/>
      </bottom>
      <diagonal/>
    </border>
    <border>
      <left style="thin">
        <color theme="0" tint="-0.499984740745262"/>
      </left>
      <right style="thin">
        <color theme="0" tint="-0.499984740745262"/>
      </right>
      <top/>
      <bottom style="medium">
        <color theme="0" tint="-0.499984740745262"/>
      </bottom>
      <diagonal/>
    </border>
    <border>
      <left style="thin">
        <color theme="0" tint="-0.499984740745262"/>
      </left>
      <right style="medium">
        <color theme="0" tint="-0.499984740745262"/>
      </right>
      <top/>
      <bottom style="medium">
        <color theme="0" tint="-0.499984740745262"/>
      </bottom>
      <diagonal/>
    </border>
    <border>
      <left style="thin">
        <color theme="0" tint="-0.499984740745262"/>
      </left>
      <right style="thin">
        <color theme="0" tint="-0.499984740745262"/>
      </right>
      <top style="thin">
        <color theme="1" tint="0.499984740745262"/>
      </top>
      <bottom/>
      <diagonal/>
    </border>
    <border>
      <left/>
      <right/>
      <top style="thin">
        <color theme="1" tint="0.499984740745262"/>
      </top>
      <bottom style="thin">
        <color theme="1" tint="0.499984740745262"/>
      </bottom>
      <diagonal/>
    </border>
    <border>
      <left style="thin">
        <color theme="1"/>
      </left>
      <right/>
      <top style="thin">
        <color theme="1"/>
      </top>
      <bottom style="thin">
        <color theme="1"/>
      </bottom>
      <diagonal/>
    </border>
    <border>
      <left style="thin">
        <color theme="1" tint="0.499984740745262"/>
      </left>
      <right/>
      <top style="thin">
        <color theme="1" tint="0.499984740745262"/>
      </top>
      <bottom style="medium">
        <color theme="1" tint="0.499984740745262"/>
      </bottom>
      <diagonal/>
    </border>
    <border>
      <left style="medium">
        <color theme="1" tint="0.499984740745262"/>
      </left>
      <right style="thin">
        <color theme="1" tint="0.499984740745262"/>
      </right>
      <top style="medium">
        <color theme="1" tint="0.499984740745262"/>
      </top>
      <bottom style="medium">
        <color theme="1" tint="0.499984740745262"/>
      </bottom>
      <diagonal/>
    </border>
    <border>
      <left style="thin">
        <color theme="1" tint="0.499984740745262"/>
      </left>
      <right style="medium">
        <color theme="1" tint="0.499984740745262"/>
      </right>
      <top/>
      <bottom/>
      <diagonal/>
    </border>
    <border>
      <left style="thin">
        <color indexed="64"/>
      </left>
      <right style="thin">
        <color indexed="64"/>
      </right>
      <top/>
      <bottom style="thin">
        <color indexed="64"/>
      </bottom>
      <diagonal/>
    </border>
    <border>
      <left style="medium">
        <color theme="1" tint="0.34998626667073579"/>
      </left>
      <right/>
      <top style="medium">
        <color theme="1" tint="0.34998626667073579"/>
      </top>
      <bottom/>
      <diagonal/>
    </border>
    <border>
      <left/>
      <right/>
      <top style="medium">
        <color theme="1" tint="0.34998626667073579"/>
      </top>
      <bottom/>
      <diagonal/>
    </border>
    <border>
      <left/>
      <right style="medium">
        <color theme="1" tint="0.34998626667073579"/>
      </right>
      <top style="medium">
        <color theme="1" tint="0.34998626667073579"/>
      </top>
      <bottom/>
      <diagonal/>
    </border>
    <border>
      <left style="medium">
        <color theme="1" tint="0.34998626667073579"/>
      </left>
      <right/>
      <top style="thin">
        <color theme="1" tint="0.34998626667073579"/>
      </top>
      <bottom style="thin">
        <color theme="1" tint="0.499984740745262"/>
      </bottom>
      <diagonal/>
    </border>
    <border>
      <left/>
      <right style="medium">
        <color theme="1" tint="0.34998626667073579"/>
      </right>
      <top style="thin">
        <color theme="1" tint="0.34998626667073579"/>
      </top>
      <bottom/>
      <diagonal/>
    </border>
    <border>
      <left/>
      <right style="medium">
        <color theme="1" tint="0.34998626667073579"/>
      </right>
      <top/>
      <bottom/>
      <diagonal/>
    </border>
    <border>
      <left/>
      <right/>
      <top/>
      <bottom style="medium">
        <color theme="1" tint="0.34998626667073579"/>
      </bottom>
      <diagonal/>
    </border>
    <border>
      <left style="medium">
        <color theme="1" tint="0.34998626667073579"/>
      </left>
      <right/>
      <top/>
      <bottom/>
      <diagonal/>
    </border>
    <border>
      <left style="medium">
        <color theme="1" tint="0.34998626667073579"/>
      </left>
      <right/>
      <top/>
      <bottom style="medium">
        <color theme="1" tint="0.34998626667073579"/>
      </bottom>
      <diagonal/>
    </border>
    <border>
      <left/>
      <right style="medium">
        <color theme="1" tint="0.34998626667073579"/>
      </right>
      <top/>
      <bottom style="medium">
        <color theme="1" tint="0.34998626667073579"/>
      </bottom>
      <diagonal/>
    </border>
    <border>
      <left/>
      <right/>
      <top style="medium">
        <color theme="1" tint="0.499984740745262"/>
      </top>
      <bottom style="thin">
        <color theme="1" tint="0.34998626667073579"/>
      </bottom>
      <diagonal/>
    </border>
    <border>
      <left/>
      <right style="medium">
        <color theme="1" tint="0.499984740745262"/>
      </right>
      <top style="medium">
        <color theme="1" tint="0.499984740745262"/>
      </top>
      <bottom style="thin">
        <color theme="1" tint="0.34998626667073579"/>
      </bottom>
      <diagonal/>
    </border>
    <border>
      <left style="thin">
        <color theme="1" tint="0.499984740745262"/>
      </left>
      <right style="thin">
        <color theme="1" tint="0.499984740745262"/>
      </right>
      <top style="medium">
        <color theme="0" tint="-0.499984740745262"/>
      </top>
      <bottom style="thin">
        <color theme="1" tint="0.499984740745262"/>
      </bottom>
      <diagonal/>
    </border>
    <border>
      <left style="thin">
        <color theme="1" tint="0.499984740745262"/>
      </left>
      <right/>
      <top style="medium">
        <color theme="1" tint="0.499984740745262"/>
      </top>
      <bottom style="thin">
        <color theme="1" tint="0.499984740745262"/>
      </bottom>
      <diagonal/>
    </border>
    <border>
      <left/>
      <right/>
      <top style="medium">
        <color theme="1" tint="0.499984740745262"/>
      </top>
      <bottom style="thin">
        <color theme="1" tint="0.499984740745262"/>
      </bottom>
      <diagonal/>
    </border>
    <border>
      <left/>
      <right style="medium">
        <color theme="1" tint="0.499984740745262"/>
      </right>
      <top style="medium">
        <color theme="1" tint="0.499984740745262"/>
      </top>
      <bottom style="thin">
        <color theme="1" tint="0.499984740745262"/>
      </bottom>
      <diagonal/>
    </border>
    <border>
      <left/>
      <right style="thin">
        <color theme="1" tint="0.34998626667073579"/>
      </right>
      <top/>
      <bottom style="thin">
        <color theme="1" tint="0.499984740745262"/>
      </bottom>
      <diagonal/>
    </border>
    <border>
      <left/>
      <right style="thin">
        <color theme="1" tint="0.34998626667073579"/>
      </right>
      <top style="thin">
        <color theme="1" tint="0.499984740745262"/>
      </top>
      <bottom style="thin">
        <color theme="1" tint="0.499984740745262"/>
      </bottom>
      <diagonal/>
    </border>
    <border>
      <left/>
      <right style="thin">
        <color theme="1" tint="0.34998626667073579"/>
      </right>
      <top/>
      <bottom/>
      <diagonal/>
    </border>
    <border>
      <left/>
      <right style="thin">
        <color theme="1" tint="0.34998626667073579"/>
      </right>
      <top style="thin">
        <color theme="1" tint="0.34998626667073579"/>
      </top>
      <bottom style="thin">
        <color theme="1" tint="0.34998626667073579"/>
      </bottom>
      <diagonal/>
    </border>
    <border>
      <left/>
      <right style="thin">
        <color theme="1" tint="0.499984740745262"/>
      </right>
      <top style="medium">
        <color theme="1" tint="0.499984740745262"/>
      </top>
      <bottom style="thin">
        <color theme="1" tint="0.499984740745262"/>
      </bottom>
      <diagonal/>
    </border>
    <border>
      <left/>
      <right style="thin">
        <color theme="1" tint="0.499984740745262"/>
      </right>
      <top style="medium">
        <color theme="1" tint="0.499984740745262"/>
      </top>
      <bottom style="medium">
        <color theme="1" tint="0.499984740745262"/>
      </bottom>
      <diagonal/>
    </border>
    <border>
      <left/>
      <right style="thin">
        <color theme="1" tint="0.499984740745262"/>
      </right>
      <top style="thin">
        <color theme="1" tint="0.499984740745262"/>
      </top>
      <bottom style="medium">
        <color theme="1" tint="0.499984740745262"/>
      </bottom>
      <diagonal/>
    </border>
    <border>
      <left style="thin">
        <color theme="0" tint="-0.499984740745262"/>
      </left>
      <right style="thin">
        <color theme="0" tint="-0.499984740745262"/>
      </right>
      <top style="medium">
        <color theme="1" tint="0.499984740745262"/>
      </top>
      <bottom style="thin">
        <color theme="1" tint="0.499984740745262"/>
      </bottom>
      <diagonal/>
    </border>
    <border>
      <left style="thin">
        <color theme="0" tint="-0.499984740745262"/>
      </left>
      <right style="thin">
        <color theme="0" tint="-0.499984740745262"/>
      </right>
      <top style="thin">
        <color theme="1" tint="0.499984740745262"/>
      </top>
      <bottom style="medium">
        <color theme="1" tint="0.499984740745262"/>
      </bottom>
      <diagonal/>
    </border>
    <border>
      <left/>
      <right/>
      <top style="thin">
        <color theme="1" tint="0.499984740745262"/>
      </top>
      <bottom style="medium">
        <color theme="1" tint="0.499984740745262"/>
      </bottom>
      <diagonal/>
    </border>
    <border>
      <left style="thin">
        <color theme="0" tint="-0.499984740745262"/>
      </left>
      <right/>
      <top style="medium">
        <color theme="1" tint="0.499984740745262"/>
      </top>
      <bottom style="thin">
        <color theme="1" tint="0.499984740745262"/>
      </bottom>
      <diagonal/>
    </border>
    <border>
      <left/>
      <right style="medium">
        <color theme="1" tint="0.499984740745262"/>
      </right>
      <top style="thin">
        <color theme="1" tint="0.499984740745262"/>
      </top>
      <bottom style="medium">
        <color theme="1" tint="0.499984740745262"/>
      </bottom>
      <diagonal/>
    </border>
    <border>
      <left/>
      <right style="medium">
        <color theme="1" tint="0.499984740745262"/>
      </right>
      <top/>
      <bottom style="thin">
        <color theme="1" tint="0.499984740745262"/>
      </bottom>
      <diagonal/>
    </border>
    <border>
      <left style="thin">
        <color theme="1" tint="0.499984740745262"/>
      </left>
      <right style="medium">
        <color theme="1" tint="0.499984740745262"/>
      </right>
      <top style="medium">
        <color theme="1" tint="0.499984740745262"/>
      </top>
      <bottom/>
      <diagonal/>
    </border>
    <border>
      <left/>
      <right style="thin">
        <color theme="1" tint="0.499984740745262"/>
      </right>
      <top style="medium">
        <color theme="1" tint="0.499984740745262"/>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right/>
      <top style="medium">
        <color theme="1" tint="0.34998626667073579"/>
      </top>
      <bottom style="thin">
        <color theme="1" tint="0.34998626667073579"/>
      </bottom>
      <diagonal/>
    </border>
    <border>
      <left/>
      <right style="medium">
        <color theme="1" tint="0.34998626667073579"/>
      </right>
      <top style="medium">
        <color theme="1" tint="0.34998626667073579"/>
      </top>
      <bottom style="thin">
        <color theme="1" tint="0.34998626667073579"/>
      </bottom>
      <diagonal/>
    </border>
    <border>
      <left style="thin">
        <color indexed="64"/>
      </left>
      <right style="medium">
        <color theme="0" tint="-0.499984740745262"/>
      </right>
      <top style="thin">
        <color indexed="64"/>
      </top>
      <bottom style="thin">
        <color indexed="64"/>
      </bottom>
      <diagonal/>
    </border>
    <border>
      <left style="thin">
        <color indexed="64"/>
      </left>
      <right style="thin">
        <color indexed="64"/>
      </right>
      <top style="thin">
        <color indexed="64"/>
      </top>
      <bottom style="medium">
        <color theme="0" tint="-0.499984740745262"/>
      </bottom>
      <diagonal/>
    </border>
    <border>
      <left style="thin">
        <color indexed="64"/>
      </left>
      <right style="medium">
        <color theme="0" tint="-0.499984740745262"/>
      </right>
      <top style="thin">
        <color indexed="64"/>
      </top>
      <bottom style="medium">
        <color theme="0" tint="-0.499984740745262"/>
      </bottom>
      <diagonal/>
    </border>
    <border>
      <left style="medium">
        <color theme="1" tint="0.499984740745262"/>
      </left>
      <right style="thin">
        <color theme="1" tint="0.499984740745262"/>
      </right>
      <top style="thin">
        <color theme="1" tint="0.499984740745262"/>
      </top>
      <bottom style="medium">
        <color theme="0" tint="-0.499984740745262"/>
      </bottom>
      <diagonal/>
    </border>
    <border>
      <left style="thin">
        <color theme="1" tint="0.34998626667073579"/>
      </left>
      <right style="medium">
        <color theme="1" tint="0.499984740745262"/>
      </right>
      <top style="thin">
        <color theme="1" tint="0.34998626667073579"/>
      </top>
      <bottom style="medium">
        <color theme="0" tint="-0.499984740745262"/>
      </bottom>
      <diagonal/>
    </border>
    <border>
      <left style="medium">
        <color theme="1" tint="0.499984740745262"/>
      </left>
      <right style="thin">
        <color theme="1" tint="0.499984740745262"/>
      </right>
      <top style="thin">
        <color theme="1" tint="0.499984740745262"/>
      </top>
      <bottom style="thin">
        <color theme="0" tint="-0.499984740745262"/>
      </bottom>
      <diagonal/>
    </border>
    <border>
      <left style="thin">
        <color theme="1" tint="0.499984740745262"/>
      </left>
      <right style="thin">
        <color theme="1" tint="0.499984740745262"/>
      </right>
      <top style="thin">
        <color theme="1" tint="0.499984740745262"/>
      </top>
      <bottom style="thin">
        <color theme="0" tint="-0.499984740745262"/>
      </bottom>
      <diagonal/>
    </border>
    <border>
      <left/>
      <right/>
      <top/>
      <bottom style="medium">
        <color theme="0" tint="-0.34998626667073579"/>
      </bottom>
      <diagonal/>
    </border>
    <border>
      <left style="thin">
        <color theme="1" tint="0.499984740745262"/>
      </left>
      <right style="thin">
        <color theme="1" tint="0.499984740745262"/>
      </right>
      <top style="medium">
        <color theme="0" tint="-0.499984740745262"/>
      </top>
      <bottom style="thin">
        <color theme="0" tint="-0.499984740745262"/>
      </bottom>
      <diagonal/>
    </border>
    <border>
      <left style="thin">
        <color theme="1" tint="0.34998626667073579"/>
      </left>
      <right style="medium">
        <color theme="1" tint="0.499984740745262"/>
      </right>
      <top style="thin">
        <color theme="1" tint="0.499984740745262"/>
      </top>
      <bottom style="thin">
        <color theme="0" tint="-0.499984740745262"/>
      </bottom>
      <diagonal/>
    </border>
    <border>
      <left style="thin">
        <color theme="1" tint="0.499984740745262"/>
      </left>
      <right style="medium">
        <color theme="1" tint="0.499984740745262"/>
      </right>
      <top style="thin">
        <color theme="1" tint="0.499984740745262"/>
      </top>
      <bottom/>
      <diagonal/>
    </border>
    <border>
      <left style="medium">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style="medium">
        <color theme="0" tint="-0.499984740745262"/>
      </right>
      <top style="medium">
        <color theme="0" tint="-0.499984740745262"/>
      </top>
      <bottom style="thin">
        <color theme="0" tint="-0.499984740745262"/>
      </bottom>
      <diagonal/>
    </border>
    <border>
      <left style="medium">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medium">
        <color theme="0" tint="-0.499984740745262"/>
      </right>
      <top style="thin">
        <color theme="0" tint="-0.499984740745262"/>
      </top>
      <bottom style="thin">
        <color theme="0" tint="-0.499984740745262"/>
      </bottom>
      <diagonal/>
    </border>
    <border>
      <left style="medium">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style="medium">
        <color theme="0" tint="-0.499984740745262"/>
      </right>
      <top style="thin">
        <color theme="0" tint="-0.499984740745262"/>
      </top>
      <bottom style="medium">
        <color theme="0" tint="-0.499984740745262"/>
      </bottom>
      <diagonal/>
    </border>
    <border>
      <left/>
      <right/>
      <top style="medium">
        <color theme="0" tint="-0.34998626667073579"/>
      </top>
      <bottom/>
      <diagonal/>
    </border>
    <border>
      <left style="medium">
        <color theme="0" tint="-0.34998626667073579"/>
      </left>
      <right/>
      <top style="medium">
        <color theme="0" tint="-0.34998626667073579"/>
      </top>
      <bottom/>
      <diagonal/>
    </border>
    <border>
      <left/>
      <right style="medium">
        <color theme="0" tint="-0.34998626667073579"/>
      </right>
      <top style="medium">
        <color theme="0" tint="-0.34998626667073579"/>
      </top>
      <bottom/>
      <diagonal/>
    </border>
    <border>
      <left style="medium">
        <color theme="0" tint="-0.34998626667073579"/>
      </left>
      <right/>
      <top/>
      <bottom/>
      <diagonal/>
    </border>
    <border>
      <left/>
      <right style="medium">
        <color theme="0" tint="-0.34998626667073579"/>
      </right>
      <top/>
      <bottom/>
      <diagonal/>
    </border>
    <border>
      <left style="medium">
        <color theme="0" tint="-0.34998626667073579"/>
      </left>
      <right/>
      <top/>
      <bottom style="medium">
        <color theme="0" tint="-0.34998626667073579"/>
      </bottom>
      <diagonal/>
    </border>
    <border>
      <left/>
      <right style="medium">
        <color theme="0" tint="-0.34998626667073579"/>
      </right>
      <top/>
      <bottom style="medium">
        <color theme="0" tint="-0.34998626667073579"/>
      </bottom>
      <diagonal/>
    </border>
    <border>
      <left style="thin">
        <color theme="0" tint="-0.499984740745262"/>
      </left>
      <right/>
      <top/>
      <bottom style="medium">
        <color theme="1" tint="0.499984740745262"/>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theme="0" tint="-0.499984740745262"/>
      </top>
      <bottom style="medium">
        <color theme="0" tint="-0.499984740745262"/>
      </bottom>
      <diagonal/>
    </border>
    <border>
      <left style="thin">
        <color indexed="64"/>
      </left>
      <right/>
      <top style="medium">
        <color theme="0" tint="-0.499984740745262"/>
      </top>
      <bottom style="thin">
        <color indexed="64"/>
      </bottom>
      <diagonal/>
    </border>
    <border>
      <left/>
      <right/>
      <top style="medium">
        <color theme="0" tint="-0.499984740745262"/>
      </top>
      <bottom style="thin">
        <color indexed="64"/>
      </bottom>
      <diagonal/>
    </border>
    <border>
      <left/>
      <right style="medium">
        <color theme="0" tint="-0.499984740745262"/>
      </right>
      <top style="medium">
        <color theme="0" tint="-0.499984740745262"/>
      </top>
      <bottom style="thin">
        <color indexed="64"/>
      </bottom>
      <diagonal/>
    </border>
    <border>
      <left/>
      <right style="thin">
        <color indexed="64"/>
      </right>
      <top style="thin">
        <color indexed="64"/>
      </top>
      <bottom/>
      <diagonal/>
    </border>
    <border>
      <left/>
      <right/>
      <top style="medium">
        <color theme="0" tint="-0.499984740745262"/>
      </top>
      <bottom style="medium">
        <color theme="1" tint="0.499984740745262"/>
      </bottom>
      <diagonal/>
    </border>
    <border>
      <left style="thin">
        <color theme="1" tint="0.499984740745262"/>
      </left>
      <right/>
      <top/>
      <bottom style="thin">
        <color theme="1" tint="0.499984740745262"/>
      </bottom>
      <diagonal/>
    </border>
    <border>
      <left style="medium">
        <color theme="1" tint="0.499984740745262"/>
      </left>
      <right style="thin">
        <color theme="1" tint="0.499984740745262"/>
      </right>
      <top style="medium">
        <color theme="1" tint="0.499984740745262"/>
      </top>
      <bottom/>
      <diagonal/>
    </border>
    <border>
      <left style="thin">
        <color theme="1" tint="0.499984740745262"/>
      </left>
      <right style="thin">
        <color theme="1" tint="0.499984740745262"/>
      </right>
      <top style="medium">
        <color theme="1" tint="0.499984740745262"/>
      </top>
      <bottom/>
      <diagonal/>
    </border>
    <border>
      <left style="thin">
        <color theme="1" tint="0.499984740745262"/>
      </left>
      <right style="thin">
        <color theme="1" tint="0.499984740745262"/>
      </right>
      <top/>
      <bottom/>
      <diagonal/>
    </border>
    <border>
      <left style="thin">
        <color theme="0"/>
      </left>
      <right/>
      <top/>
      <bottom/>
      <diagonal/>
    </border>
    <border>
      <left style="thin">
        <color theme="0" tint="-0.499984740745262"/>
      </left>
      <right/>
      <top style="medium">
        <color theme="0" tint="-0.499984740745262"/>
      </top>
      <bottom style="thin">
        <color theme="0" tint="-0.499984740745262"/>
      </bottom>
      <diagonal/>
    </border>
    <border>
      <left/>
      <right style="thin">
        <color theme="0" tint="-0.499984740745262"/>
      </right>
      <top style="medium">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medium">
        <color theme="0" tint="-0.499984740745262"/>
      </bottom>
      <diagonal/>
    </border>
    <border>
      <left/>
      <right style="thin">
        <color theme="0" tint="-0.499984740745262"/>
      </right>
      <top style="thin">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style="medium">
        <color theme="1" tint="0.499984740745262"/>
      </left>
      <right/>
      <top style="medium">
        <color theme="0" tint="-0.499984740745262"/>
      </top>
      <bottom style="medium">
        <color theme="0" tint="-0.499984740745262"/>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theme="1" tint="0.499984740745262"/>
      </left>
      <right style="thin">
        <color theme="1" tint="0.499984740745262"/>
      </right>
      <top/>
      <bottom style="medium">
        <color theme="0" tint="-0.34998626667073579"/>
      </bottom>
      <diagonal/>
    </border>
    <border>
      <left style="medium">
        <color theme="0" tint="-0.34998626667073579"/>
      </left>
      <right style="thin">
        <color theme="1" tint="0.499984740745262"/>
      </right>
      <top style="medium">
        <color theme="0" tint="-0.499984740745262"/>
      </top>
      <bottom style="thin">
        <color theme="0" tint="-0.499984740745262"/>
      </bottom>
      <diagonal/>
    </border>
    <border>
      <left style="thin">
        <color theme="1" tint="0.499984740745262"/>
      </left>
      <right style="medium">
        <color theme="0" tint="-0.34998626667073579"/>
      </right>
      <top style="medium">
        <color theme="0" tint="-0.499984740745262"/>
      </top>
      <bottom style="thin">
        <color theme="0" tint="-0.499984740745262"/>
      </bottom>
      <diagonal/>
    </border>
    <border>
      <left style="medium">
        <color theme="0" tint="-0.34998626667073579"/>
      </left>
      <right style="thin">
        <color theme="1" tint="0.499984740745262"/>
      </right>
      <top style="thin">
        <color theme="0" tint="-0.499984740745262"/>
      </top>
      <bottom style="medium">
        <color theme="0" tint="-0.34998626667073579"/>
      </bottom>
      <diagonal/>
    </border>
    <border>
      <left style="thin">
        <color theme="1" tint="0.499984740745262"/>
      </left>
      <right style="thin">
        <color theme="1" tint="0.499984740745262"/>
      </right>
      <top style="thin">
        <color theme="0" tint="-0.499984740745262"/>
      </top>
      <bottom style="medium">
        <color theme="0" tint="-0.34998626667073579"/>
      </bottom>
      <diagonal/>
    </border>
    <border>
      <left style="thin">
        <color theme="1" tint="0.499984740745262"/>
      </left>
      <right style="medium">
        <color theme="0" tint="-0.34998626667073579"/>
      </right>
      <top style="thin">
        <color theme="0" tint="-0.499984740745262"/>
      </top>
      <bottom style="medium">
        <color theme="0" tint="-0.34998626667073579"/>
      </bottom>
      <diagonal/>
    </border>
    <border>
      <left style="medium">
        <color theme="0" tint="-0.499984740745262"/>
      </left>
      <right style="thin">
        <color theme="1" tint="0.499984740745262"/>
      </right>
      <top style="medium">
        <color theme="0" tint="-0.499984740745262"/>
      </top>
      <bottom style="thin">
        <color theme="1" tint="0.499984740745262"/>
      </bottom>
      <diagonal/>
    </border>
    <border>
      <left style="thin">
        <color theme="1" tint="0.499984740745262"/>
      </left>
      <right style="medium">
        <color theme="0" tint="-0.499984740745262"/>
      </right>
      <top style="medium">
        <color theme="0" tint="-0.499984740745262"/>
      </top>
      <bottom style="thin">
        <color theme="1" tint="0.499984740745262"/>
      </bottom>
      <diagonal/>
    </border>
    <border>
      <left style="medium">
        <color theme="0"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medium">
        <color theme="0"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diagonal/>
    </border>
    <border>
      <left/>
      <right style="thin">
        <color theme="1" tint="0.499984740745262"/>
      </right>
      <top/>
      <bottom style="thin">
        <color theme="1" tint="0.499984740745262"/>
      </bottom>
      <diagonal/>
    </border>
    <border>
      <left style="thin">
        <color theme="1" tint="0.499984740745262"/>
      </left>
      <right/>
      <top style="medium">
        <color theme="0" tint="-0.34998626667073579"/>
      </top>
      <bottom style="thin">
        <color theme="1" tint="0.499984740745262"/>
      </bottom>
      <diagonal/>
    </border>
    <border>
      <left style="thin">
        <color indexed="64"/>
      </left>
      <right style="thin">
        <color indexed="64"/>
      </right>
      <top style="medium">
        <color theme="0" tint="-0.34998626667073579"/>
      </top>
      <bottom style="thin">
        <color indexed="64"/>
      </bottom>
      <diagonal/>
    </border>
    <border>
      <left/>
      <right style="thin">
        <color theme="1" tint="0.499984740745262"/>
      </right>
      <top style="medium">
        <color theme="0" tint="-0.34998626667073579"/>
      </top>
      <bottom style="thin">
        <color theme="1" tint="0.499984740745262"/>
      </bottom>
      <diagonal/>
    </border>
    <border>
      <left style="medium">
        <color theme="1" tint="0.499984740745262"/>
      </left>
      <right style="thin">
        <color theme="1" tint="0.499984740745262"/>
      </right>
      <top style="medium">
        <color theme="0" tint="-0.34998626667073579"/>
      </top>
      <bottom style="thin">
        <color theme="1" tint="0.499984740745262"/>
      </bottom>
      <diagonal/>
    </border>
    <border>
      <left style="thin">
        <color theme="1" tint="0.499984740745262"/>
      </left>
      <right style="medium">
        <color theme="1" tint="0.499984740745262"/>
      </right>
      <top style="medium">
        <color theme="0" tint="-0.34998626667073579"/>
      </top>
      <bottom style="thin">
        <color theme="1" tint="0.499984740745262"/>
      </bottom>
      <diagonal/>
    </border>
    <border>
      <left style="thin">
        <color indexed="64"/>
      </left>
      <right style="thin">
        <color indexed="64"/>
      </right>
      <top style="thin">
        <color indexed="64"/>
      </top>
      <bottom style="medium">
        <color theme="1" tint="0.499984740745262"/>
      </bottom>
      <diagonal/>
    </border>
    <border>
      <left/>
      <right style="thin">
        <color theme="1" tint="0.499984740745262"/>
      </right>
      <top/>
      <bottom style="medium">
        <color theme="1" tint="0.499984740745262"/>
      </bottom>
      <diagonal/>
    </border>
    <border>
      <left style="medium">
        <color theme="1" tint="0.499984740745262"/>
      </left>
      <right style="thin">
        <color theme="1" tint="0.499984740745262"/>
      </right>
      <top style="medium">
        <color theme="0" tint="-0.499984740745262"/>
      </top>
      <bottom style="thin">
        <color theme="1" tint="0.499984740745262"/>
      </bottom>
      <diagonal/>
    </border>
    <border>
      <left style="thin">
        <color theme="1" tint="0.499984740745262"/>
      </left>
      <right style="medium">
        <color theme="1" tint="0.499984740745262"/>
      </right>
      <top style="medium">
        <color theme="0" tint="-0.499984740745262"/>
      </top>
      <bottom style="thin">
        <color theme="1" tint="0.499984740745262"/>
      </bottom>
      <diagonal/>
    </border>
    <border>
      <left style="medium">
        <color theme="1" tint="0.499984740745262"/>
      </left>
      <right/>
      <top style="medium">
        <color theme="0" tint="-0.499984740745262"/>
      </top>
      <bottom/>
      <diagonal/>
    </border>
    <border>
      <left/>
      <right style="medium">
        <color theme="1" tint="0.499984740745262"/>
      </right>
      <top style="medium">
        <color theme="0" tint="-0.499984740745262"/>
      </top>
      <bottom/>
      <diagonal/>
    </border>
    <border>
      <left style="thin">
        <color theme="1" tint="0.499984740745262"/>
      </left>
      <right style="thin">
        <color theme="1" tint="0.499984740745262"/>
      </right>
      <top style="medium">
        <color theme="0" tint="-0.499984740745262"/>
      </top>
      <bottom/>
      <diagonal/>
    </border>
    <border>
      <left style="thin">
        <color theme="1" tint="0.499984740745262"/>
      </left>
      <right/>
      <top style="medium">
        <color theme="0" tint="-0.499984740745262"/>
      </top>
      <bottom style="thin">
        <color theme="1" tint="0.499984740745262"/>
      </bottom>
      <diagonal/>
    </border>
    <border>
      <left style="medium">
        <color theme="0" tint="-0.499984740745262"/>
      </left>
      <right style="thin">
        <color theme="1" tint="0.499984740745262"/>
      </right>
      <top style="medium">
        <color theme="1" tint="0.499984740745262"/>
      </top>
      <bottom style="thin">
        <color theme="1" tint="0.499984740745262"/>
      </bottom>
      <diagonal/>
    </border>
    <border>
      <left style="thin">
        <color theme="1" tint="0.499984740745262"/>
      </left>
      <right style="thin">
        <color theme="1" tint="0.499984740745262"/>
      </right>
      <top/>
      <bottom style="thin">
        <color theme="0" tint="-0.34998626667073579"/>
      </bottom>
      <diagonal/>
    </border>
    <border>
      <left style="medium">
        <color theme="0" tint="-0.499984740745262"/>
      </left>
      <right style="thin">
        <color theme="1" tint="0.499984740745262"/>
      </right>
      <top style="thin">
        <color theme="1" tint="0.499984740745262"/>
      </top>
      <bottom style="medium">
        <color theme="1" tint="0.499984740745262"/>
      </bottom>
      <diagonal/>
    </border>
    <border>
      <left style="thin">
        <color theme="1" tint="0.499984740745262"/>
      </left>
      <right style="thin">
        <color theme="1" tint="0.499984740745262"/>
      </right>
      <top style="thin">
        <color theme="0" tint="-0.34998626667073579"/>
      </top>
      <bottom style="medium">
        <color theme="1" tint="0.499984740745262"/>
      </bottom>
      <diagonal/>
    </border>
    <border>
      <left style="thin">
        <color theme="1" tint="0.499984740745262"/>
      </left>
      <right style="medium">
        <color theme="0" tint="-0.499984740745262"/>
      </right>
      <top style="thin">
        <color theme="1" tint="0.499984740745262"/>
      </top>
      <bottom style="medium">
        <color theme="1" tint="0.499984740745262"/>
      </bottom>
      <diagonal/>
    </border>
    <border>
      <left style="medium">
        <color theme="0" tint="-0.499984740745262"/>
      </left>
      <right style="thin">
        <color theme="1" tint="0.499984740745262"/>
      </right>
      <top style="medium">
        <color theme="1" tint="0.499984740745262"/>
      </top>
      <bottom style="medium">
        <color theme="1" tint="0.499984740745262"/>
      </bottom>
      <diagonal/>
    </border>
    <border>
      <left style="thin">
        <color theme="1" tint="0.499984740745262"/>
      </left>
      <right/>
      <top/>
      <bottom/>
      <diagonal/>
    </border>
  </borders>
  <cellStyleXfs count="1485">
    <xf numFmtId="0" fontId="0" fillId="0" borderId="0"/>
    <xf numFmtId="0" fontId="71" fillId="0" borderId="0" applyNumberFormat="0" applyFill="0" applyBorder="0" applyAlignment="0" applyProtection="0">
      <alignment vertical="top"/>
      <protection locked="0"/>
    </xf>
    <xf numFmtId="0" fontId="69" fillId="0" borderId="0"/>
    <xf numFmtId="0" fontId="70" fillId="0" borderId="0"/>
    <xf numFmtId="0" fontId="67" fillId="0" borderId="0"/>
    <xf numFmtId="0" fontId="66" fillId="0" borderId="0"/>
    <xf numFmtId="0" fontId="68" fillId="0" borderId="0"/>
    <xf numFmtId="0" fontId="65" fillId="0" borderId="0"/>
    <xf numFmtId="0" fontId="64" fillId="0" borderId="0"/>
    <xf numFmtId="0" fontId="87" fillId="0" borderId="0"/>
    <xf numFmtId="0" fontId="68" fillId="0" borderId="0"/>
    <xf numFmtId="0" fontId="64" fillId="0" borderId="0"/>
    <xf numFmtId="0" fontId="64" fillId="0" borderId="0"/>
    <xf numFmtId="0" fontId="64" fillId="0" borderId="0"/>
    <xf numFmtId="0" fontId="70" fillId="0" borderId="0"/>
    <xf numFmtId="0" fontId="70" fillId="0" borderId="0"/>
    <xf numFmtId="0" fontId="63" fillId="0" borderId="0"/>
    <xf numFmtId="0" fontId="70" fillId="0" borderId="0"/>
    <xf numFmtId="0" fontId="63" fillId="0" borderId="0"/>
    <xf numFmtId="0" fontId="63" fillId="0" borderId="0"/>
    <xf numFmtId="0" fontId="63" fillId="0" borderId="0"/>
    <xf numFmtId="0" fontId="63" fillId="0" borderId="0"/>
    <xf numFmtId="0" fontId="63" fillId="0" borderId="0"/>
    <xf numFmtId="0" fontId="63" fillId="0" borderId="0"/>
    <xf numFmtId="0" fontId="63" fillId="0" borderId="0"/>
    <xf numFmtId="0" fontId="62" fillId="0" borderId="0"/>
    <xf numFmtId="0" fontId="70"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1" fillId="0" borderId="0"/>
    <xf numFmtId="0" fontId="60" fillId="0" borderId="0"/>
    <xf numFmtId="0" fontId="58" fillId="0" borderId="0"/>
    <xf numFmtId="0" fontId="70" fillId="0" borderId="0"/>
    <xf numFmtId="0" fontId="58" fillId="0" borderId="0"/>
    <xf numFmtId="0" fontId="59" fillId="0" borderId="0"/>
    <xf numFmtId="0" fontId="59" fillId="0" borderId="0"/>
    <xf numFmtId="0" fontId="58" fillId="0" borderId="0"/>
    <xf numFmtId="0" fontId="59" fillId="0" borderId="0"/>
    <xf numFmtId="0" fontId="59" fillId="0" borderId="0"/>
    <xf numFmtId="0" fontId="58"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7" fillId="0" borderId="0"/>
    <xf numFmtId="0" fontId="56" fillId="0" borderId="0"/>
    <xf numFmtId="0" fontId="55" fillId="0" borderId="0"/>
    <xf numFmtId="0" fontId="54" fillId="0" borderId="0"/>
    <xf numFmtId="0" fontId="53" fillId="0" borderId="0"/>
    <xf numFmtId="0" fontId="52" fillId="0" borderId="0"/>
    <xf numFmtId="0" fontId="51" fillId="0" borderId="0"/>
    <xf numFmtId="0" fontId="50" fillId="0" borderId="0"/>
    <xf numFmtId="0" fontId="49" fillId="0" borderId="0"/>
    <xf numFmtId="0" fontId="89" fillId="0" borderId="0"/>
    <xf numFmtId="0" fontId="56" fillId="0" borderId="0"/>
    <xf numFmtId="0" fontId="49" fillId="0" borderId="0"/>
    <xf numFmtId="0" fontId="49" fillId="0" borderId="0"/>
    <xf numFmtId="0" fontId="49" fillId="0" borderId="0"/>
    <xf numFmtId="0" fontId="49" fillId="0" borderId="0"/>
    <xf numFmtId="0" fontId="56"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56" fillId="0" borderId="0"/>
    <xf numFmtId="0" fontId="56" fillId="0" borderId="0"/>
    <xf numFmtId="0" fontId="49" fillId="0" borderId="0"/>
    <xf numFmtId="0" fontId="49" fillId="0" borderId="0"/>
    <xf numFmtId="0" fontId="56" fillId="0" borderId="0"/>
    <xf numFmtId="0" fontId="49" fillId="0" borderId="0"/>
    <xf numFmtId="0" fontId="49" fillId="0" borderId="0"/>
    <xf numFmtId="0" fontId="56"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8" fillId="0" borderId="0"/>
    <xf numFmtId="0" fontId="47" fillId="0" borderId="0"/>
    <xf numFmtId="0" fontId="46" fillId="0" borderId="0"/>
    <xf numFmtId="0" fontId="45" fillId="0" borderId="0"/>
    <xf numFmtId="44" fontId="70" fillId="0" borderId="0" applyFont="0" applyFill="0" applyBorder="0" applyAlignment="0" applyProtection="0"/>
    <xf numFmtId="0" fontId="44" fillId="0" borderId="0"/>
    <xf numFmtId="0" fontId="93" fillId="0" borderId="0" applyNumberFormat="0" applyFill="0" applyBorder="0" applyAlignment="0" applyProtection="0"/>
    <xf numFmtId="0" fontId="94" fillId="0" borderId="0" applyNumberForma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70"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7" borderId="10" applyNumberFormat="0" applyFont="0" applyAlignment="0" applyProtection="0"/>
    <xf numFmtId="0" fontId="42" fillId="0" borderId="0"/>
    <xf numFmtId="0" fontId="42" fillId="0" borderId="0"/>
    <xf numFmtId="0" fontId="41" fillId="0" borderId="0"/>
    <xf numFmtId="0" fontId="40" fillId="0" borderId="0"/>
    <xf numFmtId="0" fontId="7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7" borderId="10" applyNumberFormat="0" applyFont="0" applyAlignment="0" applyProtection="0"/>
    <xf numFmtId="0" fontId="40" fillId="0" borderId="0"/>
    <xf numFmtId="0" fontId="40" fillId="0" borderId="0"/>
    <xf numFmtId="0" fontId="40" fillId="0" borderId="0"/>
    <xf numFmtId="0" fontId="39" fillId="0" borderId="0"/>
    <xf numFmtId="0" fontId="70" fillId="0" borderId="0"/>
    <xf numFmtId="0" fontId="38" fillId="0" borderId="0"/>
    <xf numFmtId="0" fontId="38" fillId="0" borderId="0"/>
    <xf numFmtId="0" fontId="38" fillId="0" borderId="0"/>
    <xf numFmtId="0" fontId="37" fillId="0" borderId="0"/>
    <xf numFmtId="0" fontId="36" fillId="0" borderId="0"/>
    <xf numFmtId="0" fontId="35" fillId="0" borderId="0"/>
    <xf numFmtId="0" fontId="100" fillId="0" borderId="0" applyNumberFormat="0" applyFill="0" applyBorder="0" applyAlignment="0" applyProtection="0"/>
    <xf numFmtId="0" fontId="101" fillId="0" borderId="30" applyNumberFormat="0" applyFill="0" applyAlignment="0" applyProtection="0"/>
    <xf numFmtId="0" fontId="102" fillId="0" borderId="31" applyNumberFormat="0" applyFill="0" applyAlignment="0" applyProtection="0"/>
    <xf numFmtId="0" fontId="103" fillId="0" borderId="32" applyNumberFormat="0" applyFill="0" applyAlignment="0" applyProtection="0"/>
    <xf numFmtId="0" fontId="103" fillId="0" borderId="0" applyNumberFormat="0" applyFill="0" applyBorder="0" applyAlignment="0" applyProtection="0"/>
    <xf numFmtId="0" fontId="104" fillId="11" borderId="0" applyNumberFormat="0" applyBorder="0" applyAlignment="0" applyProtection="0"/>
    <xf numFmtId="0" fontId="105" fillId="12" borderId="0" applyNumberFormat="0" applyBorder="0" applyAlignment="0" applyProtection="0"/>
    <xf numFmtId="0" fontId="106" fillId="13" borderId="0" applyNumberFormat="0" applyBorder="0" applyAlignment="0" applyProtection="0"/>
    <xf numFmtId="0" fontId="107" fillId="14" borderId="33" applyNumberFormat="0" applyAlignment="0" applyProtection="0"/>
    <xf numFmtId="0" fontId="108" fillId="15" borderId="34" applyNumberFormat="0" applyAlignment="0" applyProtection="0"/>
    <xf numFmtId="0" fontId="109" fillId="15" borderId="33" applyNumberFormat="0" applyAlignment="0" applyProtection="0"/>
    <xf numFmtId="0" fontId="110" fillId="0" borderId="35" applyNumberFormat="0" applyFill="0" applyAlignment="0" applyProtection="0"/>
    <xf numFmtId="0" fontId="111" fillId="16" borderId="36" applyNumberFormat="0" applyAlignment="0" applyProtection="0"/>
    <xf numFmtId="0" fontId="112" fillId="0" borderId="0" applyNumberFormat="0" applyFill="0" applyBorder="0" applyAlignment="0" applyProtection="0"/>
    <xf numFmtId="0" fontId="113" fillId="0" borderId="0" applyNumberFormat="0" applyFill="0" applyBorder="0" applyAlignment="0" applyProtection="0"/>
    <xf numFmtId="0" fontId="114" fillId="0" borderId="37" applyNumberFormat="0" applyFill="0" applyAlignment="0" applyProtection="0"/>
    <xf numFmtId="0" fontId="115" fillId="17" borderId="0" applyNumberFormat="0" applyBorder="0" applyAlignment="0" applyProtection="0"/>
    <xf numFmtId="0" fontId="34" fillId="18" borderId="0" applyNumberFormat="0" applyBorder="0" applyAlignment="0" applyProtection="0"/>
    <xf numFmtId="0" fontId="34" fillId="19" borderId="0" applyNumberFormat="0" applyBorder="0" applyAlignment="0" applyProtection="0"/>
    <xf numFmtId="0" fontId="115" fillId="20" borderId="0" applyNumberFormat="0" applyBorder="0" applyAlignment="0" applyProtection="0"/>
    <xf numFmtId="0" fontId="115" fillId="21" borderId="0" applyNumberFormat="0" applyBorder="0" applyAlignment="0" applyProtection="0"/>
    <xf numFmtId="0" fontId="34" fillId="22" borderId="0" applyNumberFormat="0" applyBorder="0" applyAlignment="0" applyProtection="0"/>
    <xf numFmtId="0" fontId="34" fillId="23" borderId="0" applyNumberFormat="0" applyBorder="0" applyAlignment="0" applyProtection="0"/>
    <xf numFmtId="0" fontId="115" fillId="24" borderId="0" applyNumberFormat="0" applyBorder="0" applyAlignment="0" applyProtection="0"/>
    <xf numFmtId="0" fontId="115" fillId="25" borderId="0" applyNumberFormat="0" applyBorder="0" applyAlignment="0" applyProtection="0"/>
    <xf numFmtId="0" fontId="34" fillId="26" borderId="0" applyNumberFormat="0" applyBorder="0" applyAlignment="0" applyProtection="0"/>
    <xf numFmtId="0" fontId="34" fillId="27" borderId="0" applyNumberFormat="0" applyBorder="0" applyAlignment="0" applyProtection="0"/>
    <xf numFmtId="0" fontId="115" fillId="28" borderId="0" applyNumberFormat="0" applyBorder="0" applyAlignment="0" applyProtection="0"/>
    <xf numFmtId="0" fontId="115" fillId="29" borderId="0" applyNumberFormat="0" applyBorder="0" applyAlignment="0" applyProtection="0"/>
    <xf numFmtId="0" fontId="34" fillId="30" borderId="0" applyNumberFormat="0" applyBorder="0" applyAlignment="0" applyProtection="0"/>
    <xf numFmtId="0" fontId="34" fillId="31" borderId="0" applyNumberFormat="0" applyBorder="0" applyAlignment="0" applyProtection="0"/>
    <xf numFmtId="0" fontId="115" fillId="32" borderId="0" applyNumberFormat="0" applyBorder="0" applyAlignment="0" applyProtection="0"/>
    <xf numFmtId="0" fontId="115" fillId="33" borderId="0" applyNumberFormat="0" applyBorder="0" applyAlignment="0" applyProtection="0"/>
    <xf numFmtId="0" fontId="34" fillId="34" borderId="0" applyNumberFormat="0" applyBorder="0" applyAlignment="0" applyProtection="0"/>
    <xf numFmtId="0" fontId="34" fillId="35" borderId="0" applyNumberFormat="0" applyBorder="0" applyAlignment="0" applyProtection="0"/>
    <xf numFmtId="0" fontId="115" fillId="36" borderId="0" applyNumberFormat="0" applyBorder="0" applyAlignment="0" applyProtection="0"/>
    <xf numFmtId="0" fontId="115" fillId="37" borderId="0" applyNumberFormat="0" applyBorder="0" applyAlignment="0" applyProtection="0"/>
    <xf numFmtId="0" fontId="34" fillId="38" borderId="0" applyNumberFormat="0" applyBorder="0" applyAlignment="0" applyProtection="0"/>
    <xf numFmtId="0" fontId="34" fillId="39" borderId="0" applyNumberFormat="0" applyBorder="0" applyAlignment="0" applyProtection="0"/>
    <xf numFmtId="0" fontId="115" fillId="40" borderId="0" applyNumberFormat="0" applyBorder="0" applyAlignment="0" applyProtection="0"/>
    <xf numFmtId="0" fontId="34" fillId="0" borderId="0"/>
    <xf numFmtId="0" fontId="34" fillId="7" borderId="10" applyNumberFormat="0" applyFont="0" applyAlignment="0" applyProtection="0"/>
    <xf numFmtId="0" fontId="118" fillId="0" borderId="0" applyNumberFormat="0" applyFill="0" applyBorder="0" applyAlignment="0" applyProtection="0"/>
    <xf numFmtId="0" fontId="119" fillId="0" borderId="0" applyNumberFormat="0" applyFill="0" applyBorder="0" applyAlignment="0" applyProtection="0"/>
    <xf numFmtId="0" fontId="33" fillId="0" borderId="0"/>
    <xf numFmtId="0" fontId="35" fillId="0" borderId="0"/>
    <xf numFmtId="0" fontId="35" fillId="0" borderId="0"/>
    <xf numFmtId="0" fontId="35" fillId="0" borderId="0"/>
    <xf numFmtId="0" fontId="32" fillId="0" borderId="0"/>
    <xf numFmtId="0" fontId="134" fillId="0" borderId="0" applyNumberFormat="0" applyFill="0" applyBorder="0" applyAlignment="0" applyProtection="0"/>
    <xf numFmtId="0" fontId="31" fillId="0" borderId="0"/>
    <xf numFmtId="0" fontId="35" fillId="0" borderId="0"/>
    <xf numFmtId="0" fontId="35" fillId="0" borderId="0"/>
    <xf numFmtId="0" fontId="31" fillId="0" borderId="0"/>
    <xf numFmtId="0" fontId="35" fillId="0" borderId="0"/>
    <xf numFmtId="0" fontId="35" fillId="0" borderId="0"/>
    <xf numFmtId="0" fontId="31"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1" fillId="0" borderId="0"/>
    <xf numFmtId="0" fontId="31" fillId="0" borderId="0"/>
    <xf numFmtId="0" fontId="35" fillId="0" borderId="0"/>
    <xf numFmtId="0" fontId="35" fillId="0" borderId="0"/>
    <xf numFmtId="0" fontId="31" fillId="0" borderId="0"/>
    <xf numFmtId="0" fontId="35" fillId="0" borderId="0"/>
    <xf numFmtId="0" fontId="35" fillId="0" borderId="0"/>
    <xf numFmtId="0" fontId="31"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1"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1" fillId="0" borderId="0"/>
    <xf numFmtId="0" fontId="35" fillId="0" borderId="0"/>
    <xf numFmtId="0" fontId="35" fillId="0" borderId="0"/>
    <xf numFmtId="0" fontId="35" fillId="0" borderId="0"/>
    <xf numFmtId="0" fontId="35" fillId="0" borderId="0"/>
    <xf numFmtId="0" fontId="31"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1" fillId="0" borderId="0"/>
    <xf numFmtId="0" fontId="31" fillId="0" borderId="0"/>
    <xf numFmtId="0" fontId="35" fillId="0" borderId="0"/>
    <xf numFmtId="0" fontId="35" fillId="0" borderId="0"/>
    <xf numFmtId="0" fontId="31" fillId="0" borderId="0"/>
    <xf numFmtId="0" fontId="35" fillId="0" borderId="0"/>
    <xf numFmtId="0" fontId="35" fillId="0" borderId="0"/>
    <xf numFmtId="0" fontId="31"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7" borderId="10" applyNumberFormat="0" applyFont="0" applyAlignment="0" applyProtection="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7" borderId="10" applyNumberFormat="0" applyFont="0" applyAlignment="0" applyProtection="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1" fillId="18" borderId="0" applyNumberFormat="0" applyBorder="0" applyAlignment="0" applyProtection="0"/>
    <xf numFmtId="0" fontId="31" fillId="19" borderId="0" applyNumberFormat="0" applyBorder="0" applyAlignment="0" applyProtection="0"/>
    <xf numFmtId="0" fontId="31" fillId="22" borderId="0" applyNumberFormat="0" applyBorder="0" applyAlignment="0" applyProtection="0"/>
    <xf numFmtId="0" fontId="31" fillId="23" borderId="0" applyNumberFormat="0" applyBorder="0" applyAlignment="0" applyProtection="0"/>
    <xf numFmtId="0" fontId="31" fillId="26" borderId="0" applyNumberFormat="0" applyBorder="0" applyAlignment="0" applyProtection="0"/>
    <xf numFmtId="0" fontId="31" fillId="27" borderId="0" applyNumberFormat="0" applyBorder="0" applyAlignment="0" applyProtection="0"/>
    <xf numFmtId="0" fontId="31" fillId="30" borderId="0" applyNumberFormat="0" applyBorder="0" applyAlignment="0" applyProtection="0"/>
    <xf numFmtId="0" fontId="31" fillId="31" borderId="0" applyNumberFormat="0" applyBorder="0" applyAlignment="0" applyProtection="0"/>
    <xf numFmtId="0" fontId="31" fillId="34" borderId="0" applyNumberFormat="0" applyBorder="0" applyAlignment="0" applyProtection="0"/>
    <xf numFmtId="0" fontId="31" fillId="35" borderId="0" applyNumberFormat="0" applyBorder="0" applyAlignment="0" applyProtection="0"/>
    <xf numFmtId="0" fontId="31" fillId="38" borderId="0" applyNumberFormat="0" applyBorder="0" applyAlignment="0" applyProtection="0"/>
    <xf numFmtId="0" fontId="31" fillId="39" borderId="0" applyNumberFormat="0" applyBorder="0" applyAlignment="0" applyProtection="0"/>
    <xf numFmtId="0" fontId="31" fillId="0" borderId="0"/>
    <xf numFmtId="0" fontId="31" fillId="7" borderId="10" applyNumberFormat="0" applyFont="0" applyAlignment="0" applyProtection="0"/>
    <xf numFmtId="0" fontId="31" fillId="0" borderId="0"/>
    <xf numFmtId="0" fontId="30" fillId="0" borderId="0"/>
    <xf numFmtId="0" fontId="29" fillId="0" borderId="0"/>
    <xf numFmtId="0" fontId="28"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18" borderId="0" applyNumberFormat="0" applyBorder="0" applyAlignment="0" applyProtection="0"/>
    <xf numFmtId="0" fontId="21" fillId="19" borderId="0" applyNumberFormat="0" applyBorder="0" applyAlignment="0" applyProtection="0"/>
    <xf numFmtId="0" fontId="21" fillId="22" borderId="0" applyNumberFormat="0" applyBorder="0" applyAlignment="0" applyProtection="0"/>
    <xf numFmtId="0" fontId="21" fillId="23" borderId="0" applyNumberFormat="0" applyBorder="0" applyAlignment="0" applyProtection="0"/>
    <xf numFmtId="0" fontId="21" fillId="26" borderId="0" applyNumberFormat="0" applyBorder="0" applyAlignment="0" applyProtection="0"/>
    <xf numFmtId="0" fontId="21" fillId="27" borderId="0" applyNumberFormat="0" applyBorder="0" applyAlignment="0" applyProtection="0"/>
    <xf numFmtId="0" fontId="21" fillId="30" borderId="0" applyNumberFormat="0" applyBorder="0" applyAlignment="0" applyProtection="0"/>
    <xf numFmtId="0" fontId="21" fillId="31" borderId="0" applyNumberFormat="0" applyBorder="0" applyAlignment="0" applyProtection="0"/>
    <xf numFmtId="0" fontId="21" fillId="34" borderId="0" applyNumberFormat="0" applyBorder="0" applyAlignment="0" applyProtection="0"/>
    <xf numFmtId="0" fontId="21" fillId="35" borderId="0" applyNumberFormat="0" applyBorder="0" applyAlignment="0" applyProtection="0"/>
    <xf numFmtId="0" fontId="21" fillId="38" borderId="0" applyNumberFormat="0" applyBorder="0" applyAlignment="0" applyProtection="0"/>
    <xf numFmtId="0" fontId="21" fillId="39" borderId="0" applyNumberFormat="0" applyBorder="0" applyAlignment="0" applyProtection="0"/>
    <xf numFmtId="0" fontId="21" fillId="0" borderId="0"/>
    <xf numFmtId="0" fontId="21" fillId="7" borderId="10" applyNumberFormat="0" applyFont="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18" borderId="0" applyNumberFormat="0" applyBorder="0" applyAlignment="0" applyProtection="0"/>
    <xf numFmtId="0" fontId="21" fillId="19" borderId="0" applyNumberFormat="0" applyBorder="0" applyAlignment="0" applyProtection="0"/>
    <xf numFmtId="0" fontId="21" fillId="22" borderId="0" applyNumberFormat="0" applyBorder="0" applyAlignment="0" applyProtection="0"/>
    <xf numFmtId="0" fontId="21" fillId="23" borderId="0" applyNumberFormat="0" applyBorder="0" applyAlignment="0" applyProtection="0"/>
    <xf numFmtId="0" fontId="21" fillId="26" borderId="0" applyNumberFormat="0" applyBorder="0" applyAlignment="0" applyProtection="0"/>
    <xf numFmtId="0" fontId="21" fillId="27" borderId="0" applyNumberFormat="0" applyBorder="0" applyAlignment="0" applyProtection="0"/>
    <xf numFmtId="0" fontId="21" fillId="30" borderId="0" applyNumberFormat="0" applyBorder="0" applyAlignment="0" applyProtection="0"/>
    <xf numFmtId="0" fontId="21" fillId="31" borderId="0" applyNumberFormat="0" applyBorder="0" applyAlignment="0" applyProtection="0"/>
    <xf numFmtId="0" fontId="21" fillId="34" borderId="0" applyNumberFormat="0" applyBorder="0" applyAlignment="0" applyProtection="0"/>
    <xf numFmtId="0" fontId="21" fillId="35" borderId="0" applyNumberFormat="0" applyBorder="0" applyAlignment="0" applyProtection="0"/>
    <xf numFmtId="0" fontId="21" fillId="38" borderId="0" applyNumberFormat="0" applyBorder="0" applyAlignment="0" applyProtection="0"/>
    <xf numFmtId="0" fontId="21" fillId="39" borderId="0" applyNumberFormat="0" applyBorder="0" applyAlignment="0" applyProtection="0"/>
    <xf numFmtId="0" fontId="21" fillId="0" borderId="0"/>
    <xf numFmtId="0" fontId="21" fillId="7" borderId="10" applyNumberFormat="0" applyFont="0" applyAlignment="0" applyProtection="0"/>
    <xf numFmtId="0" fontId="21" fillId="0" borderId="0"/>
    <xf numFmtId="0" fontId="21" fillId="0" borderId="0"/>
    <xf numFmtId="0" fontId="144" fillId="13" borderId="0" applyNumberFormat="0" applyBorder="0" applyAlignment="0" applyProtection="0"/>
    <xf numFmtId="0" fontId="21" fillId="7" borderId="10" applyNumberFormat="0" applyFont="0" applyAlignment="0" applyProtection="0"/>
    <xf numFmtId="0" fontId="21" fillId="18" borderId="0" applyNumberFormat="0" applyBorder="0" applyAlignment="0" applyProtection="0"/>
    <xf numFmtId="0" fontId="21" fillId="19" borderId="0" applyNumberFormat="0" applyBorder="0" applyAlignment="0" applyProtection="0"/>
    <xf numFmtId="0" fontId="21" fillId="20" borderId="0" applyNumberFormat="0" applyBorder="0" applyAlignment="0" applyProtection="0"/>
    <xf numFmtId="0" fontId="21" fillId="22" borderId="0" applyNumberFormat="0" applyBorder="0" applyAlignment="0" applyProtection="0"/>
    <xf numFmtId="0" fontId="21" fillId="23" borderId="0" applyNumberFormat="0" applyBorder="0" applyAlignment="0" applyProtection="0"/>
    <xf numFmtId="0" fontId="21" fillId="24" borderId="0" applyNumberFormat="0" applyBorder="0" applyAlignment="0" applyProtection="0"/>
    <xf numFmtId="0" fontId="21" fillId="26" borderId="0" applyNumberFormat="0" applyBorder="0" applyAlignment="0" applyProtection="0"/>
    <xf numFmtId="0" fontId="21" fillId="27" borderId="0" applyNumberFormat="0" applyBorder="0" applyAlignment="0" applyProtection="0"/>
    <xf numFmtId="0" fontId="21" fillId="28" borderId="0" applyNumberFormat="0" applyBorder="0" applyAlignment="0" applyProtection="0"/>
    <xf numFmtId="0" fontId="21" fillId="30" borderId="0" applyNumberFormat="0" applyBorder="0" applyAlignment="0" applyProtection="0"/>
    <xf numFmtId="0" fontId="21" fillId="31" borderId="0" applyNumberFormat="0" applyBorder="0" applyAlignment="0" applyProtection="0"/>
    <xf numFmtId="0" fontId="21" fillId="32" borderId="0" applyNumberFormat="0" applyBorder="0" applyAlignment="0" applyProtection="0"/>
    <xf numFmtId="0" fontId="21" fillId="34" borderId="0" applyNumberFormat="0" applyBorder="0" applyAlignment="0" applyProtection="0"/>
    <xf numFmtId="0" fontId="21" fillId="35" borderId="0" applyNumberFormat="0" applyBorder="0" applyAlignment="0" applyProtection="0"/>
    <xf numFmtId="0" fontId="21" fillId="36" borderId="0" applyNumberFormat="0" applyBorder="0" applyAlignment="0" applyProtection="0"/>
    <xf numFmtId="0" fontId="21" fillId="38" borderId="0" applyNumberFormat="0" applyBorder="0" applyAlignment="0" applyProtection="0"/>
    <xf numFmtId="0" fontId="21" fillId="39" borderId="0" applyNumberFormat="0" applyBorder="0" applyAlignment="0" applyProtection="0"/>
    <xf numFmtId="0" fontId="21" fillId="40" borderId="0" applyNumberFormat="0" applyBorder="0" applyAlignment="0" applyProtection="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4" fillId="0" borderId="0"/>
    <xf numFmtId="0" fontId="4" fillId="0" borderId="0"/>
    <xf numFmtId="0" fontId="4" fillId="7" borderId="10" applyNumberFormat="0" applyFont="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34" borderId="0" applyNumberFormat="0" applyBorder="0" applyAlignment="0" applyProtection="0"/>
    <xf numFmtId="0" fontId="4" fillId="35" borderId="0" applyNumberFormat="0" applyBorder="0" applyAlignment="0" applyProtection="0"/>
    <xf numFmtId="0" fontId="4" fillId="36" borderId="0" applyNumberFormat="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0" borderId="0" applyNumberFormat="0" applyBorder="0" applyAlignment="0" applyProtection="0"/>
    <xf numFmtId="0" fontId="3" fillId="0" borderId="0"/>
    <xf numFmtId="0" fontId="2" fillId="0" borderId="0"/>
    <xf numFmtId="0" fontId="1" fillId="0" borderId="0"/>
  </cellStyleXfs>
  <cellXfs count="1241">
    <xf numFmtId="0" fontId="0" fillId="0" borderId="0" xfId="0"/>
    <xf numFmtId="0" fontId="72" fillId="0" borderId="0" xfId="0" applyFont="1"/>
    <xf numFmtId="0" fontId="70" fillId="0" borderId="0" xfId="0" applyFont="1"/>
    <xf numFmtId="0" fontId="70" fillId="2" borderId="0" xfId="0" applyFont="1" applyFill="1"/>
    <xf numFmtId="0" fontId="70" fillId="0" borderId="0" xfId="0" applyFont="1" applyAlignment="1">
      <alignment horizontal="center"/>
    </xf>
    <xf numFmtId="0" fontId="72" fillId="3" borderId="0" xfId="3" applyFont="1" applyFill="1"/>
    <xf numFmtId="0" fontId="72" fillId="0" borderId="0" xfId="0" applyFont="1" applyAlignment="1">
      <alignment wrapText="1"/>
    </xf>
    <xf numFmtId="0" fontId="84" fillId="0" borderId="0" xfId="0" applyFont="1" applyAlignment="1">
      <alignment horizontal="center"/>
    </xf>
    <xf numFmtId="0" fontId="72" fillId="0" borderId="0" xfId="26" applyFont="1"/>
    <xf numFmtId="0" fontId="70" fillId="0" borderId="0" xfId="26"/>
    <xf numFmtId="0" fontId="0" fillId="3" borderId="0" xfId="0" applyFill="1"/>
    <xf numFmtId="0" fontId="70" fillId="3" borderId="0" xfId="0" applyFont="1" applyFill="1"/>
    <xf numFmtId="0" fontId="72" fillId="2" borderId="0" xfId="26" applyFont="1" applyFill="1"/>
    <xf numFmtId="0" fontId="90" fillId="0" borderId="0" xfId="26" applyFont="1"/>
    <xf numFmtId="0" fontId="77" fillId="2" borderId="0" xfId="26" applyFont="1" applyFill="1" applyAlignment="1">
      <alignment horizontal="left"/>
    </xf>
    <xf numFmtId="0" fontId="80" fillId="2" borderId="0" xfId="1" applyFont="1" applyFill="1" applyAlignment="1" applyProtection="1"/>
    <xf numFmtId="0" fontId="85" fillId="2" borderId="0" xfId="1" applyFont="1" applyFill="1" applyAlignment="1" applyProtection="1">
      <alignment horizontal="left"/>
    </xf>
    <xf numFmtId="17" fontId="72" fillId="2" borderId="0" xfId="26" applyNumberFormat="1" applyFont="1" applyFill="1" applyAlignment="1">
      <alignment horizontal="center"/>
    </xf>
    <xf numFmtId="0" fontId="91" fillId="2" borderId="0" xfId="26" applyFont="1" applyFill="1"/>
    <xf numFmtId="164" fontId="75" fillId="2" borderId="0" xfId="26" applyNumberFormat="1" applyFont="1" applyFill="1" applyAlignment="1">
      <alignment horizontal="center"/>
    </xf>
    <xf numFmtId="0" fontId="83" fillId="2" borderId="0" xfId="26" applyFont="1" applyFill="1"/>
    <xf numFmtId="17" fontId="84" fillId="2" borderId="0" xfId="26" applyNumberFormat="1" applyFont="1" applyFill="1" applyAlignment="1">
      <alignment horizontal="center"/>
    </xf>
    <xf numFmtId="164" fontId="84" fillId="2" borderId="0" xfId="26" applyNumberFormat="1" applyFont="1" applyFill="1" applyAlignment="1">
      <alignment horizontal="center"/>
    </xf>
    <xf numFmtId="0" fontId="84" fillId="2" borderId="0" xfId="26" applyFont="1" applyFill="1"/>
    <xf numFmtId="0" fontId="78" fillId="0" borderId="0" xfId="26" applyFont="1"/>
    <xf numFmtId="0" fontId="78" fillId="2" borderId="0" xfId="26" applyFont="1" applyFill="1"/>
    <xf numFmtId="0" fontId="73" fillId="2" borderId="0" xfId="26" applyFont="1" applyFill="1" applyAlignment="1">
      <alignment horizontal="left"/>
    </xf>
    <xf numFmtId="0" fontId="78" fillId="2" borderId="0" xfId="26" applyFont="1" applyFill="1" applyAlignment="1">
      <alignment horizontal="center"/>
    </xf>
    <xf numFmtId="0" fontId="86" fillId="0" borderId="0" xfId="26" applyFont="1" applyAlignment="1">
      <alignment horizontal="center"/>
    </xf>
    <xf numFmtId="165" fontId="72" fillId="0" borderId="0" xfId="0" applyNumberFormat="1" applyFont="1" applyAlignment="1">
      <alignment horizontal="center"/>
    </xf>
    <xf numFmtId="0" fontId="72" fillId="0" borderId="0" xfId="0" applyFont="1" applyAlignment="1">
      <alignment horizontal="center"/>
    </xf>
    <xf numFmtId="0" fontId="70" fillId="0" borderId="0" xfId="1" applyFont="1" applyAlignment="1" applyProtection="1">
      <alignment vertical="center"/>
    </xf>
    <xf numFmtId="0" fontId="0" fillId="0" borderId="3" xfId="0" applyBorder="1"/>
    <xf numFmtId="0" fontId="96" fillId="0" borderId="0" xfId="0" applyFont="1"/>
    <xf numFmtId="0" fontId="97" fillId="0" borderId="0" xfId="0" applyFont="1"/>
    <xf numFmtId="0" fontId="97" fillId="0" borderId="0" xfId="0" applyFont="1" applyAlignment="1">
      <alignment wrapText="1"/>
    </xf>
    <xf numFmtId="0" fontId="72" fillId="0" borderId="0" xfId="26" applyFont="1" applyAlignment="1">
      <alignment horizontal="center"/>
    </xf>
    <xf numFmtId="0" fontId="96" fillId="0" borderId="0" xfId="26" applyFont="1"/>
    <xf numFmtId="0" fontId="99" fillId="0" borderId="0" xfId="1" applyFont="1" applyAlignment="1" applyProtection="1">
      <alignment vertical="center"/>
    </xf>
    <xf numFmtId="0" fontId="98" fillId="0" borderId="0" xfId="0" applyFont="1"/>
    <xf numFmtId="0" fontId="117" fillId="0" borderId="0" xfId="0" applyFont="1"/>
    <xf numFmtId="0" fontId="97" fillId="0" borderId="0" xfId="0" applyFont="1" applyAlignment="1">
      <alignment horizontal="center" wrapText="1"/>
    </xf>
    <xf numFmtId="165" fontId="97" fillId="0" borderId="0" xfId="0" applyNumberFormat="1" applyFont="1" applyAlignment="1">
      <alignment horizontal="center" wrapText="1"/>
    </xf>
    <xf numFmtId="0" fontId="117" fillId="0" borderId="0" xfId="26" applyFont="1"/>
    <xf numFmtId="0" fontId="116" fillId="2" borderId="0" xfId="26" applyFont="1" applyFill="1"/>
    <xf numFmtId="0" fontId="116" fillId="2" borderId="0" xfId="26" applyFont="1" applyFill="1" applyAlignment="1">
      <alignment horizontal="left"/>
    </xf>
    <xf numFmtId="0" fontId="117" fillId="0" borderId="0" xfId="26" applyFont="1" applyAlignment="1">
      <alignment horizontal="center"/>
    </xf>
    <xf numFmtId="0" fontId="120" fillId="2" borderId="0" xfId="1" quotePrefix="1" applyFont="1" applyFill="1" applyAlignment="1" applyProtection="1">
      <alignment horizontal="left"/>
    </xf>
    <xf numFmtId="0" fontId="117" fillId="2" borderId="0" xfId="26" applyFont="1" applyFill="1" applyAlignment="1">
      <alignment horizontal="left"/>
    </xf>
    <xf numFmtId="0" fontId="117" fillId="2" borderId="0" xfId="26" applyFont="1" applyFill="1"/>
    <xf numFmtId="0" fontId="117" fillId="2" borderId="0" xfId="26" applyFont="1" applyFill="1" applyAlignment="1">
      <alignment horizontal="center"/>
    </xf>
    <xf numFmtId="0" fontId="117" fillId="0" borderId="43" xfId="26" applyFont="1" applyBorder="1"/>
    <xf numFmtId="0" fontId="117" fillId="0" borderId="44" xfId="26" applyFont="1" applyBorder="1"/>
    <xf numFmtId="0" fontId="116" fillId="0" borderId="43" xfId="26" applyFont="1" applyBorder="1"/>
    <xf numFmtId="0" fontId="117" fillId="2" borderId="45" xfId="26" applyFont="1" applyFill="1" applyBorder="1"/>
    <xf numFmtId="0" fontId="117" fillId="0" borderId="46" xfId="26" applyFont="1" applyBorder="1" applyAlignment="1">
      <alignment horizontal="center"/>
    </xf>
    <xf numFmtId="0" fontId="72" fillId="2" borderId="46" xfId="26" applyFont="1" applyFill="1" applyBorder="1"/>
    <xf numFmtId="0" fontId="117" fillId="2" borderId="40" xfId="26" applyFont="1" applyFill="1" applyBorder="1" applyAlignment="1">
      <alignment horizontal="left"/>
    </xf>
    <xf numFmtId="0" fontId="117" fillId="0" borderId="41" xfId="26" applyFont="1" applyBorder="1"/>
    <xf numFmtId="0" fontId="120" fillId="2" borderId="41" xfId="1" applyFont="1" applyFill="1" applyBorder="1" applyAlignment="1" applyProtection="1">
      <alignment horizontal="left"/>
    </xf>
    <xf numFmtId="0" fontId="116" fillId="2" borderId="41" xfId="26" applyFont="1" applyFill="1" applyBorder="1"/>
    <xf numFmtId="0" fontId="117" fillId="2" borderId="41" xfId="26" applyFont="1" applyFill="1" applyBorder="1"/>
    <xf numFmtId="0" fontId="117" fillId="2" borderId="41" xfId="26" applyFont="1" applyFill="1" applyBorder="1" applyAlignment="1">
      <alignment horizontal="center"/>
    </xf>
    <xf numFmtId="0" fontId="117" fillId="2" borderId="43" xfId="26" applyFont="1" applyFill="1" applyBorder="1" applyAlignment="1">
      <alignment horizontal="left"/>
    </xf>
    <xf numFmtId="0" fontId="116" fillId="2" borderId="43" xfId="26" applyFont="1" applyFill="1" applyBorder="1" applyAlignment="1">
      <alignment horizontal="left"/>
    </xf>
    <xf numFmtId="0" fontId="117" fillId="0" borderId="46" xfId="26" applyFont="1" applyBorder="1"/>
    <xf numFmtId="0" fontId="117" fillId="2" borderId="46" xfId="26" applyFont="1" applyFill="1" applyBorder="1" applyAlignment="1">
      <alignment horizontal="center"/>
    </xf>
    <xf numFmtId="0" fontId="117" fillId="2" borderId="46" xfId="26" applyFont="1" applyFill="1" applyBorder="1"/>
    <xf numFmtId="0" fontId="121" fillId="2" borderId="40" xfId="26" applyFont="1" applyFill="1" applyBorder="1" applyAlignment="1">
      <alignment horizontal="left"/>
    </xf>
    <xf numFmtId="0" fontId="116" fillId="2" borderId="41" xfId="26" applyFont="1" applyFill="1" applyBorder="1" applyAlignment="1">
      <alignment horizontal="left"/>
    </xf>
    <xf numFmtId="0" fontId="117" fillId="2" borderId="42" xfId="26" applyFont="1" applyFill="1" applyBorder="1"/>
    <xf numFmtId="0" fontId="117" fillId="2" borderId="44" xfId="26" applyFont="1" applyFill="1" applyBorder="1"/>
    <xf numFmtId="0" fontId="116" fillId="2" borderId="45" xfId="26" applyFont="1" applyFill="1" applyBorder="1" applyAlignment="1">
      <alignment horizontal="left"/>
    </xf>
    <xf numFmtId="0" fontId="116" fillId="2" borderId="46" xfId="26" applyFont="1" applyFill="1" applyBorder="1" applyAlignment="1">
      <alignment horizontal="left"/>
    </xf>
    <xf numFmtId="0" fontId="117" fillId="2" borderId="46" xfId="26" applyFont="1" applyFill="1" applyBorder="1" applyAlignment="1">
      <alignment horizontal="left"/>
    </xf>
    <xf numFmtId="0" fontId="117" fillId="2" borderId="47" xfId="26" applyFont="1" applyFill="1" applyBorder="1"/>
    <xf numFmtId="0" fontId="116" fillId="0" borderId="0" xfId="26" applyFont="1"/>
    <xf numFmtId="0" fontId="117" fillId="0" borderId="40" xfId="26" applyFont="1" applyBorder="1"/>
    <xf numFmtId="0" fontId="117" fillId="0" borderId="42" xfId="26" applyFont="1" applyBorder="1"/>
    <xf numFmtId="164" fontId="117" fillId="2" borderId="43" xfId="26" applyNumberFormat="1" applyFont="1" applyFill="1" applyBorder="1" applyAlignment="1">
      <alignment horizontal="center"/>
    </xf>
    <xf numFmtId="0" fontId="116" fillId="2" borderId="43" xfId="26" applyFont="1" applyFill="1" applyBorder="1"/>
    <xf numFmtId="0" fontId="116" fillId="2" borderId="43" xfId="1" applyFont="1" applyFill="1" applyBorder="1" applyAlignment="1" applyProtection="1">
      <alignment horizontal="left"/>
    </xf>
    <xf numFmtId="0" fontId="116" fillId="0" borderId="45" xfId="26" applyFont="1" applyBorder="1"/>
    <xf numFmtId="0" fontId="84" fillId="0" borderId="46" xfId="26" applyFont="1" applyBorder="1"/>
    <xf numFmtId="0" fontId="97" fillId="3" borderId="0" xfId="0" applyFont="1" applyFill="1"/>
    <xf numFmtId="0" fontId="96" fillId="0" borderId="45" xfId="26" applyFont="1" applyBorder="1"/>
    <xf numFmtId="0" fontId="96" fillId="0" borderId="46" xfId="26" applyFont="1" applyBorder="1"/>
    <xf numFmtId="165" fontId="72" fillId="0" borderId="0" xfId="26" applyNumberFormat="1" applyFont="1" applyAlignment="1">
      <alignment horizontal="center"/>
    </xf>
    <xf numFmtId="164" fontId="72" fillId="0" borderId="0" xfId="26" applyNumberFormat="1" applyFont="1" applyAlignment="1">
      <alignment horizontal="center"/>
    </xf>
    <xf numFmtId="0" fontId="97" fillId="0" borderId="0" xfId="26" applyFont="1" applyAlignment="1">
      <alignment horizontal="center" wrapText="1"/>
    </xf>
    <xf numFmtId="0" fontId="96" fillId="0" borderId="0" xfId="26" applyFont="1" applyAlignment="1">
      <alignment horizontal="center"/>
    </xf>
    <xf numFmtId="0" fontId="97" fillId="0" borderId="0" xfId="0" applyFont="1" applyAlignment="1">
      <alignment horizontal="center" vertical="center" wrapText="1"/>
    </xf>
    <xf numFmtId="0" fontId="97" fillId="0" borderId="0" xfId="0" applyFont="1" applyAlignment="1">
      <alignment vertical="center"/>
    </xf>
    <xf numFmtId="0" fontId="116" fillId="0" borderId="0" xfId="0" applyFont="1"/>
    <xf numFmtId="167" fontId="116" fillId="0" borderId="0" xfId="26" applyNumberFormat="1" applyFont="1" applyAlignment="1">
      <alignment horizontal="center" vertical="center" wrapText="1"/>
    </xf>
    <xf numFmtId="165" fontId="116" fillId="0" borderId="0" xfId="26" applyNumberFormat="1" applyFont="1" applyAlignment="1">
      <alignment horizontal="center" vertical="center" wrapText="1"/>
    </xf>
    <xf numFmtId="0" fontId="126" fillId="43" borderId="43" xfId="26" applyFont="1" applyFill="1" applyBorder="1" applyAlignment="1">
      <alignment horizontal="center"/>
    </xf>
    <xf numFmtId="0" fontId="126" fillId="43" borderId="51" xfId="26" applyFont="1" applyFill="1" applyBorder="1" applyAlignment="1">
      <alignment horizontal="center"/>
    </xf>
    <xf numFmtId="167" fontId="97" fillId="0" borderId="0" xfId="26" applyNumberFormat="1" applyFont="1" applyAlignment="1">
      <alignment horizontal="left" wrapText="1"/>
    </xf>
    <xf numFmtId="167" fontId="97" fillId="0" borderId="0" xfId="26" applyNumberFormat="1" applyFont="1" applyAlignment="1">
      <alignment horizontal="center" wrapText="1"/>
    </xf>
    <xf numFmtId="165" fontId="97" fillId="0" borderId="0" xfId="26" applyNumberFormat="1" applyFont="1" applyAlignment="1">
      <alignment horizontal="center" wrapText="1"/>
    </xf>
    <xf numFmtId="0" fontId="96" fillId="3" borderId="0" xfId="26" applyFont="1" applyFill="1" applyAlignment="1">
      <alignment horizontal="center"/>
    </xf>
    <xf numFmtId="0" fontId="117" fillId="0" borderId="0" xfId="0" applyFont="1" applyAlignment="1">
      <alignment vertical="center"/>
    </xf>
    <xf numFmtId="0" fontId="117" fillId="3" borderId="0" xfId="26" applyFont="1" applyFill="1" applyAlignment="1">
      <alignment horizontal="center"/>
    </xf>
    <xf numFmtId="0" fontId="116" fillId="3" borderId="0" xfId="26" applyFont="1" applyFill="1"/>
    <xf numFmtId="0" fontId="117" fillId="0" borderId="0" xfId="26" applyFont="1" applyAlignment="1">
      <alignment horizontal="center" wrapText="1"/>
    </xf>
    <xf numFmtId="0" fontId="124" fillId="0" borderId="0" xfId="26" applyFont="1" applyAlignment="1">
      <alignment horizontal="center"/>
    </xf>
    <xf numFmtId="0" fontId="88" fillId="0" borderId="0" xfId="26" applyFont="1" applyAlignment="1">
      <alignment horizontal="left"/>
    </xf>
    <xf numFmtId="165" fontId="97" fillId="3" borderId="0" xfId="0" applyNumberFormat="1" applyFont="1" applyFill="1" applyAlignment="1">
      <alignment horizontal="center" wrapText="1"/>
    </xf>
    <xf numFmtId="0" fontId="76" fillId="0" borderId="0" xfId="26" applyFont="1"/>
    <xf numFmtId="0" fontId="95" fillId="0" borderId="0" xfId="26" applyFont="1"/>
    <xf numFmtId="0" fontId="126" fillId="0" borderId="0" xfId="26" applyFont="1" applyAlignment="1">
      <alignment vertical="center"/>
    </xf>
    <xf numFmtId="0" fontId="116" fillId="0" borderId="0" xfId="26" applyFont="1" applyAlignment="1">
      <alignment vertical="center"/>
    </xf>
    <xf numFmtId="0" fontId="123" fillId="0" borderId="0" xfId="26" applyFont="1" applyAlignment="1">
      <alignment horizontal="center" vertical="center"/>
    </xf>
    <xf numFmtId="6" fontId="123" fillId="0" borderId="0" xfId="26" applyNumberFormat="1" applyFont="1" applyAlignment="1">
      <alignment horizontal="center" vertical="center"/>
    </xf>
    <xf numFmtId="0" fontId="122" fillId="0" borderId="0" xfId="26" applyFont="1" applyAlignment="1">
      <alignment vertical="center" wrapText="1"/>
    </xf>
    <xf numFmtId="0" fontId="85" fillId="5" borderId="0" xfId="701" applyFont="1" applyFill="1"/>
    <xf numFmtId="0" fontId="84" fillId="5" borderId="0" xfId="701" applyFont="1" applyFill="1"/>
    <xf numFmtId="0" fontId="116" fillId="0" borderId="46" xfId="26" applyFont="1" applyBorder="1"/>
    <xf numFmtId="0" fontId="70" fillId="0" borderId="0" xfId="26" applyAlignment="1">
      <alignment wrapText="1"/>
    </xf>
    <xf numFmtId="165" fontId="129" fillId="0" borderId="3" xfId="26" applyNumberFormat="1" applyFont="1" applyBorder="1" applyAlignment="1">
      <alignment horizontal="center" vertical="center"/>
    </xf>
    <xf numFmtId="0" fontId="70" fillId="3" borderId="3" xfId="26" applyFill="1" applyBorder="1" applyAlignment="1">
      <alignment horizontal="center"/>
    </xf>
    <xf numFmtId="0" fontId="86" fillId="0" borderId="0" xfId="26" applyFont="1"/>
    <xf numFmtId="0" fontId="70" fillId="0" borderId="3" xfId="26" applyBorder="1" applyAlignment="1">
      <alignment horizontal="center"/>
    </xf>
    <xf numFmtId="0" fontId="70" fillId="0" borderId="3" xfId="26" applyBorder="1"/>
    <xf numFmtId="0" fontId="128" fillId="0" borderId="0" xfId="26" applyFont="1"/>
    <xf numFmtId="0" fontId="72" fillId="0" borderId="0" xfId="26" applyFont="1" applyAlignment="1">
      <alignment wrapText="1"/>
    </xf>
    <xf numFmtId="0" fontId="130" fillId="0" borderId="0" xfId="26" applyFont="1"/>
    <xf numFmtId="0" fontId="81" fillId="10" borderId="8" xfId="26" applyFont="1" applyFill="1" applyBorder="1" applyAlignment="1">
      <alignment vertical="center" wrapText="1"/>
    </xf>
    <xf numFmtId="0" fontId="81" fillId="10" borderId="9" xfId="26" applyFont="1" applyFill="1" applyBorder="1" applyAlignment="1">
      <alignment vertical="center" wrapText="1"/>
    </xf>
    <xf numFmtId="0" fontId="84" fillId="0" borderId="0" xfId="26" applyFont="1" applyAlignment="1">
      <alignment wrapText="1"/>
    </xf>
    <xf numFmtId="1" fontId="105" fillId="12" borderId="3" xfId="662" applyNumberFormat="1" applyBorder="1" applyAlignment="1">
      <alignment horizontal="center"/>
    </xf>
    <xf numFmtId="1" fontId="105" fillId="12" borderId="3" xfId="662" applyNumberFormat="1" applyBorder="1" applyAlignment="1" applyProtection="1">
      <alignment horizontal="center"/>
      <protection hidden="1"/>
    </xf>
    <xf numFmtId="0" fontId="81" fillId="10" borderId="2" xfId="26" applyFont="1" applyFill="1" applyBorder="1" applyAlignment="1">
      <alignment vertical="center" wrapText="1"/>
    </xf>
    <xf numFmtId="0" fontId="72" fillId="8" borderId="0" xfId="26" applyFont="1" applyFill="1" applyAlignment="1">
      <alignment wrapText="1"/>
    </xf>
    <xf numFmtId="1" fontId="125" fillId="8" borderId="3" xfId="26" applyNumberFormat="1" applyFont="1" applyFill="1" applyBorder="1" applyAlignment="1" applyProtection="1">
      <alignment horizontal="center"/>
      <protection hidden="1"/>
    </xf>
    <xf numFmtId="0" fontId="128" fillId="5" borderId="6" xfId="26" applyFont="1" applyFill="1" applyBorder="1" applyAlignment="1" applyProtection="1">
      <alignment horizontal="center"/>
      <protection hidden="1"/>
    </xf>
    <xf numFmtId="0" fontId="128" fillId="5" borderId="4" xfId="26" applyFont="1" applyFill="1" applyBorder="1" applyAlignment="1" applyProtection="1">
      <alignment horizontal="center"/>
      <protection hidden="1"/>
    </xf>
    <xf numFmtId="0" fontId="128" fillId="5" borderId="8" xfId="26" applyFont="1" applyFill="1" applyBorder="1" applyProtection="1">
      <protection hidden="1"/>
    </xf>
    <xf numFmtId="0" fontId="114" fillId="0" borderId="0" xfId="26" applyFont="1"/>
    <xf numFmtId="0" fontId="131" fillId="0" borderId="0" xfId="26" applyFont="1"/>
    <xf numFmtId="0" fontId="114" fillId="44" borderId="0" xfId="26" applyFont="1" applyFill="1"/>
    <xf numFmtId="0" fontId="114" fillId="45" borderId="0" xfId="26" applyFont="1" applyFill="1"/>
    <xf numFmtId="0" fontId="70" fillId="44" borderId="0" xfId="26" applyFill="1"/>
    <xf numFmtId="0" fontId="70" fillId="45" borderId="0" xfId="26" applyFill="1"/>
    <xf numFmtId="0" fontId="70" fillId="8" borderId="0" xfId="26" applyFill="1"/>
    <xf numFmtId="0" fontId="92" fillId="0" borderId="0" xfId="26" applyFont="1"/>
    <xf numFmtId="1" fontId="125" fillId="8" borderId="3" xfId="26" applyNumberFormat="1" applyFont="1" applyFill="1" applyBorder="1" applyAlignment="1">
      <alignment horizontal="center"/>
    </xf>
    <xf numFmtId="0" fontId="78" fillId="3" borderId="13" xfId="0" applyFont="1" applyFill="1" applyBorder="1" applyAlignment="1">
      <alignment vertical="center"/>
    </xf>
    <xf numFmtId="0" fontId="0" fillId="8" borderId="0" xfId="0" applyFill="1"/>
    <xf numFmtId="0" fontId="70" fillId="8" borderId="0" xfId="0" applyFont="1" applyFill="1"/>
    <xf numFmtId="0" fontId="70" fillId="45" borderId="0" xfId="26" applyFill="1" applyAlignment="1">
      <alignment horizontal="left"/>
    </xf>
    <xf numFmtId="0" fontId="126" fillId="43" borderId="0" xfId="26" applyFont="1" applyFill="1" applyAlignment="1">
      <alignment horizontal="center"/>
    </xf>
    <xf numFmtId="0" fontId="126" fillId="43" borderId="27" xfId="26" applyFont="1" applyFill="1" applyBorder="1" applyAlignment="1">
      <alignment horizontal="center"/>
    </xf>
    <xf numFmtId="0" fontId="126" fillId="43" borderId="28" xfId="26" applyFont="1" applyFill="1" applyBorder="1" applyAlignment="1">
      <alignment horizontal="center"/>
    </xf>
    <xf numFmtId="0" fontId="116" fillId="3" borderId="0" xfId="26" applyFont="1" applyFill="1" applyAlignment="1">
      <alignment horizontal="center"/>
    </xf>
    <xf numFmtId="0" fontId="84" fillId="0" borderId="0" xfId="0" applyFont="1" applyAlignment="1">
      <alignment horizontal="left"/>
    </xf>
    <xf numFmtId="0" fontId="70" fillId="3" borderId="12" xfId="0" applyFont="1" applyFill="1" applyBorder="1"/>
    <xf numFmtId="0" fontId="70" fillId="3" borderId="13" xfId="0" applyFont="1" applyFill="1" applyBorder="1"/>
    <xf numFmtId="0" fontId="70" fillId="3" borderId="14" xfId="0" applyFont="1" applyFill="1" applyBorder="1"/>
    <xf numFmtId="0" fontId="78" fillId="3" borderId="14" xfId="0" applyFont="1" applyFill="1" applyBorder="1" applyAlignment="1">
      <alignment vertical="center"/>
    </xf>
    <xf numFmtId="0" fontId="116" fillId="0" borderId="24" xfId="26" applyFont="1" applyBorder="1" applyAlignment="1">
      <alignment horizontal="center"/>
    </xf>
    <xf numFmtId="0" fontId="126" fillId="3" borderId="0" xfId="26" applyFont="1" applyFill="1" applyAlignment="1">
      <alignment horizontal="center"/>
    </xf>
    <xf numFmtId="165" fontId="116" fillId="0" borderId="0" xfId="26" applyNumberFormat="1" applyFont="1" applyAlignment="1">
      <alignment horizontal="center"/>
    </xf>
    <xf numFmtId="165" fontId="116" fillId="0" borderId="0" xfId="26" applyNumberFormat="1" applyFont="1" applyAlignment="1">
      <alignment horizontal="center" wrapText="1"/>
    </xf>
    <xf numFmtId="0" fontId="116" fillId="0" borderId="28" xfId="26" applyFont="1" applyBorder="1" applyAlignment="1">
      <alignment horizontal="center"/>
    </xf>
    <xf numFmtId="0" fontId="116" fillId="0" borderId="22" xfId="0" applyFont="1" applyBorder="1" applyAlignment="1">
      <alignment horizontal="center" wrapText="1"/>
    </xf>
    <xf numFmtId="165" fontId="116" fillId="3" borderId="22" xfId="0" applyNumberFormat="1" applyFont="1" applyFill="1" applyBorder="1" applyAlignment="1">
      <alignment horizontal="center" wrapText="1"/>
    </xf>
    <xf numFmtId="165" fontId="116" fillId="0" borderId="22" xfId="0" applyNumberFormat="1" applyFont="1" applyBorder="1" applyAlignment="1">
      <alignment horizontal="center" wrapText="1"/>
    </xf>
    <xf numFmtId="0" fontId="116" fillId="0" borderId="21" xfId="0" applyFont="1" applyBorder="1" applyAlignment="1">
      <alignment horizontal="center" wrapText="1"/>
    </xf>
    <xf numFmtId="165" fontId="116" fillId="0" borderId="23" xfId="0" applyNumberFormat="1" applyFont="1" applyBorder="1" applyAlignment="1">
      <alignment horizontal="center" wrapText="1"/>
    </xf>
    <xf numFmtId="0" fontId="116" fillId="0" borderId="24" xfId="0" applyFont="1" applyBorder="1" applyAlignment="1">
      <alignment horizontal="center" wrapText="1"/>
    </xf>
    <xf numFmtId="0" fontId="116" fillId="0" borderId="25" xfId="0" applyFont="1" applyBorder="1" applyAlignment="1">
      <alignment horizontal="center" wrapText="1"/>
    </xf>
    <xf numFmtId="165" fontId="116" fillId="3" borderId="25" xfId="0" applyNumberFormat="1" applyFont="1" applyFill="1" applyBorder="1" applyAlignment="1">
      <alignment horizontal="center" wrapText="1"/>
    </xf>
    <xf numFmtId="165" fontId="116" fillId="0" borderId="25" xfId="0" applyNumberFormat="1" applyFont="1" applyBorder="1" applyAlignment="1">
      <alignment horizontal="center" wrapText="1"/>
    </xf>
    <xf numFmtId="165" fontId="116" fillId="2" borderId="0" xfId="26" applyNumberFormat="1" applyFont="1" applyFill="1" applyAlignment="1">
      <alignment horizontal="center"/>
    </xf>
    <xf numFmtId="0" fontId="116" fillId="0" borderId="22" xfId="26" applyFont="1" applyBorder="1" applyAlignment="1">
      <alignment horizontal="center"/>
    </xf>
    <xf numFmtId="165" fontId="116" fillId="0" borderId="22" xfId="26" applyNumberFormat="1" applyFont="1" applyBorder="1" applyAlignment="1">
      <alignment horizontal="center"/>
    </xf>
    <xf numFmtId="165" fontId="116" fillId="2" borderId="22" xfId="26" applyNumberFormat="1" applyFont="1" applyFill="1" applyBorder="1" applyAlignment="1">
      <alignment horizontal="center"/>
    </xf>
    <xf numFmtId="165" fontId="116" fillId="0" borderId="22" xfId="26" applyNumberFormat="1" applyFont="1" applyBorder="1" applyAlignment="1">
      <alignment horizontal="center" wrapText="1"/>
    </xf>
    <xf numFmtId="0" fontId="116" fillId="3" borderId="22" xfId="26" applyFont="1" applyFill="1" applyBorder="1" applyAlignment="1">
      <alignment horizontal="center"/>
    </xf>
    <xf numFmtId="0" fontId="116" fillId="0" borderId="21" xfId="26" applyFont="1" applyBorder="1" applyAlignment="1">
      <alignment horizontal="center"/>
    </xf>
    <xf numFmtId="0" fontId="116" fillId="0" borderId="25" xfId="26" applyFont="1" applyBorder="1" applyAlignment="1">
      <alignment horizontal="center"/>
    </xf>
    <xf numFmtId="165" fontId="116" fillId="0" borderId="25" xfId="26" applyNumberFormat="1" applyFont="1" applyBorder="1" applyAlignment="1">
      <alignment horizontal="center"/>
    </xf>
    <xf numFmtId="165" fontId="116" fillId="0" borderId="25" xfId="26" applyNumberFormat="1" applyFont="1" applyBorder="1" applyAlignment="1">
      <alignment horizontal="center" wrapText="1"/>
    </xf>
    <xf numFmtId="0" fontId="86" fillId="0" borderId="0" xfId="0" applyFont="1"/>
    <xf numFmtId="0" fontId="84" fillId="0" borderId="0" xfId="0" applyFont="1"/>
    <xf numFmtId="0" fontId="70" fillId="3" borderId="0" xfId="26" applyFill="1"/>
    <xf numFmtId="0" fontId="72" fillId="3" borderId="0" xfId="26" applyFont="1" applyFill="1"/>
    <xf numFmtId="0" fontId="96" fillId="3" borderId="0" xfId="26" applyFont="1" applyFill="1"/>
    <xf numFmtId="165" fontId="116" fillId="3" borderId="0" xfId="3" applyNumberFormat="1" applyFont="1" applyFill="1" applyAlignment="1">
      <alignment horizontal="center" vertical="center"/>
    </xf>
    <xf numFmtId="0" fontId="117" fillId="3" borderId="0" xfId="26" applyFont="1" applyFill="1"/>
    <xf numFmtId="0" fontId="86" fillId="3" borderId="0" xfId="26" applyFont="1" applyFill="1"/>
    <xf numFmtId="0" fontId="84" fillId="3" borderId="0" xfId="26" applyFont="1" applyFill="1"/>
    <xf numFmtId="0" fontId="70" fillId="46" borderId="0" xfId="26" applyFill="1"/>
    <xf numFmtId="0" fontId="116" fillId="0" borderId="23" xfId="26" applyFont="1" applyBorder="1" applyAlignment="1">
      <alignment horizontal="center"/>
    </xf>
    <xf numFmtId="0" fontId="116" fillId="0" borderId="26" xfId="26" applyFont="1" applyBorder="1" applyAlignment="1">
      <alignment horizontal="center"/>
    </xf>
    <xf numFmtId="0" fontId="116" fillId="0" borderId="0" xfId="26" applyFont="1" applyAlignment="1">
      <alignment horizontal="center"/>
    </xf>
    <xf numFmtId="0" fontId="116" fillId="0" borderId="0" xfId="26" applyFont="1" applyAlignment="1">
      <alignment horizontal="center" wrapText="1"/>
    </xf>
    <xf numFmtId="0" fontId="116" fillId="0" borderId="62" xfId="26" applyFont="1" applyBorder="1" applyAlignment="1">
      <alignment horizontal="center"/>
    </xf>
    <xf numFmtId="0" fontId="86" fillId="0" borderId="0" xfId="26" applyFont="1" applyAlignment="1">
      <alignment wrapText="1"/>
    </xf>
    <xf numFmtId="0" fontId="86" fillId="0" borderId="0" xfId="26" applyFont="1" applyAlignment="1">
      <alignment horizontal="center" wrapText="1"/>
    </xf>
    <xf numFmtId="0" fontId="121" fillId="0" borderId="0" xfId="0" applyFont="1" applyAlignment="1">
      <alignment vertical="top"/>
    </xf>
    <xf numFmtId="0" fontId="116" fillId="3" borderId="0" xfId="26" applyFont="1" applyFill="1" applyAlignment="1">
      <alignment horizontal="left"/>
    </xf>
    <xf numFmtId="0" fontId="116" fillId="0" borderId="12" xfId="26" applyFont="1" applyBorder="1"/>
    <xf numFmtId="0" fontId="117" fillId="0" borderId="27" xfId="26" applyFont="1" applyBorder="1"/>
    <xf numFmtId="0" fontId="117" fillId="0" borderId="15" xfId="26" applyFont="1" applyBorder="1"/>
    <xf numFmtId="164" fontId="116" fillId="0" borderId="0" xfId="26" applyNumberFormat="1" applyFont="1" applyAlignment="1">
      <alignment horizontal="center"/>
    </xf>
    <xf numFmtId="0" fontId="117" fillId="0" borderId="0" xfId="26" applyFont="1" applyAlignment="1">
      <alignment vertical="center" wrapText="1"/>
    </xf>
    <xf numFmtId="0" fontId="117" fillId="9" borderId="0" xfId="26" applyFont="1" applyFill="1" applyAlignment="1">
      <alignment vertical="center"/>
    </xf>
    <xf numFmtId="165" fontId="116" fillId="3" borderId="0" xfId="26" applyNumberFormat="1" applyFont="1" applyFill="1" applyAlignment="1">
      <alignment horizontal="center"/>
    </xf>
    <xf numFmtId="167" fontId="116" fillId="0" borderId="21" xfId="26" applyNumberFormat="1" applyFont="1" applyBorder="1" applyAlignment="1">
      <alignment horizontal="center" wrapText="1"/>
    </xf>
    <xf numFmtId="0" fontId="116" fillId="0" borderId="22" xfId="26" applyFont="1" applyBorder="1" applyAlignment="1">
      <alignment horizontal="center" wrapText="1"/>
    </xf>
    <xf numFmtId="165" fontId="116" fillId="0" borderId="22" xfId="26" applyNumberFormat="1" applyFont="1" applyBorder="1" applyAlignment="1">
      <alignment horizontal="center" vertical="center" wrapText="1"/>
    </xf>
    <xf numFmtId="167" fontId="116" fillId="0" borderId="23" xfId="26" applyNumberFormat="1" applyFont="1" applyBorder="1" applyAlignment="1">
      <alignment horizontal="center" wrapText="1"/>
    </xf>
    <xf numFmtId="167" fontId="116" fillId="0" borderId="24" xfId="26" applyNumberFormat="1" applyFont="1" applyBorder="1" applyAlignment="1">
      <alignment horizontal="center" wrapText="1"/>
    </xf>
    <xf numFmtId="0" fontId="116" fillId="0" borderId="25" xfId="26" applyFont="1" applyBorder="1" applyAlignment="1">
      <alignment horizontal="center" wrapText="1"/>
    </xf>
    <xf numFmtId="167" fontId="116" fillId="0" borderId="26" xfId="26" applyNumberFormat="1" applyFont="1" applyBorder="1" applyAlignment="1">
      <alignment horizontal="center" wrapText="1"/>
    </xf>
    <xf numFmtId="167" fontId="116" fillId="0" borderId="18" xfId="26" applyNumberFormat="1" applyFont="1" applyBorder="1" applyAlignment="1">
      <alignment horizontal="center" wrapText="1"/>
    </xf>
    <xf numFmtId="0" fontId="116" fillId="0" borderId="19" xfId="26" applyFont="1" applyBorder="1" applyAlignment="1">
      <alignment horizontal="center" wrapText="1"/>
    </xf>
    <xf numFmtId="167" fontId="116" fillId="0" borderId="20" xfId="26" applyNumberFormat="1" applyFont="1" applyBorder="1" applyAlignment="1">
      <alignment horizontal="center" wrapText="1"/>
    </xf>
    <xf numFmtId="0" fontId="86" fillId="3" borderId="0" xfId="701" applyFont="1" applyFill="1"/>
    <xf numFmtId="0" fontId="142" fillId="0" borderId="0" xfId="0" applyFont="1"/>
    <xf numFmtId="0" fontId="116" fillId="0" borderId="0" xfId="0" applyFont="1" applyAlignment="1">
      <alignment horizontal="center" vertical="center"/>
    </xf>
    <xf numFmtId="167" fontId="116" fillId="0" borderId="0" xfId="0" applyNumberFormat="1" applyFont="1" applyAlignment="1">
      <alignment horizontal="center" vertical="center"/>
    </xf>
    <xf numFmtId="167" fontId="116" fillId="2" borderId="0" xfId="0" applyNumberFormat="1" applyFont="1" applyFill="1" applyAlignment="1">
      <alignment horizontal="center" vertical="center"/>
    </xf>
    <xf numFmtId="0" fontId="126" fillId="43" borderId="70" xfId="26" applyFont="1" applyFill="1" applyBorder="1" applyAlignment="1">
      <alignment horizontal="center"/>
    </xf>
    <xf numFmtId="0" fontId="126" fillId="43" borderId="71" xfId="26" applyFont="1" applyFill="1" applyBorder="1" applyAlignment="1">
      <alignment horizontal="center"/>
    </xf>
    <xf numFmtId="0" fontId="126" fillId="43" borderId="72" xfId="26" applyFont="1" applyFill="1" applyBorder="1" applyAlignment="1">
      <alignment horizontal="center"/>
    </xf>
    <xf numFmtId="0" fontId="116" fillId="0" borderId="27" xfId="26" applyFont="1" applyBorder="1" applyAlignment="1">
      <alignment horizontal="center"/>
    </xf>
    <xf numFmtId="0" fontId="116" fillId="0" borderId="15" xfId="26" applyFont="1" applyBorder="1" applyAlignment="1">
      <alignment horizontal="center"/>
    </xf>
    <xf numFmtId="0" fontId="116" fillId="0" borderId="16" xfId="26" applyFont="1" applyBorder="1" applyAlignment="1">
      <alignment horizontal="center"/>
    </xf>
    <xf numFmtId="165" fontId="116" fillId="0" borderId="16" xfId="26" applyNumberFormat="1" applyFont="1" applyBorder="1" applyAlignment="1">
      <alignment horizontal="center"/>
    </xf>
    <xf numFmtId="165" fontId="116" fillId="2" borderId="16" xfId="26" applyNumberFormat="1" applyFont="1" applyFill="1" applyBorder="1" applyAlignment="1">
      <alignment horizontal="center"/>
    </xf>
    <xf numFmtId="165" fontId="116" fillId="0" borderId="16" xfId="26" applyNumberFormat="1" applyFont="1" applyBorder="1" applyAlignment="1">
      <alignment horizontal="center" wrapText="1"/>
    </xf>
    <xf numFmtId="0" fontId="116" fillId="3" borderId="16" xfId="26" applyFont="1" applyFill="1" applyBorder="1" applyAlignment="1">
      <alignment horizontal="center"/>
    </xf>
    <xf numFmtId="0" fontId="116" fillId="0" borderId="17" xfId="26" applyFont="1" applyBorder="1" applyAlignment="1">
      <alignment horizontal="center"/>
    </xf>
    <xf numFmtId="0" fontId="97" fillId="0" borderId="0" xfId="26" applyFont="1" applyAlignment="1">
      <alignment horizontal="center" vertical="center" wrapText="1"/>
    </xf>
    <xf numFmtId="165" fontId="97" fillId="0" borderId="0" xfId="26" applyNumberFormat="1" applyFont="1" applyAlignment="1">
      <alignment horizontal="center" vertical="center" wrapText="1"/>
    </xf>
    <xf numFmtId="0" fontId="126" fillId="43" borderId="68" xfId="26" applyFont="1" applyFill="1" applyBorder="1" applyAlignment="1">
      <alignment horizontal="center"/>
    </xf>
    <xf numFmtId="0" fontId="126" fillId="43" borderId="73" xfId="26" applyFont="1" applyFill="1" applyBorder="1" applyAlignment="1">
      <alignment horizontal="center"/>
    </xf>
    <xf numFmtId="0" fontId="126" fillId="43" borderId="74" xfId="26" applyFont="1" applyFill="1" applyBorder="1" applyAlignment="1">
      <alignment horizontal="center"/>
    </xf>
    <xf numFmtId="0" fontId="126" fillId="43" borderId="70" xfId="26" applyFont="1" applyFill="1" applyBorder="1" applyAlignment="1">
      <alignment horizontal="center" wrapText="1"/>
    </xf>
    <xf numFmtId="0" fontId="143" fillId="0" borderId="0" xfId="0" applyFont="1"/>
    <xf numFmtId="0" fontId="97" fillId="3" borderId="0" xfId="26" applyFont="1" applyFill="1"/>
    <xf numFmtId="0" fontId="95" fillId="3" borderId="0" xfId="26" applyFont="1" applyFill="1"/>
    <xf numFmtId="0" fontId="97" fillId="0" borderId="21" xfId="0" applyFont="1" applyBorder="1" applyAlignment="1">
      <alignment horizontal="center" wrapText="1"/>
    </xf>
    <xf numFmtId="165" fontId="97" fillId="0" borderId="75" xfId="26" applyNumberFormat="1" applyFont="1" applyBorder="1" applyAlignment="1">
      <alignment horizontal="center" vertical="center" wrapText="1"/>
    </xf>
    <xf numFmtId="0" fontId="97" fillId="0" borderId="22" xfId="26" applyFont="1" applyBorder="1" applyAlignment="1">
      <alignment horizontal="center" vertical="center" wrapText="1"/>
    </xf>
    <xf numFmtId="0" fontId="97" fillId="0" borderId="23" xfId="0" applyFont="1" applyBorder="1" applyAlignment="1">
      <alignment horizontal="center" wrapText="1"/>
    </xf>
    <xf numFmtId="0" fontId="97" fillId="0" borderId="24" xfId="0" applyFont="1" applyBorder="1" applyAlignment="1">
      <alignment horizontal="center" wrapText="1"/>
    </xf>
    <xf numFmtId="0" fontId="97" fillId="0" borderId="61" xfId="26" applyFont="1" applyBorder="1" applyAlignment="1">
      <alignment horizontal="center" vertical="center" wrapText="1"/>
    </xf>
    <xf numFmtId="0" fontId="116" fillId="0" borderId="65" xfId="0" applyFont="1" applyBorder="1" applyAlignment="1">
      <alignment horizontal="center" wrapText="1"/>
    </xf>
    <xf numFmtId="0" fontId="116" fillId="0" borderId="49" xfId="0" applyFont="1" applyBorder="1" applyAlignment="1">
      <alignment horizontal="center" wrapText="1"/>
    </xf>
    <xf numFmtId="165" fontId="116" fillId="3" borderId="49" xfId="0" applyNumberFormat="1" applyFont="1" applyFill="1" applyBorder="1" applyAlignment="1">
      <alignment horizontal="center" wrapText="1"/>
    </xf>
    <xf numFmtId="165" fontId="116" fillId="0" borderId="49" xfId="0" applyNumberFormat="1" applyFont="1" applyBorder="1" applyAlignment="1">
      <alignment horizontal="center" wrapText="1"/>
    </xf>
    <xf numFmtId="165" fontId="116" fillId="0" borderId="66" xfId="0" applyNumberFormat="1" applyFont="1" applyBorder="1" applyAlignment="1">
      <alignment horizontal="center" wrapText="1"/>
    </xf>
    <xf numFmtId="0" fontId="126" fillId="43" borderId="0" xfId="26" applyFont="1" applyFill="1" applyAlignment="1">
      <alignment horizontal="center" wrapText="1"/>
    </xf>
    <xf numFmtId="167" fontId="116" fillId="0" borderId="82" xfId="26" applyNumberFormat="1" applyFont="1" applyBorder="1" applyAlignment="1">
      <alignment horizontal="center" wrapText="1"/>
    </xf>
    <xf numFmtId="167" fontId="116" fillId="2" borderId="22" xfId="0" applyNumberFormat="1" applyFont="1" applyFill="1" applyBorder="1" applyAlignment="1">
      <alignment horizontal="center" vertical="center"/>
    </xf>
    <xf numFmtId="167" fontId="116" fillId="0" borderId="22" xfId="26" applyNumberFormat="1" applyFont="1" applyBorder="1" applyAlignment="1">
      <alignment horizontal="center" wrapText="1"/>
    </xf>
    <xf numFmtId="0" fontId="116" fillId="0" borderId="67" xfId="26" applyFont="1" applyBorder="1" applyAlignment="1">
      <alignment horizontal="center" wrapText="1"/>
    </xf>
    <xf numFmtId="0" fontId="116" fillId="0" borderId="69" xfId="26" applyFont="1" applyBorder="1" applyAlignment="1">
      <alignment horizontal="center" wrapText="1"/>
    </xf>
    <xf numFmtId="167" fontId="116" fillId="0" borderId="68" xfId="26" applyNumberFormat="1" applyFont="1" applyBorder="1" applyAlignment="1">
      <alignment horizontal="center" wrapText="1"/>
    </xf>
    <xf numFmtId="0" fontId="0" fillId="0" borderId="84" xfId="0" applyBorder="1"/>
    <xf numFmtId="0" fontId="135" fillId="3" borderId="0" xfId="1363" applyFont="1" applyFill="1" applyAlignment="1">
      <alignment vertical="center"/>
    </xf>
    <xf numFmtId="0" fontId="23" fillId="3" borderId="0" xfId="1363" applyFill="1"/>
    <xf numFmtId="0" fontId="136" fillId="3" borderId="0" xfId="1363" applyFont="1" applyFill="1" applyAlignment="1">
      <alignment vertical="center"/>
    </xf>
    <xf numFmtId="0" fontId="137" fillId="3" borderId="0" xfId="1363" applyFont="1" applyFill="1" applyAlignment="1">
      <alignment vertical="center"/>
    </xf>
    <xf numFmtId="0" fontId="138" fillId="3" borderId="0" xfId="1363" applyFont="1" applyFill="1" applyAlignment="1">
      <alignment vertical="center"/>
    </xf>
    <xf numFmtId="0" fontId="84" fillId="0" borderId="0" xfId="26" applyFont="1"/>
    <xf numFmtId="0" fontId="126" fillId="43" borderId="92" xfId="26" applyFont="1" applyFill="1" applyBorder="1" applyAlignment="1">
      <alignment horizontal="center"/>
    </xf>
    <xf numFmtId="0" fontId="126" fillId="43" borderId="93" xfId="26" applyFont="1" applyFill="1" applyBorder="1" applyAlignment="1">
      <alignment horizontal="center"/>
    </xf>
    <xf numFmtId="0" fontId="126" fillId="43" borderId="44" xfId="26" applyFont="1" applyFill="1" applyBorder="1" applyAlignment="1">
      <alignment horizontal="center"/>
    </xf>
    <xf numFmtId="0" fontId="116" fillId="9" borderId="0" xfId="26" applyFont="1" applyFill="1" applyAlignment="1">
      <alignment vertical="center"/>
    </xf>
    <xf numFmtId="0" fontId="117" fillId="0" borderId="0" xfId="1" applyFont="1" applyAlignment="1" applyProtection="1"/>
    <xf numFmtId="0" fontId="121" fillId="0" borderId="0" xfId="0" applyFont="1"/>
    <xf numFmtId="0" fontId="0" fillId="3" borderId="3" xfId="0" applyFill="1" applyBorder="1"/>
    <xf numFmtId="0" fontId="70" fillId="3" borderId="3" xfId="26" applyFill="1" applyBorder="1"/>
    <xf numFmtId="0" fontId="117" fillId="0" borderId="0" xfId="26" applyFont="1" applyAlignment="1">
      <alignment horizontal="left"/>
    </xf>
    <xf numFmtId="0" fontId="116" fillId="49" borderId="12" xfId="26" applyFont="1" applyFill="1" applyBorder="1"/>
    <xf numFmtId="0" fontId="116" fillId="49" borderId="13" xfId="26" applyFont="1" applyFill="1" applyBorder="1"/>
    <xf numFmtId="0" fontId="116" fillId="49" borderId="89" xfId="26" applyFont="1" applyFill="1" applyBorder="1"/>
    <xf numFmtId="0" fontId="116" fillId="49" borderId="90" xfId="26" applyFont="1" applyFill="1" applyBorder="1"/>
    <xf numFmtId="0" fontId="116" fillId="49" borderId="40" xfId="26" applyFont="1" applyFill="1" applyBorder="1"/>
    <xf numFmtId="0" fontId="116" fillId="49" borderId="12" xfId="26" applyFont="1" applyFill="1" applyBorder="1" applyAlignment="1">
      <alignment horizontal="center"/>
    </xf>
    <xf numFmtId="0" fontId="116" fillId="49" borderId="57" xfId="26" applyFont="1" applyFill="1" applyBorder="1" applyAlignment="1">
      <alignment horizontal="center"/>
    </xf>
    <xf numFmtId="0" fontId="116" fillId="49" borderId="18" xfId="26" applyFont="1" applyFill="1" applyBorder="1"/>
    <xf numFmtId="0" fontId="126" fillId="43" borderId="21" xfId="26" applyFont="1" applyFill="1" applyBorder="1" applyAlignment="1">
      <alignment horizontal="center"/>
    </xf>
    <xf numFmtId="0" fontId="126" fillId="43" borderId="22" xfId="26" applyFont="1" applyFill="1" applyBorder="1" applyAlignment="1">
      <alignment horizontal="center"/>
    </xf>
    <xf numFmtId="0" fontId="126" fillId="43" borderId="23" xfId="26" applyFont="1" applyFill="1" applyBorder="1" applyAlignment="1">
      <alignment horizontal="center"/>
    </xf>
    <xf numFmtId="167" fontId="116" fillId="0" borderId="25" xfId="26" applyNumberFormat="1" applyFont="1" applyBorder="1" applyAlignment="1">
      <alignment horizontal="center" wrapText="1"/>
    </xf>
    <xf numFmtId="165" fontId="116" fillId="0" borderId="25" xfId="26" applyNumberFormat="1" applyFont="1" applyBorder="1" applyAlignment="1">
      <alignment horizontal="center" vertical="center" wrapText="1"/>
    </xf>
    <xf numFmtId="165" fontId="116" fillId="0" borderId="19" xfId="26" applyNumberFormat="1" applyFont="1" applyBorder="1" applyAlignment="1">
      <alignment horizontal="center" vertical="center" wrapText="1"/>
    </xf>
    <xf numFmtId="0" fontId="148" fillId="50" borderId="3" xfId="1452" applyFont="1" applyFill="1" applyBorder="1" applyAlignment="1">
      <alignment vertical="center"/>
    </xf>
    <xf numFmtId="0" fontId="117" fillId="3" borderId="0" xfId="0" applyFont="1" applyFill="1"/>
    <xf numFmtId="0" fontId="148" fillId="46" borderId="3" xfId="1452" applyFont="1" applyFill="1" applyBorder="1" applyAlignment="1">
      <alignment vertical="center"/>
    </xf>
    <xf numFmtId="0" fontId="146" fillId="0" borderId="3" xfId="1452" applyFont="1" applyBorder="1" applyAlignment="1">
      <alignment horizontal="left" vertical="center"/>
    </xf>
    <xf numFmtId="0" fontId="76" fillId="4" borderId="0" xfId="26" applyFont="1" applyFill="1"/>
    <xf numFmtId="0" fontId="70" fillId="4" borderId="0" xfId="26" applyFill="1"/>
    <xf numFmtId="0" fontId="97" fillId="0" borderId="26" xfId="0" applyFont="1" applyBorder="1" applyAlignment="1">
      <alignment horizontal="center" wrapText="1"/>
    </xf>
    <xf numFmtId="0" fontId="97" fillId="0" borderId="18" xfId="0" applyFont="1" applyBorder="1" applyAlignment="1">
      <alignment horizontal="center" wrapText="1"/>
    </xf>
    <xf numFmtId="0" fontId="97" fillId="0" borderId="112" xfId="26" applyFont="1" applyBorder="1" applyAlignment="1">
      <alignment horizontal="center" vertical="center" wrapText="1"/>
    </xf>
    <xf numFmtId="165" fontId="97" fillId="0" borderId="112" xfId="26" applyNumberFormat="1" applyFont="1" applyBorder="1" applyAlignment="1">
      <alignment horizontal="center" vertical="center" wrapText="1"/>
    </xf>
    <xf numFmtId="165" fontId="97" fillId="0" borderId="113" xfId="26" applyNumberFormat="1" applyFont="1" applyBorder="1" applyAlignment="1">
      <alignment horizontal="center" vertical="center" wrapText="1"/>
    </xf>
    <xf numFmtId="165" fontId="116" fillId="0" borderId="19" xfId="26" applyNumberFormat="1" applyFont="1" applyBorder="1" applyAlignment="1">
      <alignment horizontal="center" wrapText="1"/>
    </xf>
    <xf numFmtId="165" fontId="84" fillId="5" borderId="0" xfId="3" applyNumberFormat="1" applyFont="1" applyFill="1" applyAlignment="1">
      <alignment horizontal="center" vertical="center"/>
    </xf>
    <xf numFmtId="0" fontId="116" fillId="0" borderId="28" xfId="26" applyFont="1" applyBorder="1" applyAlignment="1">
      <alignment horizontal="center" wrapText="1"/>
    </xf>
    <xf numFmtId="170" fontId="116" fillId="0" borderId="103" xfId="0" applyNumberFormat="1" applyFont="1" applyBorder="1" applyAlignment="1">
      <alignment horizontal="center" vertical="center"/>
    </xf>
    <xf numFmtId="170" fontId="116" fillId="0" borderId="115" xfId="0" applyNumberFormat="1" applyFont="1" applyBorder="1" applyAlignment="1">
      <alignment horizontal="center" vertical="center"/>
    </xf>
    <xf numFmtId="170" fontId="116" fillId="2" borderId="19" xfId="0" applyNumberFormat="1" applyFont="1" applyFill="1" applyBorder="1" applyAlignment="1">
      <alignment horizontal="center" vertical="center"/>
    </xf>
    <xf numFmtId="0" fontId="116" fillId="0" borderId="104" xfId="26" applyFont="1" applyBorder="1" applyAlignment="1">
      <alignment horizontal="center" wrapText="1"/>
    </xf>
    <xf numFmtId="0" fontId="116" fillId="0" borderId="77" xfId="26" applyFont="1" applyBorder="1" applyAlignment="1">
      <alignment horizontal="center" wrapText="1"/>
    </xf>
    <xf numFmtId="165" fontId="116" fillId="0" borderId="16" xfId="0" applyNumberFormat="1" applyFont="1" applyBorder="1" applyAlignment="1">
      <alignment horizontal="center" vertical="center"/>
    </xf>
    <xf numFmtId="165" fontId="116" fillId="0" borderId="49" xfId="0" applyNumberFormat="1" applyFont="1" applyBorder="1" applyAlignment="1">
      <alignment horizontal="center" vertical="center"/>
    </xf>
    <xf numFmtId="0" fontId="116" fillId="0" borderId="66" xfId="26" applyFont="1" applyBorder="1" applyAlignment="1">
      <alignment horizontal="center" wrapText="1"/>
    </xf>
    <xf numFmtId="0" fontId="116" fillId="0" borderId="18" xfId="26" applyFont="1" applyBorder="1" applyAlignment="1">
      <alignment horizontal="center" wrapText="1"/>
    </xf>
    <xf numFmtId="167" fontId="116" fillId="2" borderId="19" xfId="0" applyNumberFormat="1" applyFont="1" applyFill="1" applyBorder="1" applyAlignment="1">
      <alignment horizontal="center" vertical="center"/>
    </xf>
    <xf numFmtId="0" fontId="116" fillId="0" borderId="21" xfId="26" applyFont="1" applyBorder="1" applyAlignment="1">
      <alignment horizontal="center" wrapText="1"/>
    </xf>
    <xf numFmtId="0" fontId="116" fillId="0" borderId="24" xfId="26" applyFont="1" applyBorder="1" applyAlignment="1">
      <alignment horizontal="center" wrapText="1"/>
    </xf>
    <xf numFmtId="167" fontId="116" fillId="2" borderId="25" xfId="0" applyNumberFormat="1" applyFont="1" applyFill="1" applyBorder="1" applyAlignment="1">
      <alignment horizontal="center" vertical="center"/>
    </xf>
    <xf numFmtId="0" fontId="116" fillId="0" borderId="116" xfId="26" applyFont="1" applyBorder="1" applyAlignment="1">
      <alignment horizontal="center" wrapText="1"/>
    </xf>
    <xf numFmtId="0" fontId="116" fillId="0" borderId="58" xfId="26" applyFont="1" applyBorder="1" applyAlignment="1">
      <alignment horizontal="center" wrapText="1"/>
    </xf>
    <xf numFmtId="0" fontId="116" fillId="0" borderId="58" xfId="0" applyFont="1" applyBorder="1" applyAlignment="1">
      <alignment horizontal="center" vertical="center"/>
    </xf>
    <xf numFmtId="167" fontId="116" fillId="0" borderId="58" xfId="0" applyNumberFormat="1" applyFont="1" applyBorder="1" applyAlignment="1">
      <alignment horizontal="center" vertical="center"/>
    </xf>
    <xf numFmtId="167" fontId="116" fillId="2" borderId="58" xfId="0" applyNumberFormat="1" applyFont="1" applyFill="1" applyBorder="1" applyAlignment="1">
      <alignment horizontal="center" vertical="center"/>
    </xf>
    <xf numFmtId="0" fontId="116" fillId="0" borderId="19" xfId="0" applyFont="1" applyBorder="1" applyAlignment="1">
      <alignment horizontal="center" vertical="center"/>
    </xf>
    <xf numFmtId="167" fontId="116" fillId="0" borderId="19" xfId="0" applyNumberFormat="1" applyFont="1" applyBorder="1" applyAlignment="1">
      <alignment horizontal="center" vertical="center"/>
    </xf>
    <xf numFmtId="0" fontId="116" fillId="0" borderId="20" xfId="26" applyFont="1" applyBorder="1" applyAlignment="1">
      <alignment horizontal="center" wrapText="1"/>
    </xf>
    <xf numFmtId="0" fontId="116" fillId="0" borderId="22" xfId="0" applyFont="1" applyBorder="1" applyAlignment="1">
      <alignment horizontal="center" vertical="center"/>
    </xf>
    <xf numFmtId="167" fontId="116" fillId="0" borderId="22" xfId="0" applyNumberFormat="1" applyFont="1" applyBorder="1" applyAlignment="1">
      <alignment horizontal="center" vertical="center"/>
    </xf>
    <xf numFmtId="0" fontId="116" fillId="0" borderId="23" xfId="26" applyFont="1" applyBorder="1" applyAlignment="1">
      <alignment horizontal="center" wrapText="1"/>
    </xf>
    <xf numFmtId="0" fontId="116" fillId="0" borderId="25" xfId="0" applyFont="1" applyBorder="1" applyAlignment="1">
      <alignment horizontal="center" vertical="center"/>
    </xf>
    <xf numFmtId="167" fontId="116" fillId="0" borderId="25" xfId="0" applyNumberFormat="1" applyFont="1" applyBorder="1" applyAlignment="1">
      <alignment horizontal="center" vertical="center"/>
    </xf>
    <xf numFmtId="0" fontId="116" fillId="0" borderId="26" xfId="26" applyFont="1" applyBorder="1" applyAlignment="1">
      <alignment horizontal="center" wrapText="1"/>
    </xf>
    <xf numFmtId="167" fontId="116" fillId="0" borderId="38" xfId="26" applyNumberFormat="1" applyFont="1" applyBorder="1" applyAlignment="1">
      <alignment horizontal="center" wrapText="1"/>
    </xf>
    <xf numFmtId="167" fontId="116" fillId="0" borderId="0" xfId="26" applyNumberFormat="1" applyFont="1" applyAlignment="1">
      <alignment horizontal="center" wrapText="1"/>
    </xf>
    <xf numFmtId="0" fontId="116" fillId="0" borderId="62" xfId="26" applyFont="1" applyBorder="1" applyAlignment="1">
      <alignment horizontal="center" wrapText="1"/>
    </xf>
    <xf numFmtId="0" fontId="116" fillId="0" borderId="74" xfId="26" applyFont="1" applyBorder="1" applyAlignment="1">
      <alignment horizontal="center" wrapText="1"/>
    </xf>
    <xf numFmtId="0" fontId="116" fillId="0" borderId="63" xfId="26" applyFont="1" applyBorder="1" applyAlignment="1">
      <alignment horizontal="center" wrapText="1"/>
    </xf>
    <xf numFmtId="0" fontId="116" fillId="0" borderId="111" xfId="26" applyFont="1" applyBorder="1" applyAlignment="1">
      <alignment horizontal="center" wrapText="1"/>
    </xf>
    <xf numFmtId="167" fontId="116" fillId="0" borderId="114" xfId="26" applyNumberFormat="1" applyFont="1" applyBorder="1" applyAlignment="1">
      <alignment horizontal="center" wrapText="1"/>
    </xf>
    <xf numFmtId="167" fontId="116" fillId="0" borderId="113" xfId="26" applyNumberFormat="1" applyFont="1" applyBorder="1" applyAlignment="1">
      <alignment horizontal="center" wrapText="1"/>
    </xf>
    <xf numFmtId="0" fontId="116" fillId="3" borderId="0" xfId="1" applyFont="1" applyFill="1" applyAlignment="1" applyProtection="1"/>
    <xf numFmtId="0" fontId="140" fillId="0" borderId="0" xfId="26" applyFont="1"/>
    <xf numFmtId="165" fontId="140" fillId="0" borderId="3" xfId="26" applyNumberFormat="1" applyFont="1" applyBorder="1" applyAlignment="1">
      <alignment horizontal="center" vertical="center"/>
    </xf>
    <xf numFmtId="0" fontId="92" fillId="0" borderId="3" xfId="0" applyFont="1" applyBorder="1"/>
    <xf numFmtId="165" fontId="96" fillId="5" borderId="118" xfId="3" applyNumberFormat="1" applyFont="1" applyFill="1" applyBorder="1" applyAlignment="1">
      <alignment horizontal="center" vertical="center"/>
    </xf>
    <xf numFmtId="165" fontId="96" fillId="5" borderId="87" xfId="3" applyNumberFormat="1" applyFont="1" applyFill="1" applyBorder="1" applyAlignment="1">
      <alignment horizontal="center" vertical="center"/>
    </xf>
    <xf numFmtId="165" fontId="86" fillId="5" borderId="87" xfId="3" applyNumberFormat="1" applyFont="1" applyFill="1" applyBorder="1" applyAlignment="1">
      <alignment horizontal="center" vertical="center"/>
    </xf>
    <xf numFmtId="165" fontId="84" fillId="5" borderId="87" xfId="3" applyNumberFormat="1" applyFont="1" applyFill="1" applyBorder="1" applyAlignment="1">
      <alignment horizontal="center" vertical="center"/>
    </xf>
    <xf numFmtId="0" fontId="116" fillId="0" borderId="65" xfId="26" applyFont="1" applyBorder="1" applyAlignment="1">
      <alignment horizontal="center" wrapText="1"/>
    </xf>
    <xf numFmtId="0" fontId="150" fillId="0" borderId="0" xfId="26" applyFont="1" applyAlignment="1">
      <alignment horizontal="center"/>
    </xf>
    <xf numFmtId="167" fontId="84" fillId="0" borderId="0" xfId="26" applyNumberFormat="1" applyFont="1" applyAlignment="1">
      <alignment horizontal="center" wrapText="1"/>
    </xf>
    <xf numFmtId="0" fontId="81" fillId="10" borderId="120" xfId="26" applyFont="1" applyFill="1" applyBorder="1" applyAlignment="1">
      <alignment vertical="center" wrapText="1"/>
    </xf>
    <xf numFmtId="0" fontId="81" fillId="10" borderId="122" xfId="26" applyFont="1" applyFill="1" applyBorder="1" applyAlignment="1">
      <alignment vertical="center" wrapText="1"/>
    </xf>
    <xf numFmtId="0" fontId="81" fillId="10" borderId="123" xfId="26" applyFont="1" applyFill="1" applyBorder="1" applyAlignment="1">
      <alignment vertical="center" wrapText="1"/>
    </xf>
    <xf numFmtId="0" fontId="116" fillId="0" borderId="119" xfId="0" applyFont="1" applyBorder="1" applyAlignment="1">
      <alignment horizontal="center" vertical="center"/>
    </xf>
    <xf numFmtId="0" fontId="96" fillId="0" borderId="0" xfId="26" applyFont="1" applyAlignment="1">
      <alignment wrapText="1"/>
    </xf>
    <xf numFmtId="0" fontId="96" fillId="3" borderId="13" xfId="26" applyFont="1" applyFill="1" applyBorder="1" applyAlignment="1">
      <alignment horizontal="center" vertical="center"/>
    </xf>
    <xf numFmtId="0" fontId="96" fillId="3" borderId="13" xfId="26" applyFont="1" applyFill="1" applyBorder="1"/>
    <xf numFmtId="0" fontId="96" fillId="3" borderId="14" xfId="26" applyFont="1" applyFill="1" applyBorder="1"/>
    <xf numFmtId="0" fontId="96" fillId="3" borderId="16" xfId="26" applyFont="1" applyFill="1" applyBorder="1"/>
    <xf numFmtId="0" fontId="96" fillId="3" borderId="17" xfId="26" applyFont="1" applyFill="1" applyBorder="1"/>
    <xf numFmtId="49" fontId="147" fillId="49" borderId="18" xfId="3" applyNumberFormat="1" applyFont="1" applyFill="1" applyBorder="1" applyAlignment="1">
      <alignment horizontal="center" wrapText="1"/>
    </xf>
    <xf numFmtId="49" fontId="147" fillId="49" borderId="19" xfId="3" applyNumberFormat="1" applyFont="1" applyFill="1" applyBorder="1" applyAlignment="1">
      <alignment horizontal="center" wrapText="1"/>
    </xf>
    <xf numFmtId="49" fontId="147" fillId="49" borderId="20" xfId="3" applyNumberFormat="1" applyFont="1" applyFill="1" applyBorder="1" applyAlignment="1">
      <alignment horizontal="center" wrapText="1"/>
    </xf>
    <xf numFmtId="0" fontId="145" fillId="0" borderId="21" xfId="26" applyFont="1" applyBorder="1" applyAlignment="1">
      <alignment horizontal="center" vertical="center" wrapText="1"/>
    </xf>
    <xf numFmtId="0" fontId="123" fillId="3" borderId="0" xfId="26" applyFont="1" applyFill="1" applyAlignment="1">
      <alignment horizontal="center" vertical="center" wrapText="1"/>
    </xf>
    <xf numFmtId="0" fontId="123" fillId="41" borderId="21" xfId="26" applyFont="1" applyFill="1" applyBorder="1" applyAlignment="1">
      <alignment horizontal="center" vertical="center" wrapText="1"/>
    </xf>
    <xf numFmtId="0" fontId="123" fillId="41" borderId="22" xfId="26" applyFont="1" applyFill="1" applyBorder="1" applyAlignment="1">
      <alignment horizontal="center" vertical="center" wrapText="1"/>
    </xf>
    <xf numFmtId="0" fontId="123" fillId="41" borderId="23" xfId="26" applyFont="1" applyFill="1" applyBorder="1" applyAlignment="1">
      <alignment horizontal="center" vertical="center" wrapText="1"/>
    </xf>
    <xf numFmtId="169" fontId="123" fillId="3" borderId="0" xfId="175" applyNumberFormat="1" applyFont="1" applyFill="1" applyBorder="1" applyAlignment="1">
      <alignment horizontal="center" vertical="center" wrapText="1"/>
    </xf>
    <xf numFmtId="0" fontId="117" fillId="3" borderId="0" xfId="3" applyFont="1" applyFill="1"/>
    <xf numFmtId="0" fontId="86" fillId="3" borderId="0" xfId="26" applyFont="1" applyFill="1" applyAlignment="1">
      <alignment horizontal="center" vertical="center"/>
    </xf>
    <xf numFmtId="0" fontId="72" fillId="3" borderId="0" xfId="26" applyFont="1" applyFill="1" applyAlignment="1">
      <alignment horizontal="center" vertical="center"/>
    </xf>
    <xf numFmtId="0" fontId="77" fillId="3" borderId="0" xfId="26" applyFont="1" applyFill="1" applyAlignment="1">
      <alignment horizontal="center" vertical="center"/>
    </xf>
    <xf numFmtId="0" fontId="86" fillId="3" borderId="0" xfId="3" applyFont="1" applyFill="1"/>
    <xf numFmtId="0" fontId="116" fillId="3" borderId="0" xfId="3" applyFont="1" applyFill="1"/>
    <xf numFmtId="0" fontId="117" fillId="3" borderId="0" xfId="26" applyFont="1" applyFill="1" applyAlignment="1">
      <alignment horizontal="left" vertical="center"/>
    </xf>
    <xf numFmtId="0" fontId="123" fillId="0" borderId="0" xfId="26" applyFont="1" applyAlignment="1">
      <alignment horizontal="center" vertical="center" wrapText="1"/>
    </xf>
    <xf numFmtId="0" fontId="116" fillId="3" borderId="0" xfId="3" applyFont="1" applyFill="1" applyAlignment="1">
      <alignment horizontal="center" vertical="center"/>
    </xf>
    <xf numFmtId="0" fontId="117" fillId="0" borderId="0" xfId="26" applyFont="1" applyAlignment="1">
      <alignment horizontal="left" vertical="center"/>
    </xf>
    <xf numFmtId="0" fontId="84" fillId="3" borderId="0" xfId="0" applyFont="1" applyFill="1"/>
    <xf numFmtId="0" fontId="84" fillId="3" borderId="0" xfId="0" applyFont="1" applyFill="1" applyAlignment="1">
      <alignment wrapText="1"/>
    </xf>
    <xf numFmtId="0" fontId="84" fillId="3" borderId="0" xfId="0" applyFont="1" applyFill="1" applyAlignment="1">
      <alignment horizontal="center" wrapText="1"/>
    </xf>
    <xf numFmtId="0" fontId="70" fillId="0" borderId="133" xfId="0" applyFont="1" applyBorder="1"/>
    <xf numFmtId="0" fontId="0" fillId="51" borderId="3" xfId="0" applyFill="1" applyBorder="1"/>
    <xf numFmtId="0" fontId="70" fillId="51" borderId="3" xfId="26" applyFill="1" applyBorder="1" applyAlignment="1">
      <alignment horizontal="center"/>
    </xf>
    <xf numFmtId="0" fontId="0" fillId="3" borderId="121" xfId="0" applyFill="1" applyBorder="1"/>
    <xf numFmtId="0" fontId="70" fillId="0" borderId="121" xfId="26" applyBorder="1"/>
    <xf numFmtId="0" fontId="140" fillId="0" borderId="3" xfId="26" applyFont="1" applyBorder="1"/>
    <xf numFmtId="0" fontId="116" fillId="0" borderId="134" xfId="26" applyFont="1" applyBorder="1" applyAlignment="1">
      <alignment horizontal="center"/>
    </xf>
    <xf numFmtId="165" fontId="116" fillId="0" borderId="134" xfId="26" applyNumberFormat="1" applyFont="1" applyBorder="1" applyAlignment="1">
      <alignment horizontal="center"/>
    </xf>
    <xf numFmtId="165" fontId="116" fillId="2" borderId="134" xfId="26" applyNumberFormat="1" applyFont="1" applyFill="1" applyBorder="1" applyAlignment="1">
      <alignment horizontal="center"/>
    </xf>
    <xf numFmtId="0" fontId="117" fillId="0" borderId="0" xfId="1" applyFont="1" applyBorder="1" applyAlignment="1" applyProtection="1">
      <alignment vertical="center"/>
    </xf>
    <xf numFmtId="0" fontId="97" fillId="0" borderId="0" xfId="0" applyFont="1" applyAlignment="1">
      <alignment horizontal="left" wrapText="1"/>
    </xf>
    <xf numFmtId="0" fontId="97" fillId="0" borderId="0" xfId="0" applyFont="1" applyAlignment="1">
      <alignment horizontal="left"/>
    </xf>
    <xf numFmtId="0" fontId="72" fillId="3" borderId="0" xfId="26" applyFont="1" applyFill="1" applyAlignment="1">
      <alignment horizontal="center"/>
    </xf>
    <xf numFmtId="0" fontId="97" fillId="3" borderId="0" xfId="26" applyFont="1" applyFill="1" applyAlignment="1">
      <alignment horizontal="left" vertical="center" wrapText="1"/>
    </xf>
    <xf numFmtId="165" fontId="97" fillId="3" borderId="0" xfId="26" applyNumberFormat="1" applyFont="1" applyFill="1" applyAlignment="1">
      <alignment horizontal="center" vertical="center"/>
    </xf>
    <xf numFmtId="165" fontId="97" fillId="3" borderId="0" xfId="3" applyNumberFormat="1" applyFont="1" applyFill="1" applyAlignment="1">
      <alignment horizontal="center" vertical="center"/>
    </xf>
    <xf numFmtId="165" fontId="96" fillId="3" borderId="0" xfId="3" applyNumberFormat="1" applyFont="1" applyFill="1" applyAlignment="1">
      <alignment horizontal="center" vertical="center"/>
    </xf>
    <xf numFmtId="165" fontId="97" fillId="3" borderId="0" xfId="15" applyNumberFormat="1" applyFont="1" applyFill="1" applyAlignment="1">
      <alignment horizontal="center" wrapText="1"/>
    </xf>
    <xf numFmtId="0" fontId="116" fillId="2" borderId="0" xfId="26" applyFont="1" applyFill="1" applyAlignment="1">
      <alignment horizontal="center" wrapText="1"/>
    </xf>
    <xf numFmtId="0" fontId="123" fillId="41" borderId="3" xfId="26" applyFont="1" applyFill="1" applyBorder="1" applyAlignment="1">
      <alignment horizontal="center" vertical="center" wrapText="1"/>
    </xf>
    <xf numFmtId="0" fontId="123" fillId="0" borderId="3" xfId="26" applyFont="1" applyBorder="1" applyAlignment="1">
      <alignment horizontal="center" vertical="center" wrapText="1"/>
    </xf>
    <xf numFmtId="0" fontId="116" fillId="0" borderId="137" xfId="26" applyFont="1" applyBorder="1" applyAlignment="1">
      <alignment horizontal="center"/>
    </xf>
    <xf numFmtId="0" fontId="116" fillId="0" borderId="138" xfId="26" applyFont="1" applyBorder="1" applyAlignment="1">
      <alignment horizontal="center" vertical="center"/>
    </xf>
    <xf numFmtId="167" fontId="116" fillId="0" borderId="138" xfId="26" applyNumberFormat="1" applyFont="1" applyBorder="1" applyAlignment="1">
      <alignment horizontal="center" wrapText="1"/>
    </xf>
    <xf numFmtId="0" fontId="116" fillId="3" borderId="138" xfId="26" applyFont="1" applyFill="1" applyBorder="1" applyAlignment="1">
      <alignment horizontal="center"/>
    </xf>
    <xf numFmtId="0" fontId="116" fillId="0" borderId="139" xfId="26" applyFont="1" applyBorder="1" applyAlignment="1">
      <alignment horizontal="center"/>
    </xf>
    <xf numFmtId="0" fontId="116" fillId="0" borderId="140" xfId="26" applyFont="1" applyBorder="1" applyAlignment="1">
      <alignment horizontal="center"/>
    </xf>
    <xf numFmtId="0" fontId="116" fillId="0" borderId="141" xfId="26" applyFont="1" applyBorder="1" applyAlignment="1">
      <alignment horizontal="center" vertical="center"/>
    </xf>
    <xf numFmtId="167" fontId="116" fillId="0" borderId="141" xfId="26" applyNumberFormat="1" applyFont="1" applyBorder="1" applyAlignment="1">
      <alignment horizontal="center" wrapText="1"/>
    </xf>
    <xf numFmtId="0" fontId="116" fillId="3" borderId="141" xfId="26" applyFont="1" applyFill="1" applyBorder="1" applyAlignment="1">
      <alignment horizontal="center"/>
    </xf>
    <xf numFmtId="0" fontId="116" fillId="0" borderId="142" xfId="26" applyFont="1" applyBorder="1" applyAlignment="1">
      <alignment horizontal="center"/>
    </xf>
    <xf numFmtId="0" fontId="116" fillId="0" borderId="141" xfId="26" applyFont="1" applyBorder="1" applyAlignment="1">
      <alignment horizontal="center"/>
    </xf>
    <xf numFmtId="0" fontId="116" fillId="0" borderId="143" xfId="26" applyFont="1" applyBorder="1" applyAlignment="1">
      <alignment horizontal="center"/>
    </xf>
    <xf numFmtId="0" fontId="116" fillId="0" borderId="144" xfId="26" applyFont="1" applyBorder="1" applyAlignment="1">
      <alignment horizontal="center"/>
    </xf>
    <xf numFmtId="167" fontId="116" fillId="0" borderId="144" xfId="26" applyNumberFormat="1" applyFont="1" applyBorder="1" applyAlignment="1">
      <alignment horizontal="center" wrapText="1"/>
    </xf>
    <xf numFmtId="0" fontId="116" fillId="0" borderId="145" xfId="26" applyFont="1" applyBorder="1" applyAlignment="1">
      <alignment horizontal="center"/>
    </xf>
    <xf numFmtId="0" fontId="116" fillId="3" borderId="144" xfId="26" applyFont="1" applyFill="1" applyBorder="1" applyAlignment="1">
      <alignment horizontal="center"/>
    </xf>
    <xf numFmtId="0" fontId="78" fillId="3" borderId="146" xfId="0" applyFont="1" applyFill="1" applyBorder="1" applyAlignment="1">
      <alignment vertical="center"/>
    </xf>
    <xf numFmtId="0" fontId="70" fillId="2" borderId="147" xfId="0" applyFont="1" applyFill="1" applyBorder="1"/>
    <xf numFmtId="0" fontId="96" fillId="0" borderId="146" xfId="0" applyFont="1" applyBorder="1"/>
    <xf numFmtId="0" fontId="70" fillId="0" borderId="146" xfId="0" applyFont="1" applyBorder="1"/>
    <xf numFmtId="0" fontId="70" fillId="0" borderId="148" xfId="0" applyFont="1" applyBorder="1"/>
    <xf numFmtId="0" fontId="70" fillId="2" borderId="149" xfId="0" applyFont="1" applyFill="1" applyBorder="1"/>
    <xf numFmtId="0" fontId="70" fillId="0" borderId="150" xfId="0" applyFont="1" applyBorder="1"/>
    <xf numFmtId="0" fontId="72" fillId="2" borderId="149" xfId="0" applyFont="1" applyFill="1" applyBorder="1"/>
    <xf numFmtId="0" fontId="70" fillId="0" borderId="149" xfId="0" applyFont="1" applyBorder="1"/>
    <xf numFmtId="0" fontId="70" fillId="3" borderId="149" xfId="0" applyFont="1" applyFill="1" applyBorder="1"/>
    <xf numFmtId="0" fontId="70" fillId="3" borderId="150" xfId="0" applyFont="1" applyFill="1" applyBorder="1"/>
    <xf numFmtId="0" fontId="97" fillId="3" borderId="149" xfId="0" applyFont="1" applyFill="1" applyBorder="1" applyAlignment="1">
      <alignment horizontal="left"/>
    </xf>
    <xf numFmtId="0" fontId="70" fillId="0" borderId="151" xfId="0" applyFont="1" applyBorder="1"/>
    <xf numFmtId="0" fontId="70" fillId="0" borderId="152" xfId="0" applyFont="1" applyBorder="1"/>
    <xf numFmtId="0" fontId="78" fillId="3" borderId="147" xfId="0" applyFont="1" applyFill="1" applyBorder="1" applyAlignment="1">
      <alignment vertical="center"/>
    </xf>
    <xf numFmtId="0" fontId="78" fillId="3" borderId="149" xfId="0" applyFont="1" applyFill="1" applyBorder="1" applyAlignment="1">
      <alignment vertical="center"/>
    </xf>
    <xf numFmtId="0" fontId="70" fillId="0" borderId="3" xfId="0" applyFont="1" applyBorder="1"/>
    <xf numFmtId="165" fontId="97" fillId="0" borderId="22" xfId="0" applyNumberFormat="1" applyFont="1" applyBorder="1" applyAlignment="1">
      <alignment horizontal="center" wrapText="1"/>
    </xf>
    <xf numFmtId="165" fontId="97" fillId="0" borderId="115" xfId="26" applyNumberFormat="1" applyFont="1" applyBorder="1" applyAlignment="1">
      <alignment horizontal="center" vertical="center" wrapText="1"/>
    </xf>
    <xf numFmtId="165" fontId="97" fillId="0" borderId="53" xfId="26" applyNumberFormat="1" applyFont="1" applyBorder="1" applyAlignment="1">
      <alignment horizontal="center" vertical="center" wrapText="1"/>
    </xf>
    <xf numFmtId="165" fontId="97" fillId="0" borderId="153" xfId="26" applyNumberFormat="1" applyFont="1" applyBorder="1" applyAlignment="1">
      <alignment horizontal="center" vertical="center" wrapText="1"/>
    </xf>
    <xf numFmtId="0" fontId="97" fillId="0" borderId="20" xfId="0" applyFont="1" applyBorder="1" applyAlignment="1">
      <alignment horizontal="center" wrapText="1"/>
    </xf>
    <xf numFmtId="0" fontId="117" fillId="0" borderId="3" xfId="0" applyFont="1" applyBorder="1" applyAlignment="1">
      <alignment horizontal="center"/>
    </xf>
    <xf numFmtId="0" fontId="86" fillId="0" borderId="3" xfId="26" applyFont="1" applyBorder="1"/>
    <xf numFmtId="0" fontId="70" fillId="0" borderId="88" xfId="26" applyBorder="1"/>
    <xf numFmtId="0" fontId="70" fillId="0" borderId="154" xfId="26" applyBorder="1" applyAlignment="1">
      <alignment horizontal="center"/>
    </xf>
    <xf numFmtId="0" fontId="70" fillId="3" borderId="88" xfId="26" applyFill="1" applyBorder="1" applyAlignment="1">
      <alignment horizontal="center"/>
    </xf>
    <xf numFmtId="0" fontId="70" fillId="0" borderId="88" xfId="26" applyBorder="1" applyAlignment="1">
      <alignment horizontal="left" wrapText="1"/>
    </xf>
    <xf numFmtId="1" fontId="35" fillId="8" borderId="88" xfId="703" applyNumberFormat="1" applyFill="1" applyBorder="1" applyAlignment="1">
      <alignment horizontal="center"/>
    </xf>
    <xf numFmtId="165" fontId="129" fillId="0" borderId="88" xfId="26" applyNumberFormat="1" applyFont="1" applyBorder="1" applyAlignment="1">
      <alignment horizontal="center" vertical="center"/>
    </xf>
    <xf numFmtId="0" fontId="126" fillId="43" borderId="62" xfId="26" applyFont="1" applyFill="1" applyBorder="1" applyAlignment="1">
      <alignment horizontal="center"/>
    </xf>
    <xf numFmtId="0" fontId="126" fillId="43" borderId="48" xfId="26" applyFont="1" applyFill="1" applyBorder="1" applyAlignment="1">
      <alignment horizontal="center"/>
    </xf>
    <xf numFmtId="0" fontId="126" fillId="43" borderId="136" xfId="26" applyFont="1" applyFill="1" applyBorder="1" applyAlignment="1">
      <alignment horizontal="center"/>
    </xf>
    <xf numFmtId="167" fontId="116" fillId="0" borderId="19" xfId="26" applyNumberFormat="1" applyFont="1" applyBorder="1" applyAlignment="1">
      <alignment horizontal="center" wrapText="1"/>
    </xf>
    <xf numFmtId="0" fontId="116" fillId="0" borderId="3" xfId="0" applyFont="1" applyBorder="1"/>
    <xf numFmtId="0" fontId="116" fillId="0" borderId="79" xfId="0" applyFont="1" applyBorder="1" applyAlignment="1">
      <alignment horizontal="center" vertical="center" wrapText="1"/>
    </xf>
    <xf numFmtId="0" fontId="116" fillId="0" borderId="80" xfId="0" applyFont="1" applyBorder="1" applyAlignment="1">
      <alignment horizontal="center" vertical="center"/>
    </xf>
    <xf numFmtId="165" fontId="116" fillId="0" borderId="80" xfId="0" applyNumberFormat="1" applyFont="1" applyBorder="1" applyAlignment="1">
      <alignment horizontal="center" wrapText="1"/>
    </xf>
    <xf numFmtId="165" fontId="116" fillId="0" borderId="81" xfId="0" applyNumberFormat="1" applyFont="1" applyBorder="1" applyAlignment="1">
      <alignment horizontal="center" wrapText="1"/>
    </xf>
    <xf numFmtId="167" fontId="84" fillId="0" borderId="0" xfId="26" applyNumberFormat="1" applyFont="1" applyAlignment="1">
      <alignment horizontal="left" vertical="center" wrapText="1"/>
    </xf>
    <xf numFmtId="0" fontId="116" fillId="0" borderId="144" xfId="26" applyFont="1" applyBorder="1" applyAlignment="1">
      <alignment horizontal="center" vertical="center"/>
    </xf>
    <xf numFmtId="0" fontId="152" fillId="0" borderId="0" xfId="0" applyFont="1"/>
    <xf numFmtId="0" fontId="116" fillId="0" borderId="21" xfId="26" applyFont="1" applyBorder="1" applyAlignment="1">
      <alignment horizontal="center" vertical="center" wrapText="1"/>
    </xf>
    <xf numFmtId="0" fontId="116" fillId="0" borderId="22" xfId="26" applyFont="1" applyBorder="1" applyAlignment="1">
      <alignment horizontal="center" vertical="center" wrapText="1"/>
    </xf>
    <xf numFmtId="0" fontId="149" fillId="0" borderId="105" xfId="26" applyFont="1" applyBorder="1" applyAlignment="1">
      <alignment horizontal="center" vertical="center" wrapText="1"/>
    </xf>
    <xf numFmtId="0" fontId="149" fillId="0" borderId="117" xfId="26" applyFont="1" applyBorder="1" applyAlignment="1">
      <alignment horizontal="center" vertical="center" wrapText="1"/>
    </xf>
    <xf numFmtId="0" fontId="116" fillId="0" borderId="23" xfId="26" applyFont="1" applyBorder="1" applyAlignment="1">
      <alignment horizontal="center" vertical="center" wrapText="1"/>
    </xf>
    <xf numFmtId="0" fontId="149" fillId="0" borderId="106" xfId="26" applyFont="1" applyBorder="1" applyAlignment="1">
      <alignment horizontal="center" vertical="center" wrapText="1"/>
    </xf>
    <xf numFmtId="0" fontId="116" fillId="0" borderId="117" xfId="26" applyFont="1" applyBorder="1" applyAlignment="1">
      <alignment horizontal="center" vertical="center" wrapText="1"/>
    </xf>
    <xf numFmtId="0" fontId="116" fillId="0" borderId="105" xfId="26" applyFont="1" applyBorder="1" applyAlignment="1">
      <alignment horizontal="center" vertical="center" wrapText="1"/>
    </xf>
    <xf numFmtId="0" fontId="116" fillId="0" borderId="131" xfId="26" applyFont="1" applyBorder="1" applyAlignment="1">
      <alignment horizontal="center" vertical="center" wrapText="1"/>
    </xf>
    <xf numFmtId="0" fontId="116" fillId="0" borderId="132" xfId="26" applyFont="1" applyBorder="1" applyAlignment="1">
      <alignment horizontal="center" vertical="center" wrapText="1"/>
    </xf>
    <xf numFmtId="0" fontId="116" fillId="0" borderId="29" xfId="26" applyFont="1" applyBorder="1" applyAlignment="1">
      <alignment horizontal="center" vertical="center" wrapText="1"/>
    </xf>
    <xf numFmtId="0" fontId="116" fillId="0" borderId="60" xfId="26" applyFont="1" applyBorder="1" applyAlignment="1">
      <alignment horizontal="center" vertical="center" wrapText="1"/>
    </xf>
    <xf numFmtId="0" fontId="116" fillId="0" borderId="64" xfId="26" applyFont="1" applyBorder="1" applyAlignment="1">
      <alignment horizontal="center" vertical="center" wrapText="1"/>
    </xf>
    <xf numFmtId="0" fontId="149" fillId="0" borderId="107" xfId="26" applyFont="1" applyBorder="1" applyAlignment="1">
      <alignment horizontal="center" vertical="center" wrapText="1"/>
    </xf>
    <xf numFmtId="0" fontId="116" fillId="0" borderId="135" xfId="26" applyFont="1" applyBorder="1" applyAlignment="1">
      <alignment horizontal="center" vertical="center" wrapText="1"/>
    </xf>
    <xf numFmtId="0" fontId="149" fillId="0" borderId="28" xfId="26" applyFont="1" applyBorder="1" applyAlignment="1">
      <alignment horizontal="center" vertical="center" wrapText="1"/>
    </xf>
    <xf numFmtId="0" fontId="116" fillId="0" borderId="108" xfId="26" applyFont="1" applyBorder="1" applyAlignment="1">
      <alignment horizontal="center" vertical="center" wrapText="1"/>
    </xf>
    <xf numFmtId="0" fontId="116" fillId="0" borderId="129" xfId="26" applyFont="1" applyBorder="1" applyAlignment="1">
      <alignment horizontal="center" vertical="center" wrapText="1"/>
    </xf>
    <xf numFmtId="0" fontId="116" fillId="0" borderId="76" xfId="26" applyFont="1" applyBorder="1" applyAlignment="1">
      <alignment horizontal="center" vertical="center" wrapText="1"/>
    </xf>
    <xf numFmtId="0" fontId="116" fillId="0" borderId="46" xfId="26" applyFont="1" applyBorder="1" applyAlignment="1">
      <alignment horizontal="center" vertical="center" wrapText="1"/>
    </xf>
    <xf numFmtId="0" fontId="116" fillId="0" borderId="130" xfId="26" applyFont="1" applyBorder="1" applyAlignment="1">
      <alignment horizontal="center" vertical="center" wrapText="1"/>
    </xf>
    <xf numFmtId="0" fontId="123" fillId="3" borderId="158" xfId="26" applyFont="1" applyFill="1" applyBorder="1" applyAlignment="1">
      <alignment horizontal="center" vertical="center" wrapText="1"/>
    </xf>
    <xf numFmtId="49" fontId="147" fillId="49" borderId="154" xfId="3" applyNumberFormat="1" applyFont="1" applyFill="1" applyBorder="1" applyAlignment="1">
      <alignment horizontal="center" wrapText="1"/>
    </xf>
    <xf numFmtId="0" fontId="123" fillId="41" borderId="7" xfId="26" applyFont="1" applyFill="1" applyBorder="1" applyAlignment="1">
      <alignment horizontal="center" vertical="center" wrapText="1"/>
    </xf>
    <xf numFmtId="0" fontId="123" fillId="41" borderId="126" xfId="26" applyFont="1" applyFill="1" applyBorder="1" applyAlignment="1">
      <alignment horizontal="center" vertical="center" wrapText="1"/>
    </xf>
    <xf numFmtId="0" fontId="116" fillId="0" borderId="7" xfId="26" applyFont="1" applyBorder="1" applyAlignment="1">
      <alignment horizontal="center" vertical="center" wrapText="1"/>
    </xf>
    <xf numFmtId="0" fontId="116" fillId="0" borderId="3" xfId="26" applyFont="1" applyBorder="1" applyAlignment="1">
      <alignment horizontal="center" vertical="center" wrapText="1"/>
    </xf>
    <xf numFmtId="0" fontId="116" fillId="0" borderId="126" xfId="26" applyFont="1" applyBorder="1" applyAlignment="1">
      <alignment horizontal="center" vertical="center" wrapText="1"/>
    </xf>
    <xf numFmtId="0" fontId="116" fillId="0" borderId="162" xfId="26" applyFont="1" applyBorder="1" applyAlignment="1">
      <alignment horizontal="center" vertical="center" wrapText="1"/>
    </xf>
    <xf numFmtId="0" fontId="123" fillId="0" borderId="121" xfId="26" applyFont="1" applyBorder="1" applyAlignment="1">
      <alignment horizontal="center" vertical="center" wrapText="1"/>
    </xf>
    <xf numFmtId="0" fontId="116" fillId="0" borderId="121" xfId="26" applyFont="1" applyBorder="1" applyAlignment="1">
      <alignment horizontal="center" vertical="center" wrapText="1"/>
    </xf>
    <xf numFmtId="0" fontId="116" fillId="0" borderId="128" xfId="26" applyFont="1" applyBorder="1" applyAlignment="1">
      <alignment horizontal="center" vertical="center" wrapText="1"/>
    </xf>
    <xf numFmtId="0" fontId="123" fillId="3" borderId="163" xfId="26" applyFont="1" applyFill="1" applyBorder="1" applyAlignment="1">
      <alignment horizontal="center" vertical="center" wrapText="1"/>
    </xf>
    <xf numFmtId="0" fontId="116" fillId="0" borderId="24" xfId="26" applyFont="1" applyBorder="1" applyAlignment="1">
      <alignment horizontal="center" vertical="center" wrapText="1"/>
    </xf>
    <xf numFmtId="0" fontId="116" fillId="0" borderId="25" xfId="26" applyFont="1" applyBorder="1" applyAlignment="1">
      <alignment horizontal="center" vertical="center" wrapText="1"/>
    </xf>
    <xf numFmtId="0" fontId="116" fillId="0" borderId="26" xfId="26" applyFont="1" applyBorder="1" applyAlignment="1">
      <alignment horizontal="center" vertical="center" wrapText="1"/>
    </xf>
    <xf numFmtId="165" fontId="116" fillId="0" borderId="134" xfId="26" applyNumberFormat="1" applyFont="1" applyBorder="1" applyAlignment="1">
      <alignment horizontal="center" wrapText="1"/>
    </xf>
    <xf numFmtId="165" fontId="86" fillId="3" borderId="0" xfId="26" applyNumberFormat="1" applyFont="1" applyFill="1"/>
    <xf numFmtId="0" fontId="84" fillId="47" borderId="0" xfId="26" applyFont="1" applyFill="1" applyAlignment="1">
      <alignment horizontal="left" vertical="center" wrapText="1"/>
    </xf>
    <xf numFmtId="165" fontId="86" fillId="0" borderId="0" xfId="26" applyNumberFormat="1" applyFont="1"/>
    <xf numFmtId="165" fontId="117" fillId="5" borderId="0" xfId="3" applyNumberFormat="1" applyFont="1" applyFill="1" applyAlignment="1">
      <alignment horizontal="center" vertical="center"/>
    </xf>
    <xf numFmtId="0" fontId="116" fillId="47" borderId="168" xfId="26" applyFont="1" applyFill="1" applyBorder="1" applyAlignment="1">
      <alignment horizontal="left" vertical="center" wrapText="1"/>
    </xf>
    <xf numFmtId="1" fontId="116" fillId="3" borderId="168" xfId="3" applyNumberFormat="1" applyFont="1" applyFill="1" applyBorder="1" applyAlignment="1">
      <alignment horizontal="center" vertical="center"/>
    </xf>
    <xf numFmtId="0" fontId="116" fillId="0" borderId="0" xfId="26" applyFont="1" applyAlignment="1">
      <alignment horizontal="center" vertical="center"/>
    </xf>
    <xf numFmtId="0" fontId="117" fillId="3" borderId="0" xfId="3" applyFont="1" applyFill="1" applyAlignment="1">
      <alignment horizontal="left"/>
    </xf>
    <xf numFmtId="168" fontId="116" fillId="5" borderId="0" xfId="3" applyNumberFormat="1" applyFont="1" applyFill="1" applyAlignment="1">
      <alignment horizontal="center" vertical="center"/>
    </xf>
    <xf numFmtId="0" fontId="78" fillId="3" borderId="0" xfId="26" applyFont="1" applyFill="1" applyAlignment="1">
      <alignment horizontal="center"/>
    </xf>
    <xf numFmtId="0" fontId="121" fillId="3" borderId="0" xfId="26" applyFont="1" applyFill="1"/>
    <xf numFmtId="0" fontId="117" fillId="5" borderId="0" xfId="3" applyFont="1" applyFill="1" applyAlignment="1">
      <alignment horizontal="left"/>
    </xf>
    <xf numFmtId="0" fontId="117" fillId="3" borderId="0" xfId="26" applyFont="1" applyFill="1" applyAlignment="1">
      <alignment horizontal="left"/>
    </xf>
    <xf numFmtId="0" fontId="159" fillId="2" borderId="0" xfId="705" applyFont="1" applyFill="1" applyAlignment="1">
      <alignment horizontal="left"/>
    </xf>
    <xf numFmtId="165" fontId="97" fillId="0" borderId="29" xfId="0" applyNumberFormat="1" applyFont="1" applyBorder="1" applyAlignment="1">
      <alignment horizontal="center" wrapText="1"/>
    </xf>
    <xf numFmtId="167" fontId="116" fillId="0" borderId="86" xfId="26" applyNumberFormat="1" applyFont="1" applyBorder="1" applyAlignment="1">
      <alignment horizontal="center" wrapText="1"/>
    </xf>
    <xf numFmtId="165" fontId="116" fillId="0" borderId="38" xfId="26" applyNumberFormat="1" applyFont="1" applyBorder="1" applyAlignment="1">
      <alignment horizontal="center" wrapText="1"/>
    </xf>
    <xf numFmtId="167" fontId="116" fillId="0" borderId="39" xfId="26" applyNumberFormat="1" applyFont="1" applyBorder="1" applyAlignment="1">
      <alignment horizontal="center" wrapText="1"/>
    </xf>
    <xf numFmtId="0" fontId="149" fillId="0" borderId="22" xfId="26" applyFont="1" applyBorder="1" applyAlignment="1">
      <alignment horizontal="center" vertical="center" wrapText="1"/>
    </xf>
    <xf numFmtId="0" fontId="116" fillId="3" borderId="172" xfId="26" applyFont="1" applyFill="1" applyBorder="1" applyAlignment="1">
      <alignment horizontal="center"/>
    </xf>
    <xf numFmtId="0" fontId="116" fillId="0" borderId="172" xfId="26" applyFont="1" applyBorder="1" applyAlignment="1">
      <alignment horizontal="center"/>
    </xf>
    <xf numFmtId="0" fontId="116" fillId="3" borderId="174" xfId="26" applyFont="1" applyFill="1" applyBorder="1" applyAlignment="1">
      <alignment horizontal="center"/>
    </xf>
    <xf numFmtId="0" fontId="116" fillId="3" borderId="170" xfId="26" applyFont="1" applyFill="1" applyBorder="1" applyAlignment="1">
      <alignment horizontal="center"/>
    </xf>
    <xf numFmtId="167" fontId="116" fillId="0" borderId="3" xfId="26" applyNumberFormat="1" applyFont="1" applyBorder="1" applyAlignment="1">
      <alignment horizontal="center" wrapText="1"/>
    </xf>
    <xf numFmtId="167" fontId="116" fillId="0" borderId="127" xfId="26" applyNumberFormat="1" applyFont="1" applyBorder="1" applyAlignment="1">
      <alignment horizontal="center" wrapText="1"/>
    </xf>
    <xf numFmtId="0" fontId="70" fillId="41" borderId="52" xfId="134" applyFont="1" applyFill="1" applyBorder="1" applyAlignment="1">
      <alignment horizontal="center" vertical="center"/>
    </xf>
    <xf numFmtId="0" fontId="116" fillId="41" borderId="52" xfId="134" applyFont="1" applyFill="1" applyBorder="1" applyAlignment="1">
      <alignment horizontal="center" vertical="center"/>
    </xf>
    <xf numFmtId="0" fontId="127" fillId="0" borderId="133" xfId="0" applyFont="1" applyBorder="1" applyAlignment="1">
      <alignment horizontal="center"/>
    </xf>
    <xf numFmtId="0" fontId="98" fillId="3" borderId="0" xfId="1" applyFont="1" applyFill="1" applyBorder="1" applyAlignment="1" applyProtection="1"/>
    <xf numFmtId="0" fontId="98" fillId="3" borderId="0" xfId="1" applyFont="1" applyFill="1" applyBorder="1" applyAlignment="1" applyProtection="1">
      <alignment horizontal="left"/>
    </xf>
    <xf numFmtId="0" fontId="70" fillId="3" borderId="149" xfId="26" applyFill="1" applyBorder="1"/>
    <xf numFmtId="0" fontId="70" fillId="3" borderId="150" xfId="26" applyFill="1" applyBorder="1"/>
    <xf numFmtId="0" fontId="70" fillId="0" borderId="0" xfId="26" quotePrefix="1"/>
    <xf numFmtId="0" fontId="162" fillId="3" borderId="12" xfId="26" applyFont="1" applyFill="1" applyBorder="1" applyAlignment="1">
      <alignment vertical="center"/>
    </xf>
    <xf numFmtId="0" fontId="70" fillId="3" borderId="0" xfId="26" applyFill="1" applyAlignment="1">
      <alignment horizontal="center"/>
    </xf>
    <xf numFmtId="165" fontId="116" fillId="0" borderId="3" xfId="26" applyNumberFormat="1" applyFont="1" applyBorder="1" applyAlignment="1">
      <alignment horizontal="center" vertical="center"/>
    </xf>
    <xf numFmtId="0" fontId="163" fillId="0" borderId="3" xfId="0" applyFont="1" applyBorder="1"/>
    <xf numFmtId="0" fontId="156" fillId="0" borderId="87" xfId="0" applyFont="1" applyBorder="1" applyAlignment="1">
      <alignment horizontal="center" vertical="center"/>
    </xf>
    <xf numFmtId="0" fontId="164" fillId="0" borderId="0" xfId="0" applyFont="1" applyAlignment="1">
      <alignment vertical="center"/>
    </xf>
    <xf numFmtId="0" fontId="71" fillId="0" borderId="0" xfId="1" applyAlignment="1" applyProtection="1">
      <alignment vertical="center"/>
    </xf>
    <xf numFmtId="0" fontId="116" fillId="0" borderId="0" xfId="0" applyFont="1" applyAlignment="1">
      <alignment vertical="top"/>
    </xf>
    <xf numFmtId="0" fontId="70" fillId="3" borderId="12" xfId="26" applyFill="1" applyBorder="1"/>
    <xf numFmtId="0" fontId="162" fillId="3" borderId="15" xfId="26" applyFont="1" applyFill="1" applyBorder="1" applyAlignment="1">
      <alignment vertical="center"/>
    </xf>
    <xf numFmtId="0" fontId="162" fillId="3" borderId="16" xfId="26" applyFont="1" applyFill="1" applyBorder="1" applyAlignment="1">
      <alignment vertical="center"/>
    </xf>
    <xf numFmtId="0" fontId="162" fillId="3" borderId="17" xfId="26" applyFont="1" applyFill="1" applyBorder="1" applyAlignment="1">
      <alignment vertical="center"/>
    </xf>
    <xf numFmtId="0" fontId="162" fillId="3" borderId="0" xfId="26" applyFont="1" applyFill="1" applyAlignment="1">
      <alignment vertical="center"/>
    </xf>
    <xf numFmtId="165" fontId="70" fillId="3" borderId="0" xfId="26" applyNumberFormat="1" applyFill="1"/>
    <xf numFmtId="0" fontId="70" fillId="2" borderId="0" xfId="26" applyFill="1"/>
    <xf numFmtId="0" fontId="71" fillId="3" borderId="0" xfId="1" applyFill="1" applyAlignment="1" applyProtection="1"/>
    <xf numFmtId="0" fontId="70" fillId="0" borderId="89" xfId="26" applyBorder="1"/>
    <xf numFmtId="0" fontId="70" fillId="0" borderId="90" xfId="26" applyBorder="1"/>
    <xf numFmtId="0" fontId="162" fillId="0" borderId="0" xfId="26" applyFont="1" applyAlignment="1">
      <alignment vertical="center"/>
    </xf>
    <xf numFmtId="0" fontId="162" fillId="0" borderId="97" xfId="26" applyFont="1" applyBorder="1" applyAlignment="1">
      <alignment vertical="center"/>
    </xf>
    <xf numFmtId="0" fontId="162" fillId="0" borderId="95" xfId="26" applyFont="1" applyBorder="1" applyAlignment="1">
      <alignment vertical="center"/>
    </xf>
    <xf numFmtId="0" fontId="162" fillId="0" borderId="98" xfId="26" applyFont="1" applyBorder="1" applyAlignment="1">
      <alignment vertical="center"/>
    </xf>
    <xf numFmtId="0" fontId="126" fillId="0" borderId="0" xfId="26" applyFont="1" applyAlignment="1">
      <alignment vertical="center" wrapText="1"/>
    </xf>
    <xf numFmtId="0" fontId="72" fillId="0" borderId="0" xfId="26" applyFont="1" applyAlignment="1">
      <alignment horizontal="left"/>
    </xf>
    <xf numFmtId="0" fontId="70" fillId="0" borderId="0" xfId="26" applyAlignment="1">
      <alignment vertical="center" wrapText="1"/>
    </xf>
    <xf numFmtId="0" fontId="70" fillId="0" borderId="0" xfId="26" applyAlignment="1">
      <alignment horizontal="center"/>
    </xf>
    <xf numFmtId="0" fontId="165" fillId="0" borderId="0" xfId="26" applyFont="1" applyAlignment="1">
      <alignment horizontal="center" vertical="center"/>
    </xf>
    <xf numFmtId="0" fontId="116" fillId="0" borderId="0" xfId="26" applyFont="1" applyAlignment="1">
      <alignment horizontal="left"/>
    </xf>
    <xf numFmtId="165" fontId="117" fillId="0" borderId="3" xfId="26" applyNumberFormat="1" applyFont="1" applyBorder="1" applyAlignment="1">
      <alignment horizontal="center" vertical="center"/>
    </xf>
    <xf numFmtId="0" fontId="117" fillId="0" borderId="138" xfId="26" applyFont="1" applyBorder="1" applyAlignment="1">
      <alignment horizontal="center"/>
    </xf>
    <xf numFmtId="0" fontId="117" fillId="0" borderId="141" xfId="26" applyFont="1" applyBorder="1" applyAlignment="1">
      <alignment horizontal="center"/>
    </xf>
    <xf numFmtId="0" fontId="117" fillId="0" borderId="144" xfId="26" applyFont="1" applyBorder="1" applyAlignment="1">
      <alignment horizontal="center"/>
    </xf>
    <xf numFmtId="0" fontId="117" fillId="0" borderId="169" xfId="26" applyFont="1" applyBorder="1" applyAlignment="1">
      <alignment horizontal="center"/>
    </xf>
    <xf numFmtId="0" fontId="117" fillId="0" borderId="171" xfId="26" applyFont="1" applyBorder="1" applyAlignment="1">
      <alignment horizontal="center"/>
    </xf>
    <xf numFmtId="0" fontId="117" fillId="0" borderId="173" xfId="26" applyFont="1" applyBorder="1" applyAlignment="1">
      <alignment horizontal="center"/>
    </xf>
    <xf numFmtId="0" fontId="160" fillId="0" borderId="0" xfId="26" applyFont="1" applyAlignment="1">
      <alignment horizontal="center"/>
    </xf>
    <xf numFmtId="0" fontId="71" fillId="3" borderId="0" xfId="1" applyFill="1" applyAlignment="1" applyProtection="1">
      <alignment horizontal="left" vertical="center"/>
    </xf>
    <xf numFmtId="0" fontId="70" fillId="0" borderId="12" xfId="0" applyFont="1" applyBorder="1"/>
    <xf numFmtId="0" fontId="70" fillId="0" borderId="13" xfId="0" applyFont="1" applyBorder="1"/>
    <xf numFmtId="0" fontId="70" fillId="0" borderId="14" xfId="0" applyFont="1" applyBorder="1"/>
    <xf numFmtId="0" fontId="70" fillId="0" borderId="15" xfId="0" applyFont="1" applyBorder="1"/>
    <xf numFmtId="0" fontId="70" fillId="0" borderId="16" xfId="0" applyFont="1" applyBorder="1"/>
    <xf numFmtId="0" fontId="70" fillId="0" borderId="17" xfId="0" applyFont="1" applyBorder="1"/>
    <xf numFmtId="0" fontId="71" fillId="0" borderId="27" xfId="1" applyBorder="1" applyAlignment="1" applyProtection="1"/>
    <xf numFmtId="0" fontId="162" fillId="3" borderId="15" xfId="0" applyFont="1" applyFill="1" applyBorder="1" applyAlignment="1">
      <alignment vertical="center"/>
    </xf>
    <xf numFmtId="0" fontId="162" fillId="3" borderId="16" xfId="0" applyFont="1" applyFill="1" applyBorder="1" applyAlignment="1">
      <alignment vertical="center"/>
    </xf>
    <xf numFmtId="0" fontId="162" fillId="3" borderId="17" xfId="0" applyFont="1" applyFill="1" applyBorder="1" applyAlignment="1">
      <alignment vertical="center"/>
    </xf>
    <xf numFmtId="0" fontId="162" fillId="3" borderId="0" xfId="0" applyFont="1" applyFill="1" applyAlignment="1">
      <alignment vertical="center"/>
    </xf>
    <xf numFmtId="0" fontId="117" fillId="0" borderId="22" xfId="0" applyFont="1" applyBorder="1" applyAlignment="1">
      <alignment horizontal="center"/>
    </xf>
    <xf numFmtId="0" fontId="117" fillId="0" borderId="22" xfId="0" applyFont="1" applyBorder="1" applyAlignment="1">
      <alignment horizontal="center" wrapText="1"/>
    </xf>
    <xf numFmtId="0" fontId="117" fillId="0" borderId="49" xfId="0" applyFont="1" applyBorder="1" applyAlignment="1">
      <alignment horizontal="center" wrapText="1"/>
    </xf>
    <xf numFmtId="165" fontId="166" fillId="0" borderId="0" xfId="0" applyNumberFormat="1" applyFont="1" applyAlignment="1">
      <alignment horizontal="center"/>
    </xf>
    <xf numFmtId="0" fontId="117" fillId="0" borderId="25" xfId="0" applyFont="1" applyBorder="1" applyAlignment="1">
      <alignment horizontal="center"/>
    </xf>
    <xf numFmtId="0" fontId="70" fillId="3" borderId="27" xfId="26" applyFill="1" applyBorder="1"/>
    <xf numFmtId="0" fontId="70" fillId="3" borderId="16" xfId="26" applyFill="1" applyBorder="1"/>
    <xf numFmtId="0" fontId="70" fillId="3" borderId="0" xfId="26" applyFill="1" applyAlignment="1">
      <alignment vertical="center"/>
    </xf>
    <xf numFmtId="0" fontId="70" fillId="5" borderId="0" xfId="3" applyFill="1" applyAlignment="1">
      <alignment horizontal="left"/>
    </xf>
    <xf numFmtId="0" fontId="70" fillId="3" borderId="0" xfId="3" applyFill="1"/>
    <xf numFmtId="0" fontId="70" fillId="3" borderId="0" xfId="3" applyFill="1" applyAlignment="1">
      <alignment horizontal="center"/>
    </xf>
    <xf numFmtId="0" fontId="70" fillId="3" borderId="0" xfId="3" applyFill="1" applyAlignment="1">
      <alignment horizontal="center" vertical="center"/>
    </xf>
    <xf numFmtId="0" fontId="70" fillId="3" borderId="12" xfId="3" applyFill="1" applyBorder="1"/>
    <xf numFmtId="0" fontId="70" fillId="3" borderId="13" xfId="3" applyFill="1" applyBorder="1"/>
    <xf numFmtId="0" fontId="70" fillId="3" borderId="13" xfId="3" applyFill="1" applyBorder="1" applyAlignment="1">
      <alignment horizontal="center"/>
    </xf>
    <xf numFmtId="0" fontId="70" fillId="3" borderId="13" xfId="3" applyFill="1" applyBorder="1" applyAlignment="1">
      <alignment horizontal="center" vertical="center"/>
    </xf>
    <xf numFmtId="0" fontId="70" fillId="3" borderId="15" xfId="3" applyFill="1" applyBorder="1"/>
    <xf numFmtId="0" fontId="70" fillId="3" borderId="16" xfId="3" applyFill="1" applyBorder="1"/>
    <xf numFmtId="0" fontId="70" fillId="3" borderId="44" xfId="3" applyFill="1" applyBorder="1"/>
    <xf numFmtId="0" fontId="70" fillId="0" borderId="0" xfId="3"/>
    <xf numFmtId="0" fontId="70" fillId="3" borderId="0" xfId="26" applyFill="1" applyAlignment="1">
      <alignment horizontal="center" vertical="center"/>
    </xf>
    <xf numFmtId="0" fontId="90" fillId="5" borderId="0" xfId="0" applyFont="1" applyFill="1"/>
    <xf numFmtId="0" fontId="35" fillId="3" borderId="0" xfId="701" applyFill="1"/>
    <xf numFmtId="0" fontId="35" fillId="5" borderId="0" xfId="701" applyFill="1"/>
    <xf numFmtId="14" fontId="70" fillId="0" borderId="0" xfId="26" applyNumberFormat="1"/>
    <xf numFmtId="0" fontId="70" fillId="2" borderId="0" xfId="26" applyFill="1" applyAlignment="1">
      <alignment horizontal="center"/>
    </xf>
    <xf numFmtId="164" fontId="70" fillId="2" borderId="0" xfId="26" applyNumberFormat="1" applyFill="1" applyAlignment="1">
      <alignment horizontal="center"/>
    </xf>
    <xf numFmtId="0" fontId="70" fillId="0" borderId="44" xfId="26" applyBorder="1"/>
    <xf numFmtId="0" fontId="70" fillId="0" borderId="43" xfId="26" applyBorder="1"/>
    <xf numFmtId="0" fontId="70" fillId="0" borderId="43" xfId="26" applyBorder="1" applyAlignment="1">
      <alignment horizontal="left"/>
    </xf>
    <xf numFmtId="166" fontId="70" fillId="0" borderId="0" xfId="26" applyNumberFormat="1" applyAlignment="1">
      <alignment horizontal="left"/>
    </xf>
    <xf numFmtId="0" fontId="70" fillId="0" borderId="0" xfId="26" applyAlignment="1">
      <alignment horizontal="left"/>
    </xf>
    <xf numFmtId="0" fontId="167" fillId="0" borderId="43" xfId="26" applyFont="1" applyBorder="1" applyAlignment="1">
      <alignment horizontal="left"/>
    </xf>
    <xf numFmtId="0" fontId="117" fillId="0" borderId="43" xfId="26" applyFont="1" applyBorder="1" applyAlignment="1">
      <alignment horizontal="left"/>
    </xf>
    <xf numFmtId="166" fontId="117" fillId="0" borderId="0" xfId="26" applyNumberFormat="1" applyFont="1" applyAlignment="1">
      <alignment horizontal="left"/>
    </xf>
    <xf numFmtId="166" fontId="117" fillId="0" borderId="0" xfId="26" applyNumberFormat="1" applyFont="1" applyAlignment="1">
      <alignment horizontal="center"/>
    </xf>
    <xf numFmtId="0" fontId="117" fillId="0" borderId="1" xfId="26" applyFont="1" applyBorder="1" applyAlignment="1">
      <alignment horizontal="left"/>
    </xf>
    <xf numFmtId="166" fontId="117" fillId="0" borderId="43" xfId="26" applyNumberFormat="1" applyFont="1" applyBorder="1" applyAlignment="1">
      <alignment horizontal="left"/>
    </xf>
    <xf numFmtId="0" fontId="70" fillId="0" borderId="44" xfId="26" applyBorder="1" applyAlignment="1">
      <alignment vertical="center" wrapText="1"/>
    </xf>
    <xf numFmtId="0" fontId="70" fillId="2" borderId="46" xfId="26" applyFill="1" applyBorder="1"/>
    <xf numFmtId="0" fontId="70" fillId="0" borderId="46" xfId="26" applyBorder="1"/>
    <xf numFmtId="0" fontId="70" fillId="2" borderId="46" xfId="26" applyFill="1" applyBorder="1" applyAlignment="1">
      <alignment horizontal="center"/>
    </xf>
    <xf numFmtId="0" fontId="70" fillId="2" borderId="47" xfId="26" applyFill="1" applyBorder="1"/>
    <xf numFmtId="0" fontId="71" fillId="0" borderId="43" xfId="1" applyBorder="1" applyAlignment="1" applyProtection="1">
      <alignment vertical="center"/>
    </xf>
    <xf numFmtId="0" fontId="70" fillId="2" borderId="42" xfId="26" applyFill="1" applyBorder="1"/>
    <xf numFmtId="0" fontId="70" fillId="2" borderId="44" xfId="26" applyFill="1" applyBorder="1"/>
    <xf numFmtId="0" fontId="84" fillId="0" borderId="43" xfId="26" applyFont="1" applyBorder="1"/>
    <xf numFmtId="0" fontId="71" fillId="2" borderId="0" xfId="1" applyFill="1" applyAlignment="1" applyProtection="1">
      <alignment horizontal="left"/>
    </xf>
    <xf numFmtId="0" fontId="170" fillId="0" borderId="46" xfId="0" applyFont="1" applyBorder="1" applyAlignment="1">
      <alignment vertical="center"/>
    </xf>
    <xf numFmtId="0" fontId="170" fillId="0" borderId="47" xfId="0" applyFont="1" applyBorder="1" applyAlignment="1">
      <alignment vertical="center"/>
    </xf>
    <xf numFmtId="0" fontId="71" fillId="0" borderId="0" xfId="1" applyAlignment="1" applyProtection="1"/>
    <xf numFmtId="0" fontId="71" fillId="2" borderId="0" xfId="1" applyFill="1" applyAlignment="1" applyProtection="1"/>
    <xf numFmtId="0" fontId="70" fillId="0" borderId="47" xfId="26" applyBorder="1"/>
    <xf numFmtId="0" fontId="70" fillId="0" borderId="13" xfId="26" applyBorder="1"/>
    <xf numFmtId="0" fontId="70" fillId="0" borderId="13" xfId="26" applyBorder="1" applyAlignment="1">
      <alignment horizontal="center"/>
    </xf>
    <xf numFmtId="0" fontId="70" fillId="0" borderId="14" xfId="26" applyBorder="1"/>
    <xf numFmtId="0" fontId="70" fillId="0" borderId="28" xfId="26" applyBorder="1"/>
    <xf numFmtId="0" fontId="70" fillId="0" borderId="16" xfId="26" applyBorder="1"/>
    <xf numFmtId="0" fontId="70" fillId="0" borderId="16" xfId="26" applyBorder="1" applyAlignment="1">
      <alignment horizontal="center"/>
    </xf>
    <xf numFmtId="0" fontId="70" fillId="0" borderId="17" xfId="26" applyBorder="1"/>
    <xf numFmtId="0" fontId="70" fillId="6" borderId="0" xfId="26" applyFill="1"/>
    <xf numFmtId="0" fontId="70" fillId="0" borderId="40" xfId="26" applyBorder="1"/>
    <xf numFmtId="0" fontId="70" fillId="0" borderId="41" xfId="26" applyBorder="1"/>
    <xf numFmtId="0" fontId="70" fillId="0" borderId="41" xfId="26" applyBorder="1" applyAlignment="1">
      <alignment horizontal="center"/>
    </xf>
    <xf numFmtId="0" fontId="70" fillId="0" borderId="42" xfId="26" applyBorder="1"/>
    <xf numFmtId="0" fontId="70" fillId="0" borderId="43" xfId="26" applyBorder="1" applyAlignment="1">
      <alignment horizontal="center" vertical="top" wrapText="1"/>
    </xf>
    <xf numFmtId="0" fontId="70" fillId="0" borderId="0" xfId="26" applyAlignment="1">
      <alignment horizontal="center" vertical="top" wrapText="1"/>
    </xf>
    <xf numFmtId="0" fontId="70" fillId="0" borderId="44" xfId="26" applyBorder="1" applyAlignment="1">
      <alignment horizontal="center" vertical="top" wrapText="1"/>
    </xf>
    <xf numFmtId="0" fontId="70" fillId="0" borderId="27" xfId="0" applyFont="1" applyBorder="1"/>
    <xf numFmtId="0" fontId="117" fillId="0" borderId="0" xfId="0" applyFont="1" applyAlignment="1">
      <alignment horizontal="left" vertical="center" indent="4"/>
    </xf>
    <xf numFmtId="0" fontId="173" fillId="5" borderId="16" xfId="26" applyFont="1" applyFill="1" applyBorder="1" applyAlignment="1">
      <alignment vertical="center"/>
    </xf>
    <xf numFmtId="0" fontId="173" fillId="5" borderId="16" xfId="26" applyFont="1" applyFill="1" applyBorder="1" applyAlignment="1">
      <alignment horizontal="center" vertical="center"/>
    </xf>
    <xf numFmtId="0" fontId="173" fillId="5" borderId="0" xfId="26" applyFont="1" applyFill="1" applyAlignment="1">
      <alignment vertical="center"/>
    </xf>
    <xf numFmtId="0" fontId="173" fillId="5" borderId="0" xfId="26" applyFont="1" applyFill="1" applyAlignment="1">
      <alignment horizontal="center" vertical="center"/>
    </xf>
    <xf numFmtId="0" fontId="175" fillId="3" borderId="0" xfId="26" applyFont="1" applyFill="1" applyAlignment="1">
      <alignment vertical="center" wrapText="1"/>
    </xf>
    <xf numFmtId="0" fontId="175" fillId="3" borderId="0" xfId="26" applyFont="1" applyFill="1" applyAlignment="1">
      <alignment horizontal="center" vertical="center" wrapText="1"/>
    </xf>
    <xf numFmtId="0" fontId="177" fillId="0" borderId="27" xfId="26" applyFont="1" applyBorder="1" applyAlignment="1">
      <alignment horizontal="left"/>
    </xf>
    <xf numFmtId="0" fontId="178" fillId="3" borderId="0" xfId="26" applyFont="1" applyFill="1"/>
    <xf numFmtId="0" fontId="172" fillId="3" borderId="27" xfId="3" applyFont="1" applyFill="1" applyBorder="1" applyAlignment="1">
      <alignment vertical="center"/>
    </xf>
    <xf numFmtId="0" fontId="172" fillId="3" borderId="27" xfId="15" applyFont="1" applyFill="1" applyBorder="1" applyAlignment="1">
      <alignment horizontal="center" vertical="center"/>
    </xf>
    <xf numFmtId="0" fontId="179" fillId="0" borderId="27" xfId="15" applyFont="1" applyBorder="1" applyAlignment="1">
      <alignment horizontal="center" vertical="center"/>
    </xf>
    <xf numFmtId="0" fontId="92" fillId="3" borderId="15" xfId="26" applyFont="1" applyFill="1" applyBorder="1" applyAlignment="1">
      <alignment horizontal="center"/>
    </xf>
    <xf numFmtId="0" fontId="92" fillId="3" borderId="16" xfId="26" applyFont="1" applyFill="1" applyBorder="1" applyAlignment="1">
      <alignment horizontal="center"/>
    </xf>
    <xf numFmtId="0" fontId="182" fillId="47" borderId="60" xfId="26" applyFont="1" applyFill="1" applyBorder="1" applyAlignment="1">
      <alignment horizontal="left" vertical="center" wrapText="1"/>
    </xf>
    <xf numFmtId="0" fontId="182" fillId="47" borderId="29" xfId="26" applyFont="1" applyFill="1" applyBorder="1" applyAlignment="1">
      <alignment horizontal="left" vertical="center" wrapText="1"/>
    </xf>
    <xf numFmtId="0" fontId="182" fillId="5" borderId="29" xfId="3" applyFont="1" applyFill="1" applyBorder="1" applyAlignment="1">
      <alignment horizontal="center" vertical="center"/>
    </xf>
    <xf numFmtId="165" fontId="182" fillId="48" borderId="29" xfId="3" applyNumberFormat="1" applyFont="1" applyFill="1" applyBorder="1" applyAlignment="1">
      <alignment horizontal="center" vertical="center"/>
    </xf>
    <xf numFmtId="165" fontId="183" fillId="5" borderId="29" xfId="3" applyNumberFormat="1" applyFont="1" applyFill="1" applyBorder="1" applyAlignment="1">
      <alignment horizontal="center" vertical="center"/>
    </xf>
    <xf numFmtId="165" fontId="183" fillId="5" borderId="164" xfId="3" applyNumberFormat="1" applyFont="1" applyFill="1" applyBorder="1" applyAlignment="1">
      <alignment horizontal="center" vertical="center"/>
    </xf>
    <xf numFmtId="165" fontId="182" fillId="5" borderId="18" xfId="3" applyNumberFormat="1" applyFont="1" applyFill="1" applyBorder="1" applyAlignment="1">
      <alignment horizontal="center" vertical="center"/>
    </xf>
    <xf numFmtId="165" fontId="183" fillId="5" borderId="19" xfId="3" applyNumberFormat="1" applyFont="1" applyFill="1" applyBorder="1" applyAlignment="1">
      <alignment horizontal="center" vertical="center"/>
    </xf>
    <xf numFmtId="165" fontId="183" fillId="5" borderId="20" xfId="3" applyNumberFormat="1" applyFont="1" applyFill="1" applyBorder="1" applyAlignment="1">
      <alignment horizontal="center" vertical="center"/>
    </xf>
    <xf numFmtId="0" fontId="182" fillId="47" borderId="21" xfId="26" applyFont="1" applyFill="1" applyBorder="1" applyAlignment="1">
      <alignment horizontal="left" vertical="center" wrapText="1"/>
    </xf>
    <xf numFmtId="0" fontId="182" fillId="47" borderId="22" xfId="26" applyFont="1" applyFill="1" applyBorder="1" applyAlignment="1">
      <alignment horizontal="left" vertical="center" wrapText="1"/>
    </xf>
    <xf numFmtId="0" fontId="182" fillId="5" borderId="22" xfId="3" applyFont="1" applyFill="1" applyBorder="1" applyAlignment="1">
      <alignment horizontal="center" vertical="center"/>
    </xf>
    <xf numFmtId="165" fontId="182" fillId="48" borderId="22" xfId="3" applyNumberFormat="1" applyFont="1" applyFill="1" applyBorder="1" applyAlignment="1">
      <alignment horizontal="center" vertical="center"/>
    </xf>
    <xf numFmtId="165" fontId="183" fillId="5" borderId="22" xfId="3" applyNumberFormat="1" applyFont="1" applyFill="1" applyBorder="1" applyAlignment="1">
      <alignment horizontal="center" vertical="center"/>
    </xf>
    <xf numFmtId="165" fontId="183" fillId="5" borderId="53" xfId="3" applyNumberFormat="1" applyFont="1" applyFill="1" applyBorder="1" applyAlignment="1">
      <alignment horizontal="center" vertical="center"/>
    </xf>
    <xf numFmtId="165" fontId="182" fillId="5" borderId="21" xfId="3" applyNumberFormat="1" applyFont="1" applyFill="1" applyBorder="1" applyAlignment="1">
      <alignment horizontal="center" vertical="center"/>
    </xf>
    <xf numFmtId="165" fontId="183" fillId="5" borderId="23" xfId="3" applyNumberFormat="1" applyFont="1" applyFill="1" applyBorder="1" applyAlignment="1">
      <alignment horizontal="center" vertical="center"/>
    </xf>
    <xf numFmtId="0" fontId="182" fillId="5" borderId="23" xfId="3" applyFont="1" applyFill="1" applyBorder="1" applyAlignment="1">
      <alignment horizontal="center" vertical="center"/>
    </xf>
    <xf numFmtId="0" fontId="182" fillId="0" borderId="21" xfId="26" applyFont="1" applyBorder="1" applyAlignment="1">
      <alignment horizontal="left" vertical="center" wrapText="1"/>
    </xf>
    <xf numFmtId="0" fontId="182" fillId="0" borderId="22" xfId="26" applyFont="1" applyBorder="1" applyAlignment="1">
      <alignment horizontal="left" vertical="center" wrapText="1"/>
    </xf>
    <xf numFmtId="0" fontId="182" fillId="0" borderId="22" xfId="3" applyFont="1" applyBorder="1" applyAlignment="1">
      <alignment horizontal="center" vertical="center"/>
    </xf>
    <xf numFmtId="3" fontId="182" fillId="3" borderId="22" xfId="3" applyNumberFormat="1" applyFont="1" applyFill="1" applyBorder="1" applyAlignment="1">
      <alignment horizontal="center" vertical="center"/>
    </xf>
    <xf numFmtId="3" fontId="182" fillId="3" borderId="23" xfId="3" applyNumberFormat="1" applyFont="1" applyFill="1" applyBorder="1" applyAlignment="1">
      <alignment horizontal="center" vertical="center"/>
    </xf>
    <xf numFmtId="0" fontId="182" fillId="47" borderId="24" xfId="15" applyFont="1" applyFill="1" applyBorder="1" applyAlignment="1">
      <alignment horizontal="left" vertical="center"/>
    </xf>
    <xf numFmtId="0" fontId="182" fillId="47" borderId="25" xfId="26" applyFont="1" applyFill="1" applyBorder="1" applyAlignment="1">
      <alignment horizontal="left" vertical="center" wrapText="1"/>
    </xf>
    <xf numFmtId="0" fontId="182" fillId="0" borderId="25" xfId="3" applyFont="1" applyBorder="1" applyAlignment="1">
      <alignment horizontal="center" vertical="center"/>
    </xf>
    <xf numFmtId="165" fontId="182" fillId="48" borderId="25" xfId="3" applyNumberFormat="1" applyFont="1" applyFill="1" applyBorder="1" applyAlignment="1">
      <alignment horizontal="center" vertical="center"/>
    </xf>
    <xf numFmtId="165" fontId="183" fillId="5" borderId="25" xfId="3" applyNumberFormat="1" applyFont="1" applyFill="1" applyBorder="1" applyAlignment="1">
      <alignment horizontal="center" vertical="center"/>
    </xf>
    <xf numFmtId="165" fontId="183" fillId="5" borderId="85" xfId="3" applyNumberFormat="1" applyFont="1" applyFill="1" applyBorder="1" applyAlignment="1">
      <alignment horizontal="center" vertical="center"/>
    </xf>
    <xf numFmtId="165" fontId="182" fillId="5" borderId="24" xfId="3" applyNumberFormat="1" applyFont="1" applyFill="1" applyBorder="1" applyAlignment="1">
      <alignment horizontal="center" vertical="center"/>
    </xf>
    <xf numFmtId="165" fontId="183" fillId="5" borderId="26" xfId="3" applyNumberFormat="1" applyFont="1" applyFill="1" applyBorder="1" applyAlignment="1">
      <alignment horizontal="center" vertical="center"/>
    </xf>
    <xf numFmtId="0" fontId="182" fillId="0" borderId="18" xfId="26" applyFont="1" applyBorder="1" applyAlignment="1">
      <alignment horizontal="left" vertical="center" wrapText="1"/>
    </xf>
    <xf numFmtId="0" fontId="182" fillId="0" borderId="19" xfId="26" applyFont="1" applyBorder="1" applyAlignment="1">
      <alignment horizontal="left" vertical="center" wrapText="1"/>
    </xf>
    <xf numFmtId="0" fontId="182" fillId="0" borderId="19" xfId="26" applyFont="1" applyBorder="1" applyAlignment="1">
      <alignment horizontal="center" vertical="center" wrapText="1"/>
    </xf>
    <xf numFmtId="165" fontId="182" fillId="48" borderId="19" xfId="3" applyNumberFormat="1" applyFont="1" applyFill="1" applyBorder="1" applyAlignment="1">
      <alignment horizontal="center" vertical="center"/>
    </xf>
    <xf numFmtId="3" fontId="182" fillId="3" borderId="109" xfId="3" applyNumberFormat="1" applyFont="1" applyFill="1" applyBorder="1" applyAlignment="1">
      <alignment horizontal="center" vertical="center"/>
    </xf>
    <xf numFmtId="0" fontId="182" fillId="0" borderId="24" xfId="26" applyFont="1" applyBorder="1" applyAlignment="1">
      <alignment horizontal="left" vertical="center" wrapText="1"/>
    </xf>
    <xf numFmtId="0" fontId="182" fillId="0" borderId="25" xfId="26" applyFont="1" applyBorder="1" applyAlignment="1">
      <alignment horizontal="left" vertical="center" wrapText="1"/>
    </xf>
    <xf numFmtId="0" fontId="182" fillId="0" borderId="25" xfId="26" applyFont="1" applyBorder="1" applyAlignment="1">
      <alignment horizontal="center" vertical="center" wrapText="1"/>
    </xf>
    <xf numFmtId="3" fontId="182" fillId="3" borderId="111" xfId="3" applyNumberFormat="1" applyFont="1" applyFill="1" applyBorder="1" applyAlignment="1">
      <alignment horizontal="center" vertical="center"/>
    </xf>
    <xf numFmtId="0" fontId="182" fillId="0" borderId="18" xfId="26" applyFont="1" applyBorder="1" applyAlignment="1">
      <alignment horizontal="center" vertical="center" wrapText="1"/>
    </xf>
    <xf numFmtId="3" fontId="182" fillId="0" borderId="109" xfId="3" applyNumberFormat="1" applyFont="1" applyBorder="1" applyAlignment="1">
      <alignment horizontal="center" vertical="center"/>
    </xf>
    <xf numFmtId="3" fontId="182" fillId="0" borderId="19" xfId="3" applyNumberFormat="1" applyFont="1" applyBorder="1" applyAlignment="1">
      <alignment horizontal="center" vertical="center"/>
    </xf>
    <xf numFmtId="0" fontId="182" fillId="0" borderId="21" xfId="26" applyFont="1" applyBorder="1" applyAlignment="1">
      <alignment horizontal="center" vertical="center" wrapText="1"/>
    </xf>
    <xf numFmtId="0" fontId="182" fillId="0" borderId="24" xfId="26" applyFont="1" applyBorder="1" applyAlignment="1">
      <alignment horizontal="center" vertical="center" wrapText="1"/>
    </xf>
    <xf numFmtId="0" fontId="182" fillId="47" borderId="18" xfId="26" applyFont="1" applyFill="1" applyBorder="1" applyAlignment="1">
      <alignment horizontal="center" vertical="center" wrapText="1"/>
    </xf>
    <xf numFmtId="0" fontId="182" fillId="47" borderId="19" xfId="26" applyFont="1" applyFill="1" applyBorder="1" applyAlignment="1">
      <alignment horizontal="left" vertical="center" wrapText="1"/>
    </xf>
    <xf numFmtId="0" fontId="182" fillId="3" borderId="19" xfId="3" applyFont="1" applyFill="1" applyBorder="1" applyAlignment="1">
      <alignment horizontal="center" vertical="center"/>
    </xf>
    <xf numFmtId="3" fontId="184" fillId="3" borderId="19" xfId="3" applyNumberFormat="1" applyFont="1" applyFill="1" applyBorder="1" applyAlignment="1">
      <alignment horizontal="center" vertical="center"/>
    </xf>
    <xf numFmtId="3" fontId="184" fillId="3" borderId="20" xfId="3" applyNumberFormat="1" applyFont="1" applyFill="1" applyBorder="1" applyAlignment="1">
      <alignment horizontal="center" vertical="center"/>
    </xf>
    <xf numFmtId="0" fontId="182" fillId="0" borderId="109" xfId="26" applyFont="1" applyBorder="1" applyAlignment="1">
      <alignment horizontal="center" vertical="center" wrapText="1"/>
    </xf>
    <xf numFmtId="0" fontId="182" fillId="0" borderId="20" xfId="26" applyFont="1" applyBorder="1" applyAlignment="1">
      <alignment horizontal="center" vertical="center" wrapText="1"/>
    </xf>
    <xf numFmtId="0" fontId="182" fillId="0" borderId="22" xfId="26" applyFont="1" applyBorder="1" applyAlignment="1">
      <alignment horizontal="center" vertical="center" wrapText="1"/>
    </xf>
    <xf numFmtId="0" fontId="182" fillId="0" borderId="67" xfId="26" applyFont="1" applyBorder="1" applyAlignment="1">
      <alignment horizontal="center" vertical="center" wrapText="1"/>
    </xf>
    <xf numFmtId="0" fontId="182" fillId="0" borderId="23" xfId="26" applyFont="1" applyBorder="1" applyAlignment="1">
      <alignment horizontal="center" vertical="center" wrapText="1"/>
    </xf>
    <xf numFmtId="0" fontId="182" fillId="0" borderId="111" xfId="26" applyFont="1" applyBorder="1" applyAlignment="1">
      <alignment horizontal="center" vertical="center" wrapText="1"/>
    </xf>
    <xf numFmtId="0" fontId="182" fillId="0" borderId="26" xfId="26" applyFont="1" applyBorder="1" applyAlignment="1">
      <alignment horizontal="center" vertical="center" wrapText="1"/>
    </xf>
    <xf numFmtId="0" fontId="182" fillId="0" borderId="165" xfId="26" applyFont="1" applyBorder="1" applyAlignment="1">
      <alignment horizontal="left" vertical="center" wrapText="1"/>
    </xf>
    <xf numFmtId="0" fontId="182" fillId="0" borderId="166" xfId="26" applyFont="1" applyBorder="1" applyAlignment="1">
      <alignment horizontal="left" vertical="center" wrapText="1"/>
    </xf>
    <xf numFmtId="1" fontId="182" fillId="0" borderId="166" xfId="3" applyNumberFormat="1" applyFont="1" applyBorder="1" applyAlignment="1">
      <alignment horizontal="center" vertical="center"/>
    </xf>
    <xf numFmtId="0" fontId="182" fillId="3" borderId="109" xfId="3" applyFont="1" applyFill="1" applyBorder="1" applyAlignment="1">
      <alignment horizontal="center" vertical="center"/>
    </xf>
    <xf numFmtId="0" fontId="182" fillId="3" borderId="20" xfId="3" applyFont="1" applyFill="1" applyBorder="1" applyAlignment="1">
      <alignment horizontal="center" vertical="center"/>
    </xf>
    <xf numFmtId="165" fontId="182" fillId="48" borderId="48" xfId="3" applyNumberFormat="1" applyFont="1" applyFill="1" applyBorder="1" applyAlignment="1">
      <alignment horizontal="center" vertical="center"/>
    </xf>
    <xf numFmtId="165" fontId="183" fillId="5" borderId="48" xfId="3" applyNumberFormat="1" applyFont="1" applyFill="1" applyBorder="1" applyAlignment="1">
      <alignment horizontal="center" vertical="center"/>
    </xf>
    <xf numFmtId="165" fontId="183" fillId="5" borderId="136" xfId="3" applyNumberFormat="1" applyFont="1" applyFill="1" applyBorder="1" applyAlignment="1">
      <alignment horizontal="center" vertical="center"/>
    </xf>
    <xf numFmtId="0" fontId="182" fillId="3" borderId="111" xfId="3" applyFont="1" applyFill="1" applyBorder="1" applyAlignment="1">
      <alignment horizontal="center" vertical="center"/>
    </xf>
    <xf numFmtId="0" fontId="182" fillId="3" borderId="25" xfId="3" applyFont="1" applyFill="1" applyBorder="1" applyAlignment="1">
      <alignment horizontal="center" vertical="center"/>
    </xf>
    <xf numFmtId="0" fontId="182" fillId="3" borderId="26" xfId="3" applyFont="1" applyFill="1" applyBorder="1" applyAlignment="1">
      <alignment horizontal="center" vertical="center"/>
    </xf>
    <xf numFmtId="165" fontId="182" fillId="48" borderId="166" xfId="3" applyNumberFormat="1" applyFont="1" applyFill="1" applyBorder="1" applyAlignment="1">
      <alignment horizontal="center" vertical="center"/>
    </xf>
    <xf numFmtId="165" fontId="183" fillId="5" borderId="166" xfId="3" applyNumberFormat="1" applyFont="1" applyFill="1" applyBorder="1" applyAlignment="1">
      <alignment horizontal="center" vertical="center"/>
    </xf>
    <xf numFmtId="0" fontId="182" fillId="0" borderId="38" xfId="3" applyFont="1" applyBorder="1" applyAlignment="1">
      <alignment horizontal="center" vertical="center"/>
    </xf>
    <xf numFmtId="0" fontId="182" fillId="0" borderId="39" xfId="3" applyFont="1" applyBorder="1" applyAlignment="1">
      <alignment horizontal="center" vertical="center"/>
    </xf>
    <xf numFmtId="165" fontId="183" fillId="0" borderId="19" xfId="3" applyNumberFormat="1" applyFont="1" applyBorder="1" applyAlignment="1">
      <alignment horizontal="center" vertical="center"/>
    </xf>
    <xf numFmtId="165" fontId="183" fillId="3" borderId="19" xfId="3" applyNumberFormat="1" applyFont="1" applyFill="1" applyBorder="1" applyAlignment="1">
      <alignment horizontal="center" vertical="center"/>
    </xf>
    <xf numFmtId="165" fontId="183" fillId="3" borderId="20" xfId="3" applyNumberFormat="1" applyFont="1" applyFill="1" applyBorder="1" applyAlignment="1">
      <alignment horizontal="center" vertical="center"/>
    </xf>
    <xf numFmtId="165" fontId="182" fillId="3" borderId="19" xfId="3" applyNumberFormat="1" applyFont="1" applyFill="1" applyBorder="1" applyAlignment="1">
      <alignment horizontal="center" vertical="center"/>
    </xf>
    <xf numFmtId="165" fontId="183" fillId="0" borderId="48" xfId="3" applyNumberFormat="1" applyFont="1" applyBorder="1" applyAlignment="1">
      <alignment horizontal="center" vertical="center"/>
    </xf>
    <xf numFmtId="165" fontId="183" fillId="0" borderId="22" xfId="3" applyNumberFormat="1" applyFont="1" applyBorder="1" applyAlignment="1">
      <alignment horizontal="center" vertical="center"/>
    </xf>
    <xf numFmtId="165" fontId="183" fillId="3" borderId="22" xfId="3" applyNumberFormat="1" applyFont="1" applyFill="1" applyBorder="1" applyAlignment="1">
      <alignment horizontal="center" vertical="center"/>
    </xf>
    <xf numFmtId="165" fontId="183" fillId="3" borderId="23" xfId="3" applyNumberFormat="1" applyFont="1" applyFill="1" applyBorder="1" applyAlignment="1">
      <alignment horizontal="center" vertical="center"/>
    </xf>
    <xf numFmtId="0" fontId="182" fillId="3" borderId="67" xfId="3" applyFont="1" applyFill="1" applyBorder="1" applyAlignment="1">
      <alignment horizontal="center" vertical="center"/>
    </xf>
    <xf numFmtId="0" fontId="182" fillId="3" borderId="22" xfId="3" applyFont="1" applyFill="1" applyBorder="1" applyAlignment="1">
      <alignment horizontal="center" vertical="center"/>
    </xf>
    <xf numFmtId="0" fontId="182" fillId="3" borderId="23" xfId="3" applyFont="1" applyFill="1" applyBorder="1" applyAlignment="1">
      <alignment horizontal="center" vertical="center"/>
    </xf>
    <xf numFmtId="0" fontId="182" fillId="0" borderId="48" xfId="26" applyFont="1" applyBorder="1" applyAlignment="1">
      <alignment horizontal="left" vertical="center" wrapText="1"/>
    </xf>
    <xf numFmtId="1" fontId="182" fillId="0" borderId="48" xfId="3" applyNumberFormat="1" applyFont="1" applyBorder="1" applyAlignment="1">
      <alignment horizontal="center" vertical="center"/>
    </xf>
    <xf numFmtId="165" fontId="183" fillId="3" borderId="48" xfId="3" applyNumberFormat="1" applyFont="1" applyFill="1" applyBorder="1" applyAlignment="1">
      <alignment horizontal="center" vertical="center"/>
    </xf>
    <xf numFmtId="165" fontId="183" fillId="3" borderId="136" xfId="3" applyNumberFormat="1" applyFont="1" applyFill="1" applyBorder="1" applyAlignment="1">
      <alignment horizontal="center" vertical="center"/>
    </xf>
    <xf numFmtId="165" fontId="183" fillId="0" borderId="166" xfId="3" applyNumberFormat="1" applyFont="1" applyBorder="1" applyAlignment="1">
      <alignment horizontal="center" vertical="center"/>
    </xf>
    <xf numFmtId="165" fontId="183" fillId="3" borderId="166" xfId="3" applyNumberFormat="1" applyFont="1" applyFill="1" applyBorder="1" applyAlignment="1">
      <alignment horizontal="center" vertical="center"/>
    </xf>
    <xf numFmtId="165" fontId="183" fillId="3" borderId="118" xfId="3" applyNumberFormat="1" applyFont="1" applyFill="1" applyBorder="1" applyAlignment="1">
      <alignment horizontal="center" vertical="center"/>
    </xf>
    <xf numFmtId="0" fontId="182" fillId="3" borderId="110" xfId="3" applyFont="1" applyFill="1" applyBorder="1" applyAlignment="1">
      <alignment horizontal="center" vertical="center"/>
    </xf>
    <xf numFmtId="0" fontId="182" fillId="3" borderId="38" xfId="3" applyFont="1" applyFill="1" applyBorder="1" applyAlignment="1">
      <alignment horizontal="center" vertical="center"/>
    </xf>
    <xf numFmtId="0" fontId="182" fillId="3" borderId="39" xfId="3" applyFont="1" applyFill="1" applyBorder="1" applyAlignment="1">
      <alignment horizontal="center" vertical="center"/>
    </xf>
    <xf numFmtId="0" fontId="182" fillId="0" borderId="165" xfId="26" applyFont="1" applyBorder="1" applyAlignment="1">
      <alignment vertical="center" wrapText="1"/>
    </xf>
    <xf numFmtId="0" fontId="182" fillId="0" borderId="86" xfId="26" applyFont="1" applyBorder="1" applyAlignment="1">
      <alignment horizontal="left" vertical="center" wrapText="1"/>
    </xf>
    <xf numFmtId="0" fontId="182" fillId="0" borderId="38" xfId="26" applyFont="1" applyBorder="1" applyAlignment="1">
      <alignment horizontal="left" vertical="center" wrapText="1"/>
    </xf>
    <xf numFmtId="1" fontId="182" fillId="0" borderId="38" xfId="3" applyNumberFormat="1" applyFont="1" applyBorder="1" applyAlignment="1">
      <alignment horizontal="center" vertical="center"/>
    </xf>
    <xf numFmtId="165" fontId="182" fillId="48" borderId="38" xfId="3" applyNumberFormat="1" applyFont="1" applyFill="1" applyBorder="1" applyAlignment="1">
      <alignment horizontal="center" vertical="center"/>
    </xf>
    <xf numFmtId="165" fontId="183" fillId="5" borderId="38" xfId="3" applyNumberFormat="1" applyFont="1" applyFill="1" applyBorder="1" applyAlignment="1">
      <alignment horizontal="center" vertical="center"/>
    </xf>
    <xf numFmtId="165" fontId="182" fillId="5" borderId="38" xfId="3" applyNumberFormat="1" applyFont="1" applyFill="1" applyBorder="1" applyAlignment="1">
      <alignment horizontal="center" vertical="center"/>
    </xf>
    <xf numFmtId="165" fontId="182" fillId="5" borderId="39" xfId="3" applyNumberFormat="1" applyFont="1" applyFill="1" applyBorder="1" applyAlignment="1">
      <alignment horizontal="center" vertical="center"/>
    </xf>
    <xf numFmtId="0" fontId="182" fillId="3" borderId="60" xfId="26" applyFont="1" applyFill="1" applyBorder="1" applyAlignment="1">
      <alignment horizontal="left" vertical="center" wrapText="1"/>
    </xf>
    <xf numFmtId="0" fontId="182" fillId="3" borderId="29" xfId="26" applyFont="1" applyFill="1" applyBorder="1" applyAlignment="1">
      <alignment horizontal="left" vertical="center" wrapText="1"/>
    </xf>
    <xf numFmtId="0" fontId="182" fillId="3" borderId="29" xfId="3" applyFont="1" applyFill="1" applyBorder="1" applyAlignment="1">
      <alignment horizontal="center" vertical="center"/>
    </xf>
    <xf numFmtId="165" fontId="183" fillId="3" borderId="29" xfId="3" applyNumberFormat="1" applyFont="1" applyFill="1" applyBorder="1" applyAlignment="1">
      <alignment horizontal="center" vertical="center"/>
    </xf>
    <xf numFmtId="165" fontId="183" fillId="3" borderId="164" xfId="3" applyNumberFormat="1" applyFont="1" applyFill="1" applyBorder="1" applyAlignment="1">
      <alignment horizontal="center" vertical="center"/>
    </xf>
    <xf numFmtId="0" fontId="182" fillId="3" borderId="18" xfId="26" applyFont="1" applyFill="1" applyBorder="1" applyAlignment="1">
      <alignment horizontal="center" vertical="center"/>
    </xf>
    <xf numFmtId="0" fontId="182" fillId="3" borderId="19" xfId="26" applyFont="1" applyFill="1" applyBorder="1" applyAlignment="1">
      <alignment horizontal="center" vertical="center"/>
    </xf>
    <xf numFmtId="0" fontId="182" fillId="0" borderId="20" xfId="26" applyFont="1" applyBorder="1" applyAlignment="1">
      <alignment horizontal="center" vertical="center"/>
    </xf>
    <xf numFmtId="0" fontId="182" fillId="3" borderId="21" xfId="26" applyFont="1" applyFill="1" applyBorder="1" applyAlignment="1">
      <alignment horizontal="left" vertical="center" wrapText="1"/>
    </xf>
    <xf numFmtId="0" fontId="182" fillId="3" borderId="22" xfId="26" applyFont="1" applyFill="1" applyBorder="1" applyAlignment="1">
      <alignment horizontal="left" vertical="center" wrapText="1"/>
    </xf>
    <xf numFmtId="165" fontId="183" fillId="3" borderId="53" xfId="3" applyNumberFormat="1" applyFont="1" applyFill="1" applyBorder="1" applyAlignment="1">
      <alignment horizontal="center" vertical="center"/>
    </xf>
    <xf numFmtId="0" fontId="182" fillId="3" borderId="21" xfId="26" applyFont="1" applyFill="1" applyBorder="1" applyAlignment="1">
      <alignment horizontal="center" vertical="center"/>
    </xf>
    <xf numFmtId="0" fontId="182" fillId="3" borderId="22" xfId="26" applyFont="1" applyFill="1" applyBorder="1" applyAlignment="1">
      <alignment horizontal="center" vertical="center"/>
    </xf>
    <xf numFmtId="0" fontId="182" fillId="3" borderId="23" xfId="26" applyFont="1" applyFill="1" applyBorder="1" applyAlignment="1">
      <alignment horizontal="center" vertical="center"/>
    </xf>
    <xf numFmtId="0" fontId="182" fillId="0" borderId="23" xfId="26" applyFont="1" applyBorder="1" applyAlignment="1">
      <alignment horizontal="center" vertical="center"/>
    </xf>
    <xf numFmtId="165" fontId="182" fillId="3" borderId="21" xfId="3" applyNumberFormat="1" applyFont="1" applyFill="1" applyBorder="1" applyAlignment="1">
      <alignment horizontal="center" vertical="center"/>
    </xf>
    <xf numFmtId="165" fontId="129" fillId="3" borderId="22" xfId="3" applyNumberFormat="1" applyFont="1" applyFill="1" applyBorder="1" applyAlignment="1">
      <alignment horizontal="center" vertical="center"/>
    </xf>
    <xf numFmtId="165" fontId="129" fillId="5" borderId="23" xfId="3" applyNumberFormat="1" applyFont="1" applyFill="1" applyBorder="1" applyAlignment="1">
      <alignment horizontal="center" vertical="center"/>
    </xf>
    <xf numFmtId="0" fontId="182" fillId="3" borderId="24" xfId="26" applyFont="1" applyFill="1" applyBorder="1" applyAlignment="1">
      <alignment horizontal="left" vertical="center" wrapText="1"/>
    </xf>
    <xf numFmtId="0" fontId="182" fillId="3" borderId="25" xfId="26" applyFont="1" applyFill="1" applyBorder="1" applyAlignment="1">
      <alignment horizontal="left" vertical="center" wrapText="1"/>
    </xf>
    <xf numFmtId="165" fontId="183" fillId="3" borderId="25" xfId="3" applyNumberFormat="1" applyFont="1" applyFill="1" applyBorder="1" applyAlignment="1">
      <alignment horizontal="center" vertical="center"/>
    </xf>
    <xf numFmtId="165" fontId="183" fillId="3" borderId="85" xfId="3" applyNumberFormat="1" applyFont="1" applyFill="1" applyBorder="1" applyAlignment="1">
      <alignment horizontal="center" vertical="center"/>
    </xf>
    <xf numFmtId="0" fontId="182" fillId="3" borderId="24" xfId="26" applyFont="1" applyFill="1" applyBorder="1" applyAlignment="1">
      <alignment horizontal="center" vertical="center"/>
    </xf>
    <xf numFmtId="0" fontId="182" fillId="3" borderId="25" xfId="26" applyFont="1" applyFill="1" applyBorder="1" applyAlignment="1">
      <alignment horizontal="center" vertical="center"/>
    </xf>
    <xf numFmtId="0" fontId="182" fillId="3" borderId="26" xfId="26" applyFont="1" applyFill="1" applyBorder="1" applyAlignment="1">
      <alignment horizontal="center" vertical="center"/>
    </xf>
    <xf numFmtId="0" fontId="182" fillId="3" borderId="18" xfId="26" applyFont="1" applyFill="1" applyBorder="1" applyAlignment="1">
      <alignment horizontal="left" vertical="center" wrapText="1"/>
    </xf>
    <xf numFmtId="0" fontId="182" fillId="3" borderId="19" xfId="26" applyFont="1" applyFill="1" applyBorder="1" applyAlignment="1">
      <alignment horizontal="left" vertical="center" wrapText="1"/>
    </xf>
    <xf numFmtId="0" fontId="182" fillId="3" borderId="19" xfId="26" applyFont="1" applyFill="1" applyBorder="1" applyAlignment="1">
      <alignment horizontal="center" vertical="center" wrapText="1"/>
    </xf>
    <xf numFmtId="168" fontId="182" fillId="48" borderId="19" xfId="3" applyNumberFormat="1" applyFont="1" applyFill="1" applyBorder="1" applyAlignment="1">
      <alignment horizontal="center" vertical="center"/>
    </xf>
    <xf numFmtId="168" fontId="183" fillId="3" borderId="19" xfId="3" applyNumberFormat="1" applyFont="1" applyFill="1" applyBorder="1" applyAlignment="1">
      <alignment horizontal="center" vertical="center"/>
    </xf>
    <xf numFmtId="168" fontId="183" fillId="3" borderId="102" xfId="3" applyNumberFormat="1" applyFont="1" applyFill="1" applyBorder="1" applyAlignment="1">
      <alignment horizontal="center" vertical="center"/>
    </xf>
    <xf numFmtId="0" fontId="182" fillId="3" borderId="20" xfId="26" applyFont="1" applyFill="1" applyBorder="1" applyAlignment="1">
      <alignment horizontal="center" vertical="center"/>
    </xf>
    <xf numFmtId="0" fontId="182" fillId="3" borderId="22" xfId="26" applyFont="1" applyFill="1" applyBorder="1" applyAlignment="1">
      <alignment horizontal="center" vertical="center" wrapText="1"/>
    </xf>
    <xf numFmtId="168" fontId="182" fillId="48" borderId="22" xfId="3" applyNumberFormat="1" applyFont="1" applyFill="1" applyBorder="1" applyAlignment="1">
      <alignment horizontal="center" vertical="center"/>
    </xf>
    <xf numFmtId="168" fontId="183" fillId="3" borderId="22" xfId="3" applyNumberFormat="1" applyFont="1" applyFill="1" applyBorder="1" applyAlignment="1">
      <alignment horizontal="center" vertical="center"/>
    </xf>
    <xf numFmtId="168" fontId="183" fillId="3" borderId="53" xfId="3" applyNumberFormat="1" applyFont="1" applyFill="1" applyBorder="1" applyAlignment="1">
      <alignment horizontal="center" vertical="center"/>
    </xf>
    <xf numFmtId="0" fontId="182" fillId="3" borderId="25" xfId="26" applyFont="1" applyFill="1" applyBorder="1" applyAlignment="1">
      <alignment horizontal="center" vertical="center" wrapText="1"/>
    </xf>
    <xf numFmtId="168" fontId="182" fillId="48" borderId="25" xfId="3" applyNumberFormat="1" applyFont="1" applyFill="1" applyBorder="1" applyAlignment="1">
      <alignment horizontal="center" vertical="center"/>
    </xf>
    <xf numFmtId="168" fontId="183" fillId="3" borderId="25" xfId="3" applyNumberFormat="1" applyFont="1" applyFill="1" applyBorder="1" applyAlignment="1">
      <alignment horizontal="center" vertical="center"/>
    </xf>
    <xf numFmtId="168" fontId="183" fillId="3" borderId="85" xfId="3" applyNumberFormat="1" applyFont="1" applyFill="1" applyBorder="1" applyAlignment="1">
      <alignment horizontal="center" vertical="center"/>
    </xf>
    <xf numFmtId="171" fontId="183" fillId="3" borderId="19" xfId="3" applyNumberFormat="1" applyFont="1" applyFill="1" applyBorder="1" applyAlignment="1">
      <alignment horizontal="center" vertical="center"/>
    </xf>
    <xf numFmtId="171" fontId="183" fillId="3" borderId="102" xfId="3" applyNumberFormat="1" applyFont="1" applyFill="1" applyBorder="1" applyAlignment="1">
      <alignment horizontal="center" vertical="center"/>
    </xf>
    <xf numFmtId="171" fontId="183" fillId="3" borderId="25" xfId="3" applyNumberFormat="1" applyFont="1" applyFill="1" applyBorder="1" applyAlignment="1">
      <alignment horizontal="center" vertical="center"/>
    </xf>
    <xf numFmtId="171" fontId="183" fillId="3" borderId="85" xfId="3" applyNumberFormat="1" applyFont="1" applyFill="1" applyBorder="1" applyAlignment="1">
      <alignment horizontal="center" vertical="center"/>
    </xf>
    <xf numFmtId="0" fontId="186" fillId="3" borderId="0" xfId="26" applyFont="1" applyFill="1" applyAlignment="1">
      <alignment horizontal="left" vertical="center" wrapText="1"/>
    </xf>
    <xf numFmtId="165" fontId="186" fillId="3" borderId="0" xfId="26" applyNumberFormat="1" applyFont="1" applyFill="1" applyAlignment="1">
      <alignment horizontal="center" vertical="center"/>
    </xf>
    <xf numFmtId="165" fontId="186" fillId="3" borderId="0" xfId="3" applyNumberFormat="1" applyFont="1" applyFill="1" applyAlignment="1">
      <alignment horizontal="center" vertical="center"/>
    </xf>
    <xf numFmtId="165" fontId="186" fillId="3" borderId="0" xfId="15" applyNumberFormat="1" applyFont="1" applyFill="1" applyAlignment="1">
      <alignment horizontal="center" wrapText="1"/>
    </xf>
    <xf numFmtId="165" fontId="185" fillId="3" borderId="0" xfId="3" applyNumberFormat="1" applyFont="1" applyFill="1" applyAlignment="1">
      <alignment horizontal="center" vertical="center"/>
    </xf>
    <xf numFmtId="0" fontId="187" fillId="3" borderId="0" xfId="26" applyFont="1" applyFill="1" applyAlignment="1">
      <alignment vertical="center" wrapText="1"/>
    </xf>
    <xf numFmtId="0" fontId="126" fillId="43" borderId="12" xfId="26" applyFont="1" applyFill="1" applyBorder="1" applyAlignment="1">
      <alignment horizontal="center" vertical="center" wrapText="1"/>
    </xf>
    <xf numFmtId="0" fontId="126" fillId="43" borderId="13" xfId="26" applyFont="1" applyFill="1" applyBorder="1" applyAlignment="1">
      <alignment horizontal="center" vertical="center" wrapText="1"/>
    </xf>
    <xf numFmtId="0" fontId="126" fillId="43" borderId="14" xfId="26" applyFont="1" applyFill="1" applyBorder="1" applyAlignment="1">
      <alignment horizontal="center" vertical="center" wrapText="1"/>
    </xf>
    <xf numFmtId="0" fontId="177" fillId="0" borderId="0" xfId="26" applyFont="1" applyAlignment="1">
      <alignment horizontal="left"/>
    </xf>
    <xf numFmtId="0" fontId="177" fillId="0" borderId="28" xfId="26" applyFont="1" applyBorder="1" applyAlignment="1">
      <alignment horizontal="left"/>
    </xf>
    <xf numFmtId="0" fontId="172" fillId="3" borderId="0" xfId="3" applyFont="1" applyFill="1" applyAlignment="1">
      <alignment vertical="center"/>
    </xf>
    <xf numFmtId="0" fontId="177" fillId="0" borderId="28" xfId="26" applyFont="1" applyBorder="1"/>
    <xf numFmtId="0" fontId="126" fillId="43" borderId="57" xfId="26" applyFont="1" applyFill="1" applyBorder="1" applyAlignment="1">
      <alignment horizontal="center" vertical="center" wrapText="1"/>
    </xf>
    <xf numFmtId="0" fontId="126" fillId="43" borderId="58" xfId="26" applyFont="1" applyFill="1" applyBorder="1" applyAlignment="1">
      <alignment horizontal="center" vertical="center" wrapText="1"/>
    </xf>
    <xf numFmtId="0" fontId="126" fillId="43" borderId="59" xfId="26" applyFont="1" applyFill="1" applyBorder="1" applyAlignment="1">
      <alignment horizontal="center" vertical="center" wrapText="1"/>
    </xf>
    <xf numFmtId="0" fontId="126" fillId="43" borderId="57" xfId="26" applyFont="1" applyFill="1" applyBorder="1" applyAlignment="1">
      <alignment vertical="center" wrapText="1"/>
    </xf>
    <xf numFmtId="0" fontId="78" fillId="3" borderId="0" xfId="15" applyFont="1" applyFill="1" applyAlignment="1">
      <alignment horizontal="center" vertical="center"/>
    </xf>
    <xf numFmtId="0" fontId="82" fillId="0" borderId="0" xfId="26" applyFont="1"/>
    <xf numFmtId="0" fontId="70" fillId="3" borderId="28" xfId="26" applyFill="1" applyBorder="1"/>
    <xf numFmtId="0" fontId="176" fillId="3" borderId="0" xfId="15" applyFont="1" applyFill="1" applyAlignment="1">
      <alignment horizontal="center" vertical="center"/>
    </xf>
    <xf numFmtId="0" fontId="78" fillId="3" borderId="0" xfId="15" applyFont="1" applyFill="1" applyAlignment="1">
      <alignment vertical="center"/>
    </xf>
    <xf numFmtId="0" fontId="172" fillId="3" borderId="0" xfId="15" applyFont="1" applyFill="1" applyAlignment="1">
      <alignment horizontal="center" vertical="center"/>
    </xf>
    <xf numFmtId="0" fontId="180" fillId="0" borderId="0" xfId="15" applyFont="1" applyAlignment="1">
      <alignment horizontal="center" vertical="center"/>
    </xf>
    <xf numFmtId="0" fontId="70" fillId="3" borderId="17" xfId="26" applyFill="1" applyBorder="1"/>
    <xf numFmtId="0" fontId="92" fillId="3" borderId="27" xfId="26" applyFont="1" applyFill="1" applyBorder="1" applyAlignment="1">
      <alignment horizontal="center"/>
    </xf>
    <xf numFmtId="0" fontId="92" fillId="3" borderId="0" xfId="26" applyFont="1" applyFill="1" applyAlignment="1">
      <alignment horizontal="center"/>
    </xf>
    <xf numFmtId="0" fontId="92" fillId="3" borderId="0" xfId="26" applyFont="1" applyFill="1"/>
    <xf numFmtId="0" fontId="126" fillId="43" borderId="176" xfId="26" applyFont="1" applyFill="1" applyBorder="1" applyAlignment="1">
      <alignment horizontal="center" vertical="center" wrapText="1"/>
    </xf>
    <xf numFmtId="0" fontId="70" fillId="3" borderId="28" xfId="26" applyFill="1" applyBorder="1" applyAlignment="1">
      <alignment horizontal="center"/>
    </xf>
    <xf numFmtId="0" fontId="155" fillId="3" borderId="0" xfId="3" applyFont="1" applyFill="1" applyAlignment="1">
      <alignment horizontal="left" vertical="center"/>
    </xf>
    <xf numFmtId="165" fontId="70" fillId="3" borderId="0" xfId="3" applyNumberFormat="1" applyFill="1" applyAlignment="1">
      <alignment horizontal="center" vertical="center"/>
    </xf>
    <xf numFmtId="165" fontId="72" fillId="3" borderId="0" xfId="3" applyNumberFormat="1" applyFont="1" applyFill="1" applyAlignment="1">
      <alignment horizontal="center" vertical="center"/>
    </xf>
    <xf numFmtId="3" fontId="72" fillId="3" borderId="0" xfId="3" applyNumberFormat="1" applyFont="1" applyFill="1" applyAlignment="1">
      <alignment horizontal="center" vertical="center"/>
    </xf>
    <xf numFmtId="3" fontId="72" fillId="3" borderId="28" xfId="3" applyNumberFormat="1" applyFont="1" applyFill="1" applyBorder="1" applyAlignment="1">
      <alignment horizontal="center" vertical="center"/>
    </xf>
    <xf numFmtId="0" fontId="86" fillId="3" borderId="27" xfId="3" applyFont="1" applyFill="1" applyBorder="1" applyAlignment="1">
      <alignment horizontal="center"/>
    </xf>
    <xf numFmtId="0" fontId="72" fillId="3" borderId="0" xfId="3" applyFont="1" applyFill="1" applyAlignment="1">
      <alignment horizontal="center"/>
    </xf>
    <xf numFmtId="0" fontId="155" fillId="3" borderId="0" xfId="3" applyFont="1" applyFill="1" applyAlignment="1">
      <alignment horizontal="center" vertical="center"/>
    </xf>
    <xf numFmtId="0" fontId="72" fillId="3" borderId="28" xfId="3" applyFont="1" applyFill="1" applyBorder="1"/>
    <xf numFmtId="3" fontId="182" fillId="3" borderId="104" xfId="3" applyNumberFormat="1" applyFont="1" applyFill="1" applyBorder="1" applyAlignment="1">
      <alignment horizontal="center" vertical="center"/>
    </xf>
    <xf numFmtId="0" fontId="84" fillId="47" borderId="27" xfId="26" applyFont="1" applyFill="1" applyBorder="1" applyAlignment="1">
      <alignment horizontal="left" vertical="center" wrapText="1"/>
    </xf>
    <xf numFmtId="165" fontId="116" fillId="5" borderId="0" xfId="3" applyNumberFormat="1" applyFont="1" applyFill="1" applyAlignment="1">
      <alignment horizontal="center" vertical="center"/>
    </xf>
    <xf numFmtId="3" fontId="116" fillId="3" borderId="0" xfId="3" applyNumberFormat="1" applyFont="1" applyFill="1" applyAlignment="1">
      <alignment horizontal="center" vertical="center"/>
    </xf>
    <xf numFmtId="3" fontId="116" fillId="3" borderId="28" xfId="3" applyNumberFormat="1" applyFont="1" applyFill="1" applyBorder="1" applyAlignment="1">
      <alignment horizontal="center" vertical="center"/>
    </xf>
    <xf numFmtId="0" fontId="126" fillId="47" borderId="27" xfId="26" applyFont="1" applyFill="1" applyBorder="1" applyAlignment="1">
      <alignment horizontal="center" vertical="center" wrapText="1"/>
    </xf>
    <xf numFmtId="0" fontId="126" fillId="47" borderId="0" xfId="26" applyFont="1" applyFill="1" applyAlignment="1">
      <alignment horizontal="center" vertical="center" wrapText="1"/>
    </xf>
    <xf numFmtId="3" fontId="116" fillId="3" borderId="0" xfId="3" applyNumberFormat="1" applyFont="1" applyFill="1"/>
    <xf numFmtId="3" fontId="116" fillId="3" borderId="28" xfId="3" applyNumberFormat="1" applyFont="1" applyFill="1" applyBorder="1"/>
    <xf numFmtId="3" fontId="182" fillId="0" borderId="20" xfId="3" applyNumberFormat="1" applyFont="1" applyBorder="1" applyAlignment="1">
      <alignment horizontal="center" vertical="center"/>
    </xf>
    <xf numFmtId="0" fontId="116" fillId="47" borderId="27" xfId="26" applyFont="1" applyFill="1" applyBorder="1" applyAlignment="1">
      <alignment horizontal="center" vertical="center" wrapText="1"/>
    </xf>
    <xf numFmtId="3" fontId="84" fillId="3" borderId="0" xfId="3" applyNumberFormat="1" applyFont="1" applyFill="1" applyAlignment="1">
      <alignment horizontal="center" vertical="center"/>
    </xf>
    <xf numFmtId="3" fontId="84" fillId="3" borderId="28" xfId="3" applyNumberFormat="1" applyFont="1" applyFill="1" applyBorder="1" applyAlignment="1">
      <alignment horizontal="center" vertical="center"/>
    </xf>
    <xf numFmtId="0" fontId="116" fillId="47" borderId="0" xfId="26" applyFont="1" applyFill="1" applyAlignment="1">
      <alignment horizontal="left" vertical="center" wrapText="1"/>
    </xf>
    <xf numFmtId="165" fontId="86" fillId="3" borderId="28" xfId="26" applyNumberFormat="1" applyFont="1" applyFill="1" applyBorder="1"/>
    <xf numFmtId="0" fontId="126" fillId="47" borderId="27" xfId="26" applyFont="1" applyFill="1" applyBorder="1" applyAlignment="1">
      <alignment horizontal="left" vertical="center" wrapText="1"/>
    </xf>
    <xf numFmtId="0" fontId="126" fillId="47" borderId="0" xfId="26" applyFont="1" applyFill="1" applyAlignment="1">
      <alignment horizontal="left" vertical="center" wrapText="1"/>
    </xf>
    <xf numFmtId="165" fontId="70" fillId="3" borderId="0" xfId="3" applyNumberFormat="1" applyFill="1" applyAlignment="1">
      <alignment horizontal="center"/>
    </xf>
    <xf numFmtId="165" fontId="72" fillId="3" borderId="0" xfId="3" applyNumberFormat="1" applyFont="1" applyFill="1" applyAlignment="1">
      <alignment horizontal="center"/>
    </xf>
    <xf numFmtId="165" fontId="72" fillId="3" borderId="28" xfId="3" applyNumberFormat="1" applyFont="1" applyFill="1" applyBorder="1" applyAlignment="1">
      <alignment horizontal="center"/>
    </xf>
    <xf numFmtId="165" fontId="117" fillId="3" borderId="0" xfId="3" applyNumberFormat="1" applyFont="1" applyFill="1" applyAlignment="1">
      <alignment horizontal="center" vertical="center"/>
    </xf>
    <xf numFmtId="0" fontId="126" fillId="3" borderId="27" xfId="26" applyFont="1" applyFill="1" applyBorder="1" applyAlignment="1">
      <alignment horizontal="left" vertical="center" wrapText="1"/>
    </xf>
    <xf numFmtId="0" fontId="126" fillId="3" borderId="0" xfId="26" applyFont="1" applyFill="1" applyAlignment="1">
      <alignment horizontal="left" vertical="center" wrapText="1"/>
    </xf>
    <xf numFmtId="0" fontId="116" fillId="3" borderId="28" xfId="26" applyFont="1" applyFill="1" applyBorder="1" applyAlignment="1">
      <alignment horizontal="center"/>
    </xf>
    <xf numFmtId="0" fontId="116" fillId="47" borderId="27" xfId="26" applyFont="1" applyFill="1" applyBorder="1" applyAlignment="1">
      <alignment horizontal="left" vertical="center" wrapText="1"/>
    </xf>
    <xf numFmtId="0" fontId="116" fillId="5" borderId="0" xfId="3" applyFont="1" applyFill="1" applyAlignment="1">
      <alignment horizontal="center" vertical="center"/>
    </xf>
    <xf numFmtId="0" fontId="116" fillId="0" borderId="28" xfId="26" applyFont="1" applyBorder="1" applyAlignment="1">
      <alignment horizontal="center" vertical="center"/>
    </xf>
    <xf numFmtId="0" fontId="116" fillId="47" borderId="13" xfId="26" applyFont="1" applyFill="1" applyBorder="1" applyAlignment="1">
      <alignment horizontal="left" vertical="center" wrapText="1"/>
    </xf>
    <xf numFmtId="0" fontId="116" fillId="5" borderId="13" xfId="3" applyFont="1" applyFill="1" applyBorder="1" applyAlignment="1">
      <alignment horizontal="center" vertical="center"/>
    </xf>
    <xf numFmtId="165" fontId="117" fillId="5" borderId="13" xfId="3" applyNumberFormat="1" applyFont="1" applyFill="1" applyBorder="1" applyAlignment="1">
      <alignment horizontal="center" vertical="center"/>
    </xf>
    <xf numFmtId="0" fontId="116" fillId="0" borderId="13" xfId="26" applyFont="1" applyBorder="1" applyAlignment="1">
      <alignment horizontal="center" vertical="center"/>
    </xf>
    <xf numFmtId="0" fontId="116" fillId="0" borderId="62" xfId="26" applyFont="1" applyBorder="1" applyAlignment="1">
      <alignment horizontal="center" vertical="center" wrapText="1"/>
    </xf>
    <xf numFmtId="0" fontId="116" fillId="0" borderId="48" xfId="26" applyFont="1" applyBorder="1" applyAlignment="1">
      <alignment horizontal="center" vertical="center" wrapText="1"/>
    </xf>
    <xf numFmtId="0" fontId="116" fillId="0" borderId="136" xfId="26" applyFont="1" applyBorder="1" applyAlignment="1">
      <alignment horizontal="center" vertical="center" wrapText="1"/>
    </xf>
    <xf numFmtId="0" fontId="188" fillId="3" borderId="0" xfId="26" applyFont="1" applyFill="1" applyAlignment="1">
      <alignment vertical="center" wrapText="1"/>
    </xf>
    <xf numFmtId="0" fontId="84" fillId="3" borderId="0" xfId="3" applyFont="1" applyFill="1" applyAlignment="1">
      <alignment horizontal="center" vertical="center"/>
    </xf>
    <xf numFmtId="0" fontId="84" fillId="3" borderId="0" xfId="26" applyFont="1" applyFill="1" applyAlignment="1">
      <alignment horizontal="center" vertical="center"/>
    </xf>
    <xf numFmtId="0" fontId="96" fillId="3" borderId="0" xfId="3" applyFont="1" applyFill="1" applyAlignment="1">
      <alignment horizontal="center" vertical="center"/>
    </xf>
    <xf numFmtId="0" fontId="96" fillId="3" borderId="0" xfId="26" applyFont="1" applyFill="1" applyAlignment="1">
      <alignment horizontal="center" vertical="center"/>
    </xf>
    <xf numFmtId="0" fontId="86" fillId="3" borderId="0" xfId="26" applyFont="1" applyFill="1" applyAlignment="1">
      <alignment horizontal="left" vertical="center"/>
    </xf>
    <xf numFmtId="0" fontId="96" fillId="3" borderId="0" xfId="3" applyFont="1" applyFill="1"/>
    <xf numFmtId="168" fontId="84" fillId="5" borderId="0" xfId="3" applyNumberFormat="1" applyFont="1" applyFill="1" applyAlignment="1">
      <alignment horizontal="left" vertical="center"/>
    </xf>
    <xf numFmtId="0" fontId="72" fillId="0" borderId="3" xfId="0" applyFont="1" applyBorder="1"/>
    <xf numFmtId="0" fontId="70" fillId="0" borderId="3" xfId="0" applyFont="1" applyBorder="1" applyAlignment="1">
      <alignment horizontal="center"/>
    </xf>
    <xf numFmtId="0" fontId="0" fillId="0" borderId="3" xfId="0" applyBorder="1" applyAlignment="1">
      <alignment horizontal="center"/>
    </xf>
    <xf numFmtId="165" fontId="117" fillId="3" borderId="0" xfId="26" applyNumberFormat="1" applyFont="1" applyFill="1" applyAlignment="1">
      <alignment horizontal="center"/>
    </xf>
    <xf numFmtId="0" fontId="84" fillId="3" borderId="0" xfId="26" applyFont="1" applyFill="1" applyAlignment="1">
      <alignment horizontal="center"/>
    </xf>
    <xf numFmtId="0" fontId="96" fillId="0" borderId="0" xfId="0" applyFont="1" applyAlignment="1">
      <alignment horizontal="center"/>
    </xf>
    <xf numFmtId="0" fontId="97" fillId="41" borderId="0" xfId="0" applyFont="1" applyFill="1"/>
    <xf numFmtId="0" fontId="84" fillId="41" borderId="0" xfId="0" applyFont="1" applyFill="1" applyAlignment="1">
      <alignment horizontal="center"/>
    </xf>
    <xf numFmtId="0" fontId="84" fillId="41" borderId="0" xfId="0" applyFont="1" applyFill="1"/>
    <xf numFmtId="0" fontId="96" fillId="41" borderId="0" xfId="134" applyFont="1" applyFill="1" applyAlignment="1">
      <alignment horizontal="center" vertical="center"/>
    </xf>
    <xf numFmtId="0" fontId="96" fillId="41" borderId="0" xfId="0" applyFont="1" applyFill="1" applyAlignment="1">
      <alignment horizontal="center"/>
    </xf>
    <xf numFmtId="0" fontId="96" fillId="41" borderId="0" xfId="134" applyFont="1" applyFill="1" applyAlignment="1">
      <alignment vertical="center"/>
    </xf>
    <xf numFmtId="0" fontId="117" fillId="41" borderId="0" xfId="134" applyFont="1" applyFill="1" applyAlignment="1">
      <alignment horizontal="center" vertical="center"/>
    </xf>
    <xf numFmtId="0" fontId="96" fillId="41" borderId="0" xfId="134" applyFont="1" applyFill="1" applyAlignment="1">
      <alignment horizontal="center"/>
    </xf>
    <xf numFmtId="0" fontId="70" fillId="41" borderId="0" xfId="0" applyFont="1" applyFill="1" applyAlignment="1">
      <alignment horizontal="center"/>
    </xf>
    <xf numFmtId="0" fontId="117" fillId="41" borderId="0" xfId="0" applyFont="1" applyFill="1" applyAlignment="1">
      <alignment horizontal="center"/>
    </xf>
    <xf numFmtId="0" fontId="116" fillId="41" borderId="0" xfId="134" applyFont="1" applyFill="1" applyAlignment="1">
      <alignment horizontal="center" vertical="center"/>
    </xf>
    <xf numFmtId="0" fontId="160" fillId="41" borderId="0" xfId="0" applyFont="1" applyFill="1" applyAlignment="1">
      <alignment horizontal="center"/>
    </xf>
    <xf numFmtId="0" fontId="117" fillId="41" borderId="0" xfId="0" applyFont="1" applyFill="1"/>
    <xf numFmtId="0" fontId="86" fillId="41" borderId="0" xfId="0" applyFont="1" applyFill="1" applyAlignment="1">
      <alignment wrapText="1"/>
    </xf>
    <xf numFmtId="0" fontId="116" fillId="41" borderId="0" xfId="0" applyFont="1" applyFill="1" applyAlignment="1">
      <alignment horizontal="center"/>
    </xf>
    <xf numFmtId="0" fontId="70" fillId="41" borderId="0" xfId="0" applyFont="1" applyFill="1"/>
    <xf numFmtId="0" fontId="84" fillId="41" borderId="0" xfId="0" applyFont="1" applyFill="1" applyAlignment="1">
      <alignment horizontal="center" wrapText="1"/>
    </xf>
    <xf numFmtId="0" fontId="86" fillId="41" borderId="0" xfId="0" applyFont="1" applyFill="1" applyAlignment="1">
      <alignment horizontal="center"/>
    </xf>
    <xf numFmtId="0" fontId="127" fillId="3" borderId="0" xfId="0" applyFont="1" applyFill="1" applyAlignment="1">
      <alignment horizontal="center"/>
    </xf>
    <xf numFmtId="0" fontId="161" fillId="3" borderId="0" xfId="0" applyFont="1" applyFill="1" applyAlignment="1">
      <alignment horizontal="center"/>
    </xf>
    <xf numFmtId="0" fontId="127" fillId="3" borderId="0" xfId="26" applyFont="1" applyFill="1" applyAlignment="1">
      <alignment horizontal="center"/>
    </xf>
    <xf numFmtId="0" fontId="97" fillId="2" borderId="0" xfId="0" applyFont="1" applyFill="1" applyAlignment="1">
      <alignment horizontal="left"/>
    </xf>
    <xf numFmtId="0" fontId="97" fillId="3" borderId="0" xfId="1457" applyFont="1" applyFill="1" applyAlignment="1">
      <alignment horizontal="left" vertical="center"/>
    </xf>
    <xf numFmtId="0" fontId="97" fillId="3" borderId="0" xfId="0" applyFont="1" applyFill="1" applyAlignment="1">
      <alignment horizontal="left"/>
    </xf>
    <xf numFmtId="0" fontId="97" fillId="3" borderId="0" xfId="26" applyFont="1" applyFill="1" applyAlignment="1">
      <alignment horizontal="left"/>
    </xf>
    <xf numFmtId="0" fontId="71" fillId="0" borderId="15" xfId="1" applyBorder="1" applyAlignment="1" applyProtection="1"/>
    <xf numFmtId="0" fontId="70" fillId="0" borderId="28" xfId="0" applyFont="1" applyBorder="1"/>
    <xf numFmtId="165" fontId="116" fillId="0" borderId="26" xfId="0" applyNumberFormat="1" applyFont="1" applyBorder="1" applyAlignment="1">
      <alignment horizontal="center" wrapText="1"/>
    </xf>
    <xf numFmtId="0" fontId="81" fillId="47" borderId="0" xfId="26" applyFont="1" applyFill="1" applyAlignment="1">
      <alignment vertical="center" wrapText="1"/>
    </xf>
    <xf numFmtId="1" fontId="125" fillId="3" borderId="0" xfId="26" applyNumberFormat="1" applyFont="1" applyFill="1" applyAlignment="1" applyProtection="1">
      <alignment horizontal="center"/>
      <protection hidden="1"/>
    </xf>
    <xf numFmtId="1" fontId="125" fillId="3" borderId="0" xfId="26" applyNumberFormat="1" applyFont="1" applyFill="1" applyAlignment="1">
      <alignment horizontal="center"/>
    </xf>
    <xf numFmtId="0" fontId="128" fillId="5" borderId="177" xfId="26" applyFont="1" applyFill="1" applyBorder="1" applyProtection="1">
      <protection hidden="1"/>
    </xf>
    <xf numFmtId="0" fontId="128" fillId="5" borderId="178" xfId="26" applyFont="1" applyFill="1" applyBorder="1" applyAlignment="1" applyProtection="1">
      <alignment horizontal="center"/>
      <protection hidden="1"/>
    </xf>
    <xf numFmtId="0" fontId="128" fillId="5" borderId="179" xfId="26" applyFont="1" applyFill="1" applyBorder="1" applyAlignment="1" applyProtection="1">
      <alignment horizontal="center"/>
      <protection hidden="1"/>
    </xf>
    <xf numFmtId="0" fontId="81" fillId="10" borderId="3" xfId="26" applyFont="1" applyFill="1" applyBorder="1" applyAlignment="1">
      <alignment vertical="center" wrapText="1"/>
    </xf>
    <xf numFmtId="0" fontId="190" fillId="8" borderId="3" xfId="649" applyFont="1" applyFill="1" applyBorder="1" applyAlignment="1" applyProtection="1">
      <alignment horizontal="center"/>
      <protection hidden="1"/>
    </xf>
    <xf numFmtId="0" fontId="176" fillId="8" borderId="3" xfId="649" applyFont="1" applyFill="1" applyBorder="1" applyAlignment="1" applyProtection="1">
      <alignment horizontal="center"/>
      <protection hidden="1"/>
    </xf>
    <xf numFmtId="1" fontId="191" fillId="3" borderId="0" xfId="26" applyNumberFormat="1" applyFont="1" applyFill="1" applyAlignment="1" applyProtection="1">
      <alignment horizontal="center"/>
      <protection hidden="1"/>
    </xf>
    <xf numFmtId="1" fontId="191" fillId="3" borderId="0" xfId="26" applyNumberFormat="1" applyFont="1" applyFill="1" applyAlignment="1">
      <alignment horizontal="center"/>
    </xf>
    <xf numFmtId="1" fontId="191" fillId="8" borderId="3" xfId="26" applyNumberFormat="1" applyFont="1" applyFill="1" applyBorder="1" applyAlignment="1" applyProtection="1">
      <alignment horizontal="center"/>
      <protection hidden="1"/>
    </xf>
    <xf numFmtId="1" fontId="191" fillId="8" borderId="3" xfId="26" applyNumberFormat="1" applyFont="1" applyFill="1" applyBorder="1" applyAlignment="1">
      <alignment horizontal="center"/>
    </xf>
    <xf numFmtId="0" fontId="97" fillId="3" borderId="23" xfId="0" applyFont="1" applyFill="1" applyBorder="1" applyAlignment="1">
      <alignment horizontal="center" wrapText="1"/>
    </xf>
    <xf numFmtId="0" fontId="173" fillId="3" borderId="12" xfId="26" applyFont="1" applyFill="1" applyBorder="1" applyAlignment="1">
      <alignment vertical="center"/>
    </xf>
    <xf numFmtId="0" fontId="78" fillId="3" borderId="13" xfId="15" applyFont="1" applyFill="1" applyBorder="1" applyAlignment="1">
      <alignment vertical="center"/>
    </xf>
    <xf numFmtId="0" fontId="70" fillId="3" borderId="13" xfId="26" applyFill="1" applyBorder="1"/>
    <xf numFmtId="0" fontId="70" fillId="3" borderId="14" xfId="26" applyFill="1" applyBorder="1"/>
    <xf numFmtId="0" fontId="173" fillId="3" borderId="27" xfId="26" applyFont="1" applyFill="1" applyBorder="1" applyAlignment="1">
      <alignment vertical="center"/>
    </xf>
    <xf numFmtId="0" fontId="70" fillId="3" borderId="0" xfId="705" applyFont="1" applyFill="1" applyAlignment="1">
      <alignment vertical="center"/>
    </xf>
    <xf numFmtId="165" fontId="72" fillId="3" borderId="0" xfId="26" applyNumberFormat="1" applyFont="1" applyFill="1" applyAlignment="1">
      <alignment horizontal="center"/>
    </xf>
    <xf numFmtId="0" fontId="128" fillId="3" borderId="0" xfId="26" applyFont="1" applyFill="1" applyAlignment="1">
      <alignment horizontal="center"/>
    </xf>
    <xf numFmtId="0" fontId="182" fillId="3" borderId="0" xfId="15" applyFont="1" applyFill="1" applyAlignment="1">
      <alignment vertical="top"/>
    </xf>
    <xf numFmtId="0" fontId="70" fillId="3" borderId="0" xfId="15" applyFill="1"/>
    <xf numFmtId="0" fontId="97" fillId="3" borderId="0" xfId="15" applyFont="1" applyFill="1"/>
    <xf numFmtId="0" fontId="187" fillId="3" borderId="0" xfId="15" applyFont="1" applyFill="1"/>
    <xf numFmtId="0" fontId="95" fillId="3" borderId="0" xfId="15" applyFont="1" applyFill="1"/>
    <xf numFmtId="0" fontId="96" fillId="3" borderId="0" xfId="15" applyFont="1" applyFill="1"/>
    <xf numFmtId="0" fontId="185" fillId="3" borderId="0" xfId="15" applyFont="1" applyFill="1"/>
    <xf numFmtId="0" fontId="97" fillId="3" borderId="0" xfId="15" applyFont="1" applyFill="1" applyAlignment="1">
      <alignment vertical="center"/>
    </xf>
    <xf numFmtId="0" fontId="192" fillId="3" borderId="0" xfId="15" applyFont="1" applyFill="1"/>
    <xf numFmtId="0" fontId="186" fillId="3" borderId="0" xfId="15" applyFont="1" applyFill="1"/>
    <xf numFmtId="0" fontId="134" fillId="3" borderId="0" xfId="705" applyFill="1" applyAlignment="1">
      <alignment vertical="center"/>
    </xf>
    <xf numFmtId="0" fontId="98" fillId="3" borderId="0" xfId="15" applyFont="1" applyFill="1"/>
    <xf numFmtId="0" fontId="72" fillId="3" borderId="0" xfId="15" applyFont="1" applyFill="1" applyAlignment="1">
      <alignment horizontal="center"/>
    </xf>
    <xf numFmtId="165" fontId="72" fillId="3" borderId="0" xfId="15" applyNumberFormat="1" applyFont="1" applyFill="1" applyAlignment="1">
      <alignment horizontal="center"/>
    </xf>
    <xf numFmtId="0" fontId="72" fillId="3" borderId="0" xfId="15" applyFont="1" applyFill="1" applyAlignment="1">
      <alignment wrapText="1"/>
    </xf>
    <xf numFmtId="0" fontId="86" fillId="3" borderId="0" xfId="26" applyFont="1" applyFill="1" applyAlignment="1">
      <alignment horizontal="center"/>
    </xf>
    <xf numFmtId="0" fontId="193" fillId="3" borderId="0" xfId="26" applyFont="1" applyFill="1"/>
    <xf numFmtId="0" fontId="193" fillId="3" borderId="0" xfId="26" applyFont="1" applyFill="1" applyAlignment="1">
      <alignment horizontal="left"/>
    </xf>
    <xf numFmtId="0" fontId="194" fillId="3" borderId="0" xfId="1" applyFont="1" applyFill="1" applyBorder="1" applyAlignment="1" applyProtection="1">
      <alignment horizontal="left"/>
    </xf>
    <xf numFmtId="0" fontId="193" fillId="3" borderId="0" xfId="0" applyFont="1" applyFill="1" applyAlignment="1">
      <alignment horizontal="left"/>
    </xf>
    <xf numFmtId="0" fontId="193" fillId="2" borderId="0" xfId="26" applyFont="1" applyFill="1" applyAlignment="1">
      <alignment horizontal="left"/>
    </xf>
    <xf numFmtId="0" fontId="92" fillId="0" borderId="5" xfId="26" applyFont="1" applyBorder="1"/>
    <xf numFmtId="0" fontId="195" fillId="0" borderId="3" xfId="0" applyFont="1" applyBorder="1"/>
    <xf numFmtId="0" fontId="92" fillId="0" borderId="7" xfId="26" applyFont="1" applyBorder="1"/>
    <xf numFmtId="0" fontId="140" fillId="0" borderId="7" xfId="26" applyFont="1" applyBorder="1"/>
    <xf numFmtId="0" fontId="70" fillId="0" borderId="7" xfId="26" applyBorder="1"/>
    <xf numFmtId="0" fontId="195" fillId="0" borderId="3" xfId="0" applyFont="1" applyBorder="1" applyAlignment="1">
      <alignment horizontal="center"/>
    </xf>
    <xf numFmtId="0" fontId="76" fillId="0" borderId="0" xfId="26" applyFont="1" applyAlignment="1">
      <alignment horizontal="center"/>
    </xf>
    <xf numFmtId="0" fontId="0" fillId="0" borderId="88" xfId="0" applyBorder="1"/>
    <xf numFmtId="0" fontId="70" fillId="0" borderId="3" xfId="26" applyBorder="1" applyAlignment="1">
      <alignment wrapText="1"/>
    </xf>
    <xf numFmtId="0" fontId="76" fillId="0" borderId="3" xfId="26" applyFont="1" applyBorder="1" applyAlignment="1">
      <alignment horizontal="center"/>
    </xf>
    <xf numFmtId="0" fontId="0" fillId="0" borderId="3" xfId="26" applyFont="1" applyBorder="1"/>
    <xf numFmtId="0" fontId="0" fillId="3" borderId="3" xfId="26" applyFont="1" applyFill="1" applyBorder="1" applyAlignment="1">
      <alignment horizontal="center"/>
    </xf>
    <xf numFmtId="165" fontId="97" fillId="0" borderId="180" xfId="0" applyNumberFormat="1" applyFont="1" applyBorder="1" applyAlignment="1">
      <alignment horizontal="center" wrapText="1"/>
    </xf>
    <xf numFmtId="0" fontId="116" fillId="0" borderId="181" xfId="26" applyFont="1" applyBorder="1" applyAlignment="1">
      <alignment horizontal="center"/>
    </xf>
    <xf numFmtId="0" fontId="116" fillId="0" borderId="182" xfId="26" applyFont="1" applyBorder="1" applyAlignment="1">
      <alignment horizontal="center"/>
    </xf>
    <xf numFmtId="0" fontId="116" fillId="0" borderId="183" xfId="26" applyFont="1" applyBorder="1" applyAlignment="1">
      <alignment horizontal="center"/>
    </xf>
    <xf numFmtId="0" fontId="116" fillId="0" borderId="184" xfId="26" applyFont="1" applyBorder="1" applyAlignment="1">
      <alignment horizontal="center"/>
    </xf>
    <xf numFmtId="165" fontId="116" fillId="0" borderId="184" xfId="26" applyNumberFormat="1" applyFont="1" applyBorder="1" applyAlignment="1">
      <alignment horizontal="center"/>
    </xf>
    <xf numFmtId="165" fontId="116" fillId="2" borderId="184" xfId="26" applyNumberFormat="1" applyFont="1" applyFill="1" applyBorder="1" applyAlignment="1">
      <alignment horizontal="center"/>
    </xf>
    <xf numFmtId="165" fontId="116" fillId="0" borderId="184" xfId="26" applyNumberFormat="1" applyFont="1" applyBorder="1" applyAlignment="1">
      <alignment horizontal="center" wrapText="1"/>
    </xf>
    <xf numFmtId="0" fontId="116" fillId="0" borderId="185" xfId="26" applyFont="1" applyBorder="1" applyAlignment="1">
      <alignment horizontal="center"/>
    </xf>
    <xf numFmtId="0" fontId="117" fillId="0" borderId="186" xfId="0" applyFont="1" applyBorder="1"/>
    <xf numFmtId="0" fontId="117" fillId="0" borderId="101" xfId="0" applyFont="1" applyBorder="1"/>
    <xf numFmtId="0" fontId="116" fillId="0" borderId="187" xfId="26" applyFont="1" applyBorder="1" applyAlignment="1">
      <alignment horizontal="center"/>
    </xf>
    <xf numFmtId="0" fontId="117" fillId="0" borderId="188" xfId="0" applyFont="1" applyBorder="1"/>
    <xf numFmtId="0" fontId="117" fillId="0" borderId="22" xfId="0" applyFont="1" applyBorder="1"/>
    <xf numFmtId="0" fontId="116" fillId="0" borderId="189" xfId="26" applyFont="1" applyBorder="1" applyAlignment="1">
      <alignment horizontal="center"/>
    </xf>
    <xf numFmtId="0" fontId="117" fillId="3" borderId="188" xfId="0" applyFont="1" applyFill="1" applyBorder="1"/>
    <xf numFmtId="0" fontId="117" fillId="3" borderId="22" xfId="0" applyFont="1" applyFill="1" applyBorder="1"/>
    <xf numFmtId="165" fontId="116" fillId="0" borderId="49" xfId="26" applyNumberFormat="1" applyFont="1" applyBorder="1" applyAlignment="1">
      <alignment horizontal="center"/>
    </xf>
    <xf numFmtId="165" fontId="116" fillId="0" borderId="49" xfId="26" applyNumberFormat="1" applyFont="1" applyBorder="1" applyAlignment="1">
      <alignment horizontal="center" wrapText="1"/>
    </xf>
    <xf numFmtId="0" fontId="116" fillId="0" borderId="0" xfId="0" applyFont="1" applyAlignment="1">
      <alignment horizontal="center" vertical="center" wrapText="1"/>
    </xf>
    <xf numFmtId="165" fontId="116" fillId="0" borderId="0" xfId="0" applyNumberFormat="1" applyFont="1" applyAlignment="1">
      <alignment horizontal="center" wrapText="1"/>
    </xf>
    <xf numFmtId="0" fontId="97" fillId="3" borderId="150" xfId="0" applyFont="1" applyFill="1" applyBorder="1" applyAlignment="1">
      <alignment vertical="center" wrapText="1"/>
    </xf>
    <xf numFmtId="0" fontId="78" fillId="3" borderId="0" xfId="0" applyFont="1" applyFill="1" applyAlignment="1">
      <alignment vertical="center"/>
    </xf>
    <xf numFmtId="0" fontId="97" fillId="3" borderId="0" xfId="0" applyFont="1" applyFill="1" applyAlignment="1">
      <alignment vertical="center" wrapText="1"/>
    </xf>
    <xf numFmtId="17" fontId="116" fillId="2" borderId="0" xfId="26" applyNumberFormat="1" applyFont="1" applyFill="1" applyAlignment="1">
      <alignment horizontal="center"/>
    </xf>
    <xf numFmtId="164" fontId="116" fillId="2" borderId="0" xfId="26" applyNumberFormat="1" applyFont="1" applyFill="1" applyAlignment="1">
      <alignment horizontal="center"/>
    </xf>
    <xf numFmtId="0" fontId="196" fillId="0" borderId="43" xfId="0" applyFont="1" applyBorder="1" applyAlignment="1">
      <alignment vertical="center"/>
    </xf>
    <xf numFmtId="0" fontId="168" fillId="0" borderId="0" xfId="26" applyFont="1"/>
    <xf numFmtId="17" fontId="169" fillId="2" borderId="0" xfId="26" applyNumberFormat="1" applyFont="1" applyFill="1" applyAlignment="1">
      <alignment horizontal="center"/>
    </xf>
    <xf numFmtId="164" fontId="72" fillId="2" borderId="0" xfId="26" applyNumberFormat="1" applyFont="1" applyFill="1" applyAlignment="1">
      <alignment horizontal="center"/>
    </xf>
    <xf numFmtId="0" fontId="75" fillId="2" borderId="0" xfId="26" applyFont="1" applyFill="1" applyAlignment="1">
      <alignment horizontal="left"/>
    </xf>
    <xf numFmtId="166" fontId="70" fillId="0" borderId="0" xfId="26" applyNumberFormat="1" applyAlignment="1">
      <alignment horizontal="center"/>
    </xf>
    <xf numFmtId="166" fontId="168" fillId="0" borderId="0" xfId="26" applyNumberFormat="1" applyFont="1" applyAlignment="1">
      <alignment horizontal="center"/>
    </xf>
    <xf numFmtId="0" fontId="97" fillId="0" borderId="53" xfId="0" applyFont="1" applyBorder="1" applyAlignment="1">
      <alignment horizontal="center" vertical="center" wrapText="1"/>
    </xf>
    <xf numFmtId="0" fontId="97" fillId="0" borderId="190" xfId="0" applyFont="1" applyBorder="1" applyAlignment="1">
      <alignment horizontal="center" vertical="center" wrapText="1"/>
    </xf>
    <xf numFmtId="165" fontId="97" fillId="0" borderId="191" xfId="0" applyNumberFormat="1" applyFont="1" applyBorder="1" applyAlignment="1">
      <alignment horizontal="center" wrapText="1"/>
    </xf>
    <xf numFmtId="165" fontId="97" fillId="0" borderId="3" xfId="0" applyNumberFormat="1" applyFont="1" applyBorder="1" applyAlignment="1">
      <alignment horizontal="center" wrapText="1"/>
    </xf>
    <xf numFmtId="0" fontId="97" fillId="0" borderId="192" xfId="0" applyFont="1" applyBorder="1" applyAlignment="1">
      <alignment horizontal="center" vertical="center" wrapText="1"/>
    </xf>
    <xf numFmtId="165" fontId="97" fillId="0" borderId="193" xfId="0" applyNumberFormat="1" applyFont="1" applyBorder="1" applyAlignment="1">
      <alignment horizontal="center" wrapText="1"/>
    </xf>
    <xf numFmtId="165" fontId="97" fillId="0" borderId="194" xfId="0" applyNumberFormat="1" applyFont="1" applyBorder="1" applyAlignment="1">
      <alignment horizontal="center" wrapText="1"/>
    </xf>
    <xf numFmtId="0" fontId="97" fillId="0" borderId="195" xfId="0" applyFont="1" applyBorder="1" applyAlignment="1">
      <alignment horizontal="center" wrapText="1"/>
    </xf>
    <xf numFmtId="0" fontId="97" fillId="0" borderId="196" xfId="0" applyFont="1" applyBorder="1" applyAlignment="1">
      <alignment horizontal="center" wrapText="1"/>
    </xf>
    <xf numFmtId="0" fontId="97" fillId="3" borderId="21" xfId="0" applyFont="1" applyFill="1" applyBorder="1" applyAlignment="1">
      <alignment horizontal="center" wrapText="1"/>
    </xf>
    <xf numFmtId="0" fontId="97" fillId="0" borderId="62" xfId="0" applyFont="1" applyBorder="1" applyAlignment="1">
      <alignment horizontal="center" wrapText="1"/>
    </xf>
    <xf numFmtId="0" fontId="97" fillId="0" borderId="85" xfId="0" applyFont="1" applyBorder="1" applyAlignment="1">
      <alignment horizontal="center" vertical="center" wrapText="1"/>
    </xf>
    <xf numFmtId="165" fontId="97" fillId="0" borderId="197" xfId="0" applyNumberFormat="1" applyFont="1" applyBorder="1" applyAlignment="1">
      <alignment horizontal="center" wrapText="1"/>
    </xf>
    <xf numFmtId="165" fontId="97" fillId="0" borderId="198" xfId="0" applyNumberFormat="1" applyFont="1" applyBorder="1" applyAlignment="1">
      <alignment horizontal="center" wrapText="1"/>
    </xf>
    <xf numFmtId="165" fontId="116" fillId="2" borderId="199" xfId="26" applyNumberFormat="1" applyFont="1" applyFill="1" applyBorder="1" applyAlignment="1">
      <alignment horizontal="center"/>
    </xf>
    <xf numFmtId="165" fontId="116" fillId="2" borderId="101" xfId="26" applyNumberFormat="1" applyFont="1" applyFill="1" applyBorder="1" applyAlignment="1">
      <alignment horizontal="center"/>
    </xf>
    <xf numFmtId="0" fontId="116" fillId="3" borderId="101" xfId="26" applyFont="1" applyFill="1" applyBorder="1" applyAlignment="1">
      <alignment horizontal="center"/>
    </xf>
    <xf numFmtId="0" fontId="116" fillId="3" borderId="200" xfId="26" applyFont="1" applyFill="1" applyBorder="1" applyAlignment="1">
      <alignment horizontal="center"/>
    </xf>
    <xf numFmtId="0" fontId="126" fillId="43" borderId="201" xfId="26" applyFont="1" applyFill="1" applyBorder="1" applyAlignment="1">
      <alignment horizontal="center"/>
    </xf>
    <xf numFmtId="0" fontId="126" fillId="43" borderId="41" xfId="26" applyFont="1" applyFill="1" applyBorder="1" applyAlignment="1">
      <alignment horizontal="center"/>
    </xf>
    <xf numFmtId="0" fontId="126" fillId="43" borderId="41" xfId="26" applyFont="1" applyFill="1" applyBorder="1" applyAlignment="1">
      <alignment horizontal="center" wrapText="1"/>
    </xf>
    <xf numFmtId="0" fontId="126" fillId="43" borderId="202" xfId="26" applyFont="1" applyFill="1" applyBorder="1" applyAlignment="1">
      <alignment horizontal="center"/>
    </xf>
    <xf numFmtId="165" fontId="116" fillId="2" borderId="18" xfId="26" applyNumberFormat="1" applyFont="1" applyFill="1" applyBorder="1" applyAlignment="1">
      <alignment horizontal="center"/>
    </xf>
    <xf numFmtId="165" fontId="116" fillId="2" borderId="19" xfId="26" applyNumberFormat="1" applyFont="1" applyFill="1" applyBorder="1" applyAlignment="1">
      <alignment horizontal="center"/>
    </xf>
    <xf numFmtId="0" fontId="116" fillId="3" borderId="19" xfId="26" applyFont="1" applyFill="1" applyBorder="1" applyAlignment="1">
      <alignment horizontal="center"/>
    </xf>
    <xf numFmtId="0" fontId="116" fillId="3" borderId="20" xfId="26" applyFont="1" applyFill="1" applyBorder="1" applyAlignment="1">
      <alignment horizontal="center"/>
    </xf>
    <xf numFmtId="0" fontId="72" fillId="0" borderId="0" xfId="0" applyFont="1" applyAlignment="1">
      <alignment horizontal="left" wrapText="1"/>
    </xf>
    <xf numFmtId="165" fontId="116" fillId="0" borderId="101" xfId="26" applyNumberFormat="1" applyFont="1" applyBorder="1" applyAlignment="1">
      <alignment horizontal="center" vertical="center"/>
    </xf>
    <xf numFmtId="165" fontId="116" fillId="0" borderId="22" xfId="26" applyNumberFormat="1" applyFont="1" applyBorder="1" applyAlignment="1">
      <alignment horizontal="center" vertical="center"/>
    </xf>
    <xf numFmtId="0" fontId="116" fillId="0" borderId="16" xfId="26" applyFont="1" applyBorder="1" applyAlignment="1">
      <alignment horizontal="center" wrapText="1"/>
    </xf>
    <xf numFmtId="167" fontId="116" fillId="0" borderId="16" xfId="26" applyNumberFormat="1" applyFont="1" applyBorder="1" applyAlignment="1">
      <alignment horizontal="center" wrapText="1"/>
    </xf>
    <xf numFmtId="0" fontId="182" fillId="0" borderId="167" xfId="26" applyFont="1" applyBorder="1" applyAlignment="1">
      <alignment horizontal="left" vertical="center" wrapText="1"/>
    </xf>
    <xf numFmtId="0" fontId="156" fillId="0" borderId="0" xfId="1483" applyFont="1" applyAlignment="1">
      <alignment horizontal="left"/>
    </xf>
    <xf numFmtId="165" fontId="183" fillId="0" borderId="204" xfId="3" applyNumberFormat="1" applyFont="1" applyBorder="1" applyAlignment="1">
      <alignment horizontal="center" vertical="center"/>
    </xf>
    <xf numFmtId="0" fontId="182" fillId="3" borderId="205" xfId="3" applyFont="1" applyFill="1" applyBorder="1" applyAlignment="1">
      <alignment horizontal="center" vertical="center"/>
    </xf>
    <xf numFmtId="165" fontId="183" fillId="0" borderId="53" xfId="3" applyNumberFormat="1" applyFont="1" applyBorder="1" applyAlignment="1">
      <alignment horizontal="center" vertical="center"/>
    </xf>
    <xf numFmtId="0" fontId="182" fillId="3" borderId="207" xfId="3" applyFont="1" applyFill="1" applyBorder="1" applyAlignment="1">
      <alignment horizontal="center" vertical="center"/>
    </xf>
    <xf numFmtId="1" fontId="182" fillId="0" borderId="208" xfId="3" applyNumberFormat="1" applyFont="1" applyBorder="1" applyAlignment="1">
      <alignment horizontal="center" vertical="center"/>
    </xf>
    <xf numFmtId="165" fontId="183" fillId="0" borderId="209" xfId="3" applyNumberFormat="1" applyFont="1" applyBorder="1" applyAlignment="1">
      <alignment horizontal="center" vertical="center"/>
    </xf>
    <xf numFmtId="0" fontId="182" fillId="0" borderId="210" xfId="3" applyFont="1" applyBorder="1" applyAlignment="1">
      <alignment horizontal="center" vertical="center"/>
    </xf>
    <xf numFmtId="0" fontId="97" fillId="0" borderId="0" xfId="1483" applyFont="1" applyAlignment="1">
      <alignment vertical="center"/>
    </xf>
    <xf numFmtId="0" fontId="157" fillId="0" borderId="0" xfId="1483" applyFont="1" applyAlignment="1">
      <alignment vertical="center"/>
    </xf>
    <xf numFmtId="0" fontId="158" fillId="0" borderId="0" xfId="1483" applyFont="1" applyAlignment="1">
      <alignment vertical="center"/>
    </xf>
    <xf numFmtId="0" fontId="97" fillId="3" borderId="0" xfId="1483" applyFont="1" applyFill="1"/>
    <xf numFmtId="0" fontId="97" fillId="0" borderId="0" xfId="1483" applyFont="1"/>
    <xf numFmtId="0" fontId="96" fillId="0" borderId="0" xfId="1483" applyFont="1"/>
    <xf numFmtId="0" fontId="185" fillId="3" borderId="0" xfId="26" applyFont="1" applyFill="1" applyAlignment="1">
      <alignment vertical="center" wrapText="1"/>
    </xf>
    <xf numFmtId="165" fontId="84" fillId="5" borderId="211" xfId="3" applyNumberFormat="1" applyFont="1" applyFill="1" applyBorder="1" applyAlignment="1">
      <alignment horizontal="center" vertical="center"/>
    </xf>
    <xf numFmtId="0" fontId="97" fillId="52" borderId="0" xfId="0" applyFont="1" applyFill="1" applyAlignment="1">
      <alignment horizontal="center" vertical="center" wrapText="1"/>
    </xf>
    <xf numFmtId="0" fontId="98" fillId="3" borderId="0" xfId="1" applyFont="1" applyFill="1" applyBorder="1" applyAlignment="1" applyProtection="1">
      <alignment horizontal="center"/>
    </xf>
    <xf numFmtId="0" fontId="96" fillId="3" borderId="149" xfId="0" applyFont="1" applyFill="1" applyBorder="1" applyAlignment="1">
      <alignment horizontal="center" vertical="center"/>
    </xf>
    <xf numFmtId="0" fontId="96" fillId="3" borderId="0" xfId="0" applyFont="1" applyFill="1" applyAlignment="1">
      <alignment horizontal="center" vertical="center"/>
    </xf>
    <xf numFmtId="0" fontId="96" fillId="3" borderId="150" xfId="0" applyFont="1" applyFill="1" applyBorder="1" applyAlignment="1">
      <alignment horizontal="center" vertical="center"/>
    </xf>
    <xf numFmtId="0" fontId="97" fillId="3" borderId="149" xfId="0" applyFont="1" applyFill="1" applyBorder="1" applyAlignment="1">
      <alignment horizontal="center" vertical="center"/>
    </xf>
    <xf numFmtId="0" fontId="97" fillId="3" borderId="0" xfId="0" applyFont="1" applyFill="1" applyAlignment="1">
      <alignment horizontal="center" vertical="center"/>
    </xf>
    <xf numFmtId="0" fontId="97" fillId="3" borderId="150" xfId="0" applyFont="1" applyFill="1" applyBorder="1" applyAlignment="1">
      <alignment horizontal="center" vertical="center"/>
    </xf>
    <xf numFmtId="0" fontId="84" fillId="3" borderId="149" xfId="0" applyFont="1" applyFill="1" applyBorder="1" applyAlignment="1">
      <alignment horizontal="center" vertical="center"/>
    </xf>
    <xf numFmtId="0" fontId="84" fillId="3" borderId="0" xfId="0" applyFont="1" applyFill="1" applyAlignment="1">
      <alignment horizontal="center" vertical="center"/>
    </xf>
    <xf numFmtId="0" fontId="84" fillId="3" borderId="150" xfId="0" applyFont="1" applyFill="1" applyBorder="1" applyAlignment="1">
      <alignment horizontal="center" vertical="center"/>
    </xf>
    <xf numFmtId="0" fontId="70" fillId="0" borderId="0" xfId="0" applyFont="1" applyAlignment="1">
      <alignment horizontal="center" vertical="center"/>
    </xf>
    <xf numFmtId="0" fontId="97" fillId="0" borderId="0" xfId="0" applyFont="1" applyAlignment="1">
      <alignment horizontal="center" vertical="center"/>
    </xf>
    <xf numFmtId="0" fontId="97" fillId="3" borderId="0" xfId="0" applyFont="1" applyFill="1" applyAlignment="1">
      <alignment horizontal="center" vertical="center" wrapText="1"/>
    </xf>
    <xf numFmtId="0" fontId="97" fillId="49" borderId="54" xfId="26" applyFont="1" applyFill="1" applyBorder="1" applyAlignment="1">
      <alignment horizontal="center"/>
    </xf>
    <xf numFmtId="0" fontId="97" fillId="49" borderId="55" xfId="26" applyFont="1" applyFill="1" applyBorder="1" applyAlignment="1">
      <alignment horizontal="center"/>
    </xf>
    <xf numFmtId="0" fontId="97" fillId="49" borderId="56" xfId="26" applyFont="1" applyFill="1" applyBorder="1" applyAlignment="1">
      <alignment horizontal="center"/>
    </xf>
    <xf numFmtId="0" fontId="84" fillId="3" borderId="151" xfId="0" applyFont="1" applyFill="1" applyBorder="1" applyAlignment="1">
      <alignment horizontal="center" vertical="center"/>
    </xf>
    <xf numFmtId="0" fontId="84" fillId="3" borderId="133" xfId="0" applyFont="1" applyFill="1" applyBorder="1" applyAlignment="1">
      <alignment horizontal="center" vertical="center"/>
    </xf>
    <xf numFmtId="0" fontId="84" fillId="3" borderId="152" xfId="0" applyFont="1" applyFill="1" applyBorder="1" applyAlignment="1">
      <alignment horizontal="center" vertical="center"/>
    </xf>
    <xf numFmtId="0" fontId="86" fillId="0" borderId="150" xfId="26" applyFont="1" applyBorder="1" applyAlignment="1">
      <alignment horizontal="center" wrapText="1"/>
    </xf>
    <xf numFmtId="0" fontId="84" fillId="0" borderId="0" xfId="0" applyFont="1" applyAlignment="1">
      <alignment horizontal="center"/>
    </xf>
    <xf numFmtId="0" fontId="116" fillId="49" borderId="0" xfId="26" applyFont="1" applyFill="1" applyAlignment="1">
      <alignment horizontal="center"/>
    </xf>
    <xf numFmtId="0" fontId="81" fillId="10" borderId="5" xfId="26" applyFont="1" applyFill="1" applyBorder="1" applyAlignment="1">
      <alignment horizontal="center" vertical="center" wrapText="1"/>
    </xf>
    <xf numFmtId="0" fontId="81" fillId="10" borderId="50" xfId="26" applyFont="1" applyFill="1" applyBorder="1" applyAlignment="1">
      <alignment horizontal="center" vertical="center" wrapText="1"/>
    </xf>
    <xf numFmtId="0" fontId="81" fillId="10" borderId="7" xfId="26" applyFont="1" applyFill="1" applyBorder="1" applyAlignment="1">
      <alignment horizontal="center" vertical="center" wrapText="1"/>
    </xf>
    <xf numFmtId="0" fontId="84" fillId="3" borderId="0" xfId="0" applyFont="1" applyFill="1" applyAlignment="1">
      <alignment horizontal="center" wrapText="1"/>
    </xf>
    <xf numFmtId="0" fontId="84" fillId="0" borderId="27" xfId="0" applyFont="1" applyBorder="1" applyAlignment="1">
      <alignment horizontal="center"/>
    </xf>
    <xf numFmtId="0" fontId="84" fillId="0" borderId="28" xfId="0" applyFont="1" applyBorder="1" applyAlignment="1">
      <alignment horizontal="center"/>
    </xf>
    <xf numFmtId="0" fontId="97" fillId="0" borderId="13" xfId="26" applyFont="1" applyBorder="1" applyAlignment="1">
      <alignment horizontal="center" wrapText="1"/>
    </xf>
    <xf numFmtId="0" fontId="97" fillId="0" borderId="0" xfId="26" applyFont="1" applyAlignment="1">
      <alignment horizontal="center" wrapText="1"/>
    </xf>
    <xf numFmtId="0" fontId="97" fillId="52" borderId="27" xfId="0" applyFont="1" applyFill="1" applyBorder="1" applyAlignment="1">
      <alignment horizontal="center" vertical="center"/>
    </xf>
    <xf numFmtId="0" fontId="97" fillId="52" borderId="0" xfId="0" applyFont="1" applyFill="1" applyAlignment="1">
      <alignment horizontal="center" vertical="center"/>
    </xf>
    <xf numFmtId="0" fontId="97" fillId="52" borderId="28" xfId="0" applyFont="1" applyFill="1" applyBorder="1" applyAlignment="1">
      <alignment horizontal="center" vertical="center"/>
    </xf>
    <xf numFmtId="0" fontId="84" fillId="3" borderId="27" xfId="0" applyFont="1" applyFill="1" applyBorder="1" applyAlignment="1">
      <alignment horizontal="center" vertical="center"/>
    </xf>
    <xf numFmtId="0" fontId="84" fillId="3" borderId="28" xfId="0" applyFont="1" applyFill="1" applyBorder="1" applyAlignment="1">
      <alignment horizontal="center" vertical="center"/>
    </xf>
    <xf numFmtId="0" fontId="70" fillId="3" borderId="15" xfId="26" applyFill="1" applyBorder="1" applyAlignment="1">
      <alignment horizontal="center"/>
    </xf>
    <xf numFmtId="0" fontId="70" fillId="3" borderId="16" xfId="26" applyFill="1" applyBorder="1" applyAlignment="1">
      <alignment horizontal="center"/>
    </xf>
    <xf numFmtId="0" fontId="70" fillId="3" borderId="17" xfId="26" applyFill="1" applyBorder="1" applyAlignment="1">
      <alignment horizontal="center"/>
    </xf>
    <xf numFmtId="0" fontId="116" fillId="49" borderId="99" xfId="26" applyFont="1" applyFill="1" applyBorder="1" applyAlignment="1">
      <alignment horizontal="center"/>
    </xf>
    <xf numFmtId="0" fontId="116" fillId="49" borderId="100" xfId="26" applyFont="1" applyFill="1" applyBorder="1" applyAlignment="1">
      <alignment horizontal="center"/>
    </xf>
    <xf numFmtId="0" fontId="116" fillId="49" borderId="13" xfId="26" applyFont="1" applyFill="1" applyBorder="1" applyAlignment="1">
      <alignment horizontal="center"/>
    </xf>
    <xf numFmtId="0" fontId="116" fillId="49" borderId="14" xfId="26" applyFont="1" applyFill="1" applyBorder="1" applyAlignment="1">
      <alignment horizontal="center"/>
    </xf>
    <xf numFmtId="0" fontId="72" fillId="0" borderId="0" xfId="0" applyFont="1" applyAlignment="1">
      <alignment horizontal="left" wrapText="1"/>
    </xf>
    <xf numFmtId="0" fontId="81" fillId="10" borderId="155" xfId="26" applyFont="1" applyFill="1" applyBorder="1" applyAlignment="1">
      <alignment horizontal="center" vertical="center" wrapText="1"/>
    </xf>
    <xf numFmtId="0" fontId="81" fillId="10" borderId="156" xfId="26" applyFont="1" applyFill="1" applyBorder="1" applyAlignment="1">
      <alignment horizontal="center" vertical="center" wrapText="1"/>
    </xf>
    <xf numFmtId="0" fontId="81" fillId="10" borderId="157" xfId="26" applyFont="1" applyFill="1" applyBorder="1" applyAlignment="1">
      <alignment horizontal="center" vertical="center" wrapText="1"/>
    </xf>
    <xf numFmtId="0" fontId="70" fillId="3" borderId="13" xfId="26" applyFill="1" applyBorder="1" applyAlignment="1">
      <alignment horizontal="center"/>
    </xf>
    <xf numFmtId="0" fontId="70" fillId="3" borderId="14" xfId="26" applyFill="1" applyBorder="1" applyAlignment="1">
      <alignment horizontal="center"/>
    </xf>
    <xf numFmtId="0" fontId="116" fillId="49" borderId="102" xfId="26" applyFont="1" applyFill="1" applyBorder="1" applyAlignment="1">
      <alignment horizontal="center"/>
    </xf>
    <xf numFmtId="0" fontId="116" fillId="49" borderId="103" xfId="26" applyFont="1" applyFill="1" applyBorder="1" applyAlignment="1">
      <alignment horizontal="center"/>
    </xf>
    <xf numFmtId="0" fontId="116" fillId="49" borderId="104" xfId="26" applyFont="1" applyFill="1" applyBorder="1" applyAlignment="1">
      <alignment horizontal="center"/>
    </xf>
    <xf numFmtId="0" fontId="116" fillId="52" borderId="27" xfId="0" applyFont="1" applyFill="1" applyBorder="1" applyAlignment="1">
      <alignment horizontal="center" vertical="center"/>
    </xf>
    <xf numFmtId="0" fontId="116" fillId="52" borderId="0" xfId="0" applyFont="1" applyFill="1" applyAlignment="1">
      <alignment horizontal="center" vertical="center"/>
    </xf>
    <xf numFmtId="0" fontId="116" fillId="52" borderId="28" xfId="0" applyFont="1" applyFill="1" applyBorder="1" applyAlignment="1">
      <alignment horizontal="center" vertical="center"/>
    </xf>
    <xf numFmtId="0" fontId="84" fillId="0" borderId="96" xfId="0" applyFont="1" applyBorder="1" applyAlignment="1">
      <alignment horizontal="center"/>
    </xf>
    <xf numFmtId="0" fontId="84" fillId="0" borderId="94" xfId="0" applyFont="1" applyBorder="1" applyAlignment="1">
      <alignment horizontal="center"/>
    </xf>
    <xf numFmtId="0" fontId="116" fillId="52" borderId="96" xfId="0" applyFont="1" applyFill="1" applyBorder="1" applyAlignment="1">
      <alignment horizontal="center" vertical="center"/>
    </xf>
    <xf numFmtId="0" fontId="116" fillId="52" borderId="94" xfId="0" applyFont="1" applyFill="1" applyBorder="1" applyAlignment="1">
      <alignment horizontal="center" vertical="center"/>
    </xf>
    <xf numFmtId="0" fontId="84" fillId="3" borderId="96" xfId="0" applyFont="1" applyFill="1" applyBorder="1" applyAlignment="1">
      <alignment horizontal="center" vertical="center"/>
    </xf>
    <xf numFmtId="0" fontId="84" fillId="3" borderId="94" xfId="0" applyFont="1" applyFill="1" applyBorder="1" applyAlignment="1">
      <alignment horizontal="center" vertical="center"/>
    </xf>
    <xf numFmtId="0" fontId="96" fillId="0" borderId="90" xfId="26" applyFont="1" applyBorder="1" applyAlignment="1">
      <alignment horizontal="center"/>
    </xf>
    <xf numFmtId="0" fontId="96" fillId="0" borderId="91" xfId="26" applyFont="1" applyBorder="1" applyAlignment="1">
      <alignment horizontal="center"/>
    </xf>
    <xf numFmtId="0" fontId="116" fillId="49" borderId="124" xfId="26" applyFont="1" applyFill="1" applyBorder="1" applyAlignment="1">
      <alignment horizontal="center"/>
    </xf>
    <xf numFmtId="0" fontId="116" fillId="49" borderId="125" xfId="26" applyFont="1" applyFill="1" applyBorder="1" applyAlignment="1">
      <alignment horizontal="center"/>
    </xf>
    <xf numFmtId="0" fontId="96" fillId="3" borderId="11" xfId="26" applyFont="1" applyFill="1" applyBorder="1" applyAlignment="1">
      <alignment horizontal="center"/>
    </xf>
    <xf numFmtId="0" fontId="117" fillId="0" borderId="0" xfId="26" applyFont="1" applyAlignment="1">
      <alignment horizontal="center" wrapText="1"/>
    </xf>
    <xf numFmtId="0" fontId="71" fillId="0" borderId="0" xfId="1" applyAlignment="1" applyProtection="1">
      <alignment horizontal="left" vertical="center"/>
    </xf>
    <xf numFmtId="0" fontId="116" fillId="49" borderId="41" xfId="26" applyFont="1" applyFill="1" applyBorder="1" applyAlignment="1">
      <alignment horizontal="center"/>
    </xf>
    <xf numFmtId="0" fontId="116" fillId="49" borderId="42" xfId="26" applyFont="1" applyFill="1" applyBorder="1" applyAlignment="1">
      <alignment horizontal="center"/>
    </xf>
    <xf numFmtId="0" fontId="84" fillId="0" borderId="46" xfId="0" applyFont="1" applyBorder="1" applyAlignment="1">
      <alignment horizontal="center"/>
    </xf>
    <xf numFmtId="0" fontId="71" fillId="3" borderId="0" xfId="1" applyFill="1" applyAlignment="1" applyProtection="1">
      <alignment horizontal="left" vertical="center"/>
    </xf>
    <xf numFmtId="0" fontId="84" fillId="0" borderId="27" xfId="26" applyFont="1" applyBorder="1" applyAlignment="1">
      <alignment horizontal="center"/>
    </xf>
    <xf numFmtId="0" fontId="84" fillId="0" borderId="0" xfId="26" applyFont="1" applyAlignment="1">
      <alignment horizontal="center"/>
    </xf>
    <xf numFmtId="0" fontId="84" fillId="0" borderId="28" xfId="26" applyFont="1" applyBorder="1" applyAlignment="1">
      <alignment horizontal="center"/>
    </xf>
    <xf numFmtId="0" fontId="116" fillId="52" borderId="27" xfId="26" applyFont="1" applyFill="1" applyBorder="1" applyAlignment="1">
      <alignment horizontal="center" vertical="center"/>
    </xf>
    <xf numFmtId="0" fontId="116" fillId="52" borderId="0" xfId="26" applyFont="1" applyFill="1" applyAlignment="1">
      <alignment horizontal="center" vertical="center"/>
    </xf>
    <xf numFmtId="0" fontId="116" fillId="52" borderId="28" xfId="26" applyFont="1" applyFill="1" applyBorder="1" applyAlignment="1">
      <alignment horizontal="center" vertical="center"/>
    </xf>
    <xf numFmtId="0" fontId="116" fillId="49" borderId="58" xfId="26" applyFont="1" applyFill="1" applyBorder="1" applyAlignment="1">
      <alignment horizontal="center"/>
    </xf>
    <xf numFmtId="0" fontId="116" fillId="49" borderId="59" xfId="26" applyFont="1" applyFill="1" applyBorder="1" applyAlignment="1">
      <alignment horizontal="center"/>
    </xf>
    <xf numFmtId="0" fontId="116" fillId="49" borderId="15" xfId="26" applyFont="1" applyFill="1" applyBorder="1" applyAlignment="1">
      <alignment horizontal="center"/>
    </xf>
    <xf numFmtId="0" fontId="116" fillId="49" borderId="16" xfId="26" applyFont="1" applyFill="1" applyBorder="1" applyAlignment="1">
      <alignment horizontal="center"/>
    </xf>
    <xf numFmtId="0" fontId="116" fillId="49" borderId="17" xfId="26" applyFont="1" applyFill="1" applyBorder="1" applyAlignment="1">
      <alignment horizontal="center"/>
    </xf>
    <xf numFmtId="0" fontId="182" fillId="0" borderId="165" xfId="26" applyFont="1" applyBorder="1" applyAlignment="1">
      <alignment horizontal="left" vertical="center" wrapText="1"/>
    </xf>
    <xf numFmtId="0" fontId="182" fillId="0" borderId="63" xfId="26" applyFont="1" applyBorder="1" applyAlignment="1">
      <alignment horizontal="left" vertical="center" wrapText="1"/>
    </xf>
    <xf numFmtId="165" fontId="182" fillId="0" borderId="166" xfId="3" applyNumberFormat="1" applyFont="1" applyBorder="1" applyAlignment="1">
      <alignment horizontal="left" vertical="center"/>
    </xf>
    <xf numFmtId="165" fontId="182" fillId="0" borderId="167" xfId="3" applyNumberFormat="1" applyFont="1" applyBorder="1" applyAlignment="1">
      <alignment horizontal="left" vertical="center"/>
    </xf>
    <xf numFmtId="165" fontId="182" fillId="0" borderId="166" xfId="3" applyNumberFormat="1" applyFont="1" applyBorder="1" applyAlignment="1">
      <alignment horizontal="center" vertical="center"/>
    </xf>
    <xf numFmtId="165" fontId="182" fillId="0" borderId="167" xfId="3" applyNumberFormat="1" applyFont="1" applyBorder="1" applyAlignment="1">
      <alignment horizontal="center" vertical="center"/>
    </xf>
    <xf numFmtId="0" fontId="84" fillId="0" borderId="0" xfId="1483" applyFont="1" applyAlignment="1">
      <alignment vertical="center"/>
    </xf>
    <xf numFmtId="0" fontId="86" fillId="47" borderId="0" xfId="26" applyFont="1" applyFill="1" applyAlignment="1">
      <alignment horizontal="left" vertical="center"/>
    </xf>
    <xf numFmtId="0" fontId="182" fillId="0" borderId="166" xfId="26" applyFont="1" applyBorder="1" applyAlignment="1">
      <alignment horizontal="left" vertical="center" wrapText="1"/>
    </xf>
    <xf numFmtId="0" fontId="182" fillId="0" borderId="29" xfId="26" applyFont="1" applyBorder="1" applyAlignment="1">
      <alignment horizontal="left" vertical="center" wrapText="1"/>
    </xf>
    <xf numFmtId="1" fontId="182" fillId="0" borderId="166" xfId="3" applyNumberFormat="1" applyFont="1" applyBorder="1" applyAlignment="1">
      <alignment horizontal="center" vertical="center"/>
    </xf>
    <xf numFmtId="1" fontId="182" fillId="0" borderId="29" xfId="3" applyNumberFormat="1" applyFont="1" applyBorder="1" applyAlignment="1">
      <alignment horizontal="center" vertical="center"/>
    </xf>
    <xf numFmtId="0" fontId="126" fillId="43" borderId="158" xfId="26" applyFont="1" applyFill="1" applyBorder="1" applyAlignment="1">
      <alignment horizontal="center" vertical="center" wrapText="1"/>
    </xf>
    <xf numFmtId="0" fontId="126" fillId="43" borderId="175" xfId="26" applyFont="1" applyFill="1" applyBorder="1" applyAlignment="1">
      <alignment horizontal="center" vertical="center" wrapText="1"/>
    </xf>
    <xf numFmtId="0" fontId="126" fillId="43" borderId="57" xfId="26" applyFont="1" applyFill="1" applyBorder="1" applyAlignment="1">
      <alignment horizontal="center" vertical="center" wrapText="1"/>
    </xf>
    <xf numFmtId="0" fontId="126" fillId="43" borderId="58" xfId="26" applyFont="1" applyFill="1" applyBorder="1" applyAlignment="1">
      <alignment horizontal="center" vertical="center" wrapText="1"/>
    </xf>
    <xf numFmtId="0" fontId="97" fillId="0" borderId="0" xfId="1483" applyFont="1" applyAlignment="1">
      <alignment vertical="center"/>
    </xf>
    <xf numFmtId="0" fontId="182" fillId="0" borderId="165" xfId="26" applyFont="1" applyBorder="1" applyAlignment="1">
      <alignment horizontal="left" vertical="center"/>
    </xf>
    <xf numFmtId="0" fontId="182" fillId="0" borderId="63" xfId="26" applyFont="1" applyBorder="1" applyAlignment="1">
      <alignment horizontal="left" vertical="center"/>
    </xf>
    <xf numFmtId="0" fontId="182" fillId="0" borderId="167" xfId="26" applyFont="1" applyBorder="1" applyAlignment="1">
      <alignment horizontal="left" vertical="center" wrapText="1"/>
    </xf>
    <xf numFmtId="0" fontId="78" fillId="3" borderId="0" xfId="15" applyFont="1" applyFill="1" applyAlignment="1">
      <alignment horizontal="center" vertical="center"/>
    </xf>
    <xf numFmtId="0" fontId="126" fillId="43" borderId="12" xfId="26" applyFont="1" applyFill="1" applyBorder="1" applyAlignment="1">
      <alignment horizontal="center" vertical="center" wrapText="1"/>
    </xf>
    <xf numFmtId="0" fontId="126" fillId="43" borderId="13" xfId="26" applyFont="1" applyFill="1" applyBorder="1" applyAlignment="1">
      <alignment horizontal="center" vertical="center" wrapText="1"/>
    </xf>
    <xf numFmtId="0" fontId="126" fillId="43" borderId="14" xfId="26" applyFont="1" applyFill="1" applyBorder="1" applyAlignment="1">
      <alignment horizontal="center" vertical="center" wrapText="1"/>
    </xf>
    <xf numFmtId="0" fontId="126" fillId="43" borderId="15" xfId="26" applyFont="1" applyFill="1" applyBorder="1" applyAlignment="1">
      <alignment horizontal="center" vertical="center" wrapText="1"/>
    </xf>
    <xf numFmtId="0" fontId="126" fillId="43" borderId="16" xfId="26" applyFont="1" applyFill="1" applyBorder="1" applyAlignment="1">
      <alignment horizontal="center" vertical="center" wrapText="1"/>
    </xf>
    <xf numFmtId="0" fontId="126" fillId="43" borderId="17" xfId="26" applyFont="1" applyFill="1" applyBorder="1" applyAlignment="1">
      <alignment horizontal="center" vertical="center" wrapText="1"/>
    </xf>
    <xf numFmtId="0" fontId="179" fillId="3" borderId="0" xfId="15" applyFont="1" applyFill="1" applyAlignment="1">
      <alignment horizontal="center" vertical="center"/>
    </xf>
    <xf numFmtId="0" fontId="181" fillId="42" borderId="27" xfId="26" applyFont="1" applyFill="1" applyBorder="1" applyAlignment="1">
      <alignment horizontal="center"/>
    </xf>
    <xf numFmtId="0" fontId="181" fillId="42" borderId="0" xfId="26" applyFont="1" applyFill="1" applyAlignment="1">
      <alignment horizontal="center"/>
    </xf>
    <xf numFmtId="0" fontId="181" fillId="42" borderId="28" xfId="26" applyFont="1" applyFill="1" applyBorder="1" applyAlignment="1">
      <alignment horizontal="center"/>
    </xf>
    <xf numFmtId="0" fontId="86" fillId="3" borderId="12" xfId="3" applyFont="1" applyFill="1" applyBorder="1" applyAlignment="1">
      <alignment horizontal="left"/>
    </xf>
    <xf numFmtId="0" fontId="86" fillId="3" borderId="13" xfId="3" applyFont="1" applyFill="1" applyBorder="1" applyAlignment="1">
      <alignment horizontal="left"/>
    </xf>
    <xf numFmtId="0" fontId="84" fillId="47" borderId="12" xfId="26" applyFont="1" applyFill="1" applyBorder="1" applyAlignment="1">
      <alignment horizontal="center" vertical="center" wrapText="1"/>
    </xf>
    <xf numFmtId="0" fontId="84" fillId="47" borderId="13" xfId="26" applyFont="1" applyFill="1" applyBorder="1" applyAlignment="1">
      <alignment horizontal="center" vertical="center" wrapText="1"/>
    </xf>
    <xf numFmtId="0" fontId="182" fillId="0" borderId="166" xfId="26" applyFont="1" applyBorder="1" applyAlignment="1">
      <alignment horizontal="center" vertical="center" wrapText="1"/>
    </xf>
    <xf numFmtId="0" fontId="182" fillId="0" borderId="167" xfId="26" applyFont="1" applyBorder="1" applyAlignment="1">
      <alignment horizontal="center" vertical="center" wrapText="1"/>
    </xf>
    <xf numFmtId="0" fontId="84" fillId="47" borderId="27" xfId="26" applyFont="1" applyFill="1" applyBorder="1" applyAlignment="1">
      <alignment horizontal="left" vertical="center" wrapText="1"/>
    </xf>
    <xf numFmtId="0" fontId="156" fillId="0" borderId="0" xfId="1483" applyFont="1" applyAlignment="1">
      <alignment horizontal="left"/>
    </xf>
    <xf numFmtId="0" fontId="84" fillId="47" borderId="73" xfId="26" applyFont="1" applyFill="1" applyBorder="1" applyAlignment="1">
      <alignment horizontal="center" vertical="center" wrapText="1"/>
    </xf>
    <xf numFmtId="0" fontId="84" fillId="47" borderId="68" xfId="26" applyFont="1" applyFill="1" applyBorder="1" applyAlignment="1">
      <alignment horizontal="center" vertical="center" wrapText="1"/>
    </xf>
    <xf numFmtId="0" fontId="182" fillId="0" borderId="203" xfId="26" applyFont="1" applyBorder="1" applyAlignment="1">
      <alignment horizontal="left" vertical="center" wrapText="1"/>
    </xf>
    <xf numFmtId="0" fontId="182" fillId="0" borderId="206" xfId="26" applyFont="1" applyBorder="1" applyAlignment="1">
      <alignment horizontal="left" vertical="center" wrapText="1"/>
    </xf>
    <xf numFmtId="1" fontId="182" fillId="0" borderId="167" xfId="3" applyNumberFormat="1" applyFont="1" applyBorder="1" applyAlignment="1">
      <alignment horizontal="center" vertical="center"/>
    </xf>
    <xf numFmtId="0" fontId="182" fillId="0" borderId="165" xfId="26" applyFont="1" applyBorder="1" applyAlignment="1">
      <alignment vertical="center" wrapText="1"/>
    </xf>
    <xf numFmtId="0" fontId="182" fillId="0" borderId="63" xfId="26" applyFont="1" applyBorder="1" applyAlignment="1">
      <alignment vertical="center" wrapText="1"/>
    </xf>
    <xf numFmtId="0" fontId="125" fillId="3" borderId="0" xfId="26" applyFont="1" applyFill="1" applyAlignment="1">
      <alignment horizontal="center" wrapText="1"/>
    </xf>
    <xf numFmtId="0" fontId="177" fillId="0" borderId="0" xfId="15" applyFont="1" applyAlignment="1">
      <alignment horizontal="left" vertical="top" wrapText="1"/>
    </xf>
    <xf numFmtId="0" fontId="116" fillId="2" borderId="0" xfId="26" applyFont="1" applyFill="1" applyAlignment="1">
      <alignment horizontal="center"/>
    </xf>
    <xf numFmtId="0" fontId="84" fillId="3" borderId="27" xfId="26" applyFont="1" applyFill="1" applyBorder="1" applyAlignment="1">
      <alignment horizontal="center"/>
    </xf>
    <xf numFmtId="0" fontId="84" fillId="3" borderId="0" xfId="26" applyFont="1" applyFill="1" applyAlignment="1">
      <alignment horizontal="center"/>
    </xf>
    <xf numFmtId="0" fontId="84" fillId="3" borderId="28" xfId="26" applyFont="1" applyFill="1" applyBorder="1" applyAlignment="1">
      <alignment horizontal="center"/>
    </xf>
    <xf numFmtId="0" fontId="116" fillId="3" borderId="27" xfId="3" applyFont="1" applyFill="1" applyBorder="1" applyAlignment="1">
      <alignment horizontal="center"/>
    </xf>
    <xf numFmtId="0" fontId="116" fillId="3" borderId="0" xfId="3" applyFont="1" applyFill="1" applyAlignment="1">
      <alignment horizontal="center"/>
    </xf>
    <xf numFmtId="0" fontId="116" fillId="3" borderId="28" xfId="3" applyFont="1" applyFill="1" applyBorder="1" applyAlignment="1">
      <alignment horizontal="center"/>
    </xf>
    <xf numFmtId="0" fontId="97" fillId="4" borderId="27" xfId="26" applyFont="1" applyFill="1" applyBorder="1" applyAlignment="1">
      <alignment horizontal="center" vertical="center"/>
    </xf>
    <xf numFmtId="0" fontId="97" fillId="4" borderId="0" xfId="26" applyFont="1" applyFill="1" applyAlignment="1">
      <alignment horizontal="center" vertical="center"/>
    </xf>
    <xf numFmtId="0" fontId="97" fillId="4" borderId="28" xfId="26" applyFont="1" applyFill="1" applyBorder="1" applyAlignment="1">
      <alignment horizontal="center" vertical="center"/>
    </xf>
    <xf numFmtId="0" fontId="84" fillId="3" borderId="27" xfId="26" applyFont="1" applyFill="1" applyBorder="1" applyAlignment="1">
      <alignment horizontal="center" vertical="center"/>
    </xf>
    <xf numFmtId="0" fontId="84" fillId="3" borderId="0" xfId="26" applyFont="1" applyFill="1" applyAlignment="1">
      <alignment horizontal="center" vertical="center"/>
    </xf>
    <xf numFmtId="0" fontId="84" fillId="3" borderId="28" xfId="26" applyFont="1" applyFill="1" applyBorder="1" applyAlignment="1">
      <alignment horizontal="center" vertical="center"/>
    </xf>
    <xf numFmtId="0" fontId="171" fillId="2" borderId="0" xfId="26" applyFont="1" applyFill="1" applyAlignment="1">
      <alignment horizontal="center"/>
    </xf>
    <xf numFmtId="0" fontId="116" fillId="2" borderId="0" xfId="26" applyFont="1" applyFill="1" applyAlignment="1">
      <alignment horizontal="center" wrapText="1"/>
    </xf>
    <xf numFmtId="0" fontId="84" fillId="2" borderId="0" xfId="26" applyFont="1" applyFill="1" applyAlignment="1">
      <alignment horizontal="center" wrapText="1"/>
    </xf>
    <xf numFmtId="0" fontId="116" fillId="3" borderId="0" xfId="26" applyFont="1" applyFill="1" applyAlignment="1">
      <alignment horizontal="center" vertical="center"/>
    </xf>
    <xf numFmtId="49" fontId="147" fillId="49" borderId="57" xfId="3" applyNumberFormat="1" applyFont="1" applyFill="1" applyBorder="1" applyAlignment="1">
      <alignment horizontal="center"/>
    </xf>
    <xf numFmtId="49" fontId="147" fillId="49" borderId="59" xfId="3" applyNumberFormat="1" applyFont="1" applyFill="1" applyBorder="1" applyAlignment="1">
      <alignment horizontal="center"/>
    </xf>
    <xf numFmtId="49" fontId="147" fillId="49" borderId="78" xfId="3" applyNumberFormat="1" applyFont="1" applyFill="1" applyBorder="1" applyAlignment="1">
      <alignment horizontal="center" wrapText="1"/>
    </xf>
    <xf numFmtId="0" fontId="117" fillId="3" borderId="0" xfId="26" applyFont="1" applyFill="1" applyAlignment="1">
      <alignment horizontal="left" vertical="center" wrapText="1"/>
    </xf>
    <xf numFmtId="0" fontId="84" fillId="0" borderId="53" xfId="26" applyFont="1" applyBorder="1" applyAlignment="1">
      <alignment horizontal="center" vertical="center" wrapText="1"/>
    </xf>
    <xf numFmtId="0" fontId="84" fillId="0" borderId="83" xfId="26" applyFont="1" applyBorder="1" applyAlignment="1">
      <alignment horizontal="center" vertical="center" wrapText="1"/>
    </xf>
    <xf numFmtId="0" fontId="84" fillId="0" borderId="77" xfId="26" applyFont="1" applyBorder="1" applyAlignment="1">
      <alignment horizontal="center" vertical="center" wrapText="1"/>
    </xf>
    <xf numFmtId="49" fontId="174" fillId="49" borderId="159" xfId="3" applyNumberFormat="1" applyFont="1" applyFill="1" applyBorder="1" applyAlignment="1">
      <alignment horizontal="center"/>
    </xf>
    <xf numFmtId="49" fontId="174" fillId="49" borderId="160" xfId="3" applyNumberFormat="1" applyFont="1" applyFill="1" applyBorder="1" applyAlignment="1">
      <alignment horizontal="center"/>
    </xf>
    <xf numFmtId="49" fontId="174" fillId="49" borderId="161" xfId="3" applyNumberFormat="1" applyFont="1" applyFill="1" applyBorder="1" applyAlignment="1">
      <alignment horizontal="center"/>
    </xf>
    <xf numFmtId="49" fontId="174" fillId="49" borderId="102" xfId="3" applyNumberFormat="1" applyFont="1" applyFill="1" applyBorder="1" applyAlignment="1">
      <alignment horizontal="center" wrapText="1"/>
    </xf>
    <xf numFmtId="49" fontId="174" fillId="49" borderId="103" xfId="3" applyNumberFormat="1" applyFont="1" applyFill="1" applyBorder="1" applyAlignment="1">
      <alignment horizontal="center" wrapText="1"/>
    </xf>
    <xf numFmtId="49" fontId="174" fillId="49" borderId="104" xfId="3" applyNumberFormat="1" applyFont="1" applyFill="1" applyBorder="1" applyAlignment="1">
      <alignment horizontal="center" wrapText="1"/>
    </xf>
    <xf numFmtId="0" fontId="116" fillId="49" borderId="57" xfId="26" applyFont="1" applyFill="1" applyBorder="1" applyAlignment="1">
      <alignment horizontal="center"/>
    </xf>
    <xf numFmtId="0" fontId="126" fillId="3" borderId="0" xfId="26" applyFont="1" applyFill="1" applyAlignment="1">
      <alignment horizontal="center"/>
    </xf>
    <xf numFmtId="0" fontId="97" fillId="3" borderId="11" xfId="0" applyFont="1" applyFill="1" applyBorder="1" applyAlignment="1">
      <alignment horizontal="center"/>
    </xf>
    <xf numFmtId="0" fontId="70" fillId="0" borderId="43" xfId="26" applyBorder="1" applyAlignment="1">
      <alignment horizontal="center" vertical="top" wrapText="1"/>
    </xf>
    <xf numFmtId="0" fontId="70" fillId="0" borderId="0" xfId="26" applyAlignment="1">
      <alignment horizontal="center" vertical="top" wrapText="1"/>
    </xf>
    <xf numFmtId="0" fontId="70" fillId="0" borderId="44" xfId="26" applyBorder="1" applyAlignment="1">
      <alignment horizontal="center" vertical="top" wrapText="1"/>
    </xf>
    <xf numFmtId="0" fontId="70" fillId="0" borderId="45" xfId="26" applyBorder="1" applyAlignment="1">
      <alignment horizontal="center" vertical="top" wrapText="1"/>
    </xf>
    <xf numFmtId="0" fontId="70" fillId="0" borderId="46" xfId="26" applyBorder="1" applyAlignment="1">
      <alignment horizontal="center" vertical="top" wrapText="1"/>
    </xf>
    <xf numFmtId="0" fontId="70" fillId="0" borderId="47" xfId="26" applyBorder="1" applyAlignment="1">
      <alignment horizontal="center" vertical="top" wrapText="1"/>
    </xf>
    <xf numFmtId="0" fontId="97" fillId="0" borderId="0" xfId="0" applyFont="1" applyAlignment="1">
      <alignment horizontal="center" wrapText="1"/>
    </xf>
    <xf numFmtId="0" fontId="97" fillId="2" borderId="0" xfId="0" applyFont="1" applyFill="1" applyAlignment="1">
      <alignment horizontal="center"/>
    </xf>
    <xf numFmtId="0" fontId="116" fillId="0" borderId="40" xfId="26" applyFont="1" applyBorder="1" applyAlignment="1">
      <alignment horizontal="center"/>
    </xf>
    <xf numFmtId="0" fontId="116" fillId="0" borderId="41" xfId="26" applyFont="1" applyBorder="1" applyAlignment="1">
      <alignment horizontal="center"/>
    </xf>
    <xf numFmtId="0" fontId="116" fillId="0" borderId="42" xfId="26" applyFont="1" applyBorder="1" applyAlignment="1">
      <alignment horizontal="center"/>
    </xf>
    <xf numFmtId="0" fontId="116" fillId="2" borderId="43" xfId="26" applyFont="1" applyFill="1" applyBorder="1" applyAlignment="1">
      <alignment horizontal="center"/>
    </xf>
    <xf numFmtId="0" fontId="116" fillId="2" borderId="44" xfId="26" applyFont="1" applyFill="1" applyBorder="1" applyAlignment="1">
      <alignment horizontal="center"/>
    </xf>
    <xf numFmtId="0" fontId="72" fillId="0" borderId="0" xfId="26" applyFont="1" applyAlignment="1">
      <alignment horizontal="center" wrapText="1"/>
    </xf>
    <xf numFmtId="0" fontId="141" fillId="3" borderId="0" xfId="0" applyFont="1" applyFill="1" applyAlignment="1">
      <alignment horizontal="center"/>
    </xf>
  </cellXfs>
  <cellStyles count="1485">
    <cellStyle name="20% - Accent1" xfId="673" builtinId="30" customBuiltin="1"/>
    <cellStyle name="20% - Accent1 2" xfId="1340" xr:uid="{82CFA80E-F92B-41B1-B957-6F543D4717CF}"/>
    <cellStyle name="20% - Accent1 2 2" xfId="1408" xr:uid="{83F3E019-492F-4AF8-978A-9769AB8AFA1C}"/>
    <cellStyle name="20% - Accent1 3" xfId="1426" xr:uid="{365350C5-751A-4877-944A-394B96D2DEFE}"/>
    <cellStyle name="20% - Accent1 4" xfId="1379" xr:uid="{40A58283-4813-47F0-ADD5-D53514FA7ABE}"/>
    <cellStyle name="20% - Accent1 5" xfId="1464" xr:uid="{F6F1BF25-C91E-4423-8753-8B2DA0ACD88C}"/>
    <cellStyle name="20% - Accent2" xfId="677" builtinId="34" customBuiltin="1"/>
    <cellStyle name="20% - Accent2 2" xfId="1342" xr:uid="{ED5BD861-E891-49E1-B14B-9DC1575DE7A3}"/>
    <cellStyle name="20% - Accent2 2 2" xfId="1410" xr:uid="{9CD3394F-7F35-4B2B-BBBB-22E7604B3E73}"/>
    <cellStyle name="20% - Accent2 3" xfId="1429" xr:uid="{431D9459-B36A-4292-825B-54BEDE45ECBC}"/>
    <cellStyle name="20% - Accent2 4" xfId="1381" xr:uid="{9115CA3B-A6AE-4207-A147-CA1F3AC79BE6}"/>
    <cellStyle name="20% - Accent2 5" xfId="1467" xr:uid="{1D51796D-E8E7-4B9B-B6A3-C519E3D3D7D2}"/>
    <cellStyle name="20% - Accent3" xfId="681" builtinId="38" customBuiltin="1"/>
    <cellStyle name="20% - Accent3 2" xfId="1344" xr:uid="{C9CB776A-EC12-4663-8DEE-777DD11DBAF9}"/>
    <cellStyle name="20% - Accent3 2 2" xfId="1412" xr:uid="{5A0822B7-5B59-4428-8F31-EC37EDB9F113}"/>
    <cellStyle name="20% - Accent3 3" xfId="1432" xr:uid="{86628BD2-1911-4B1A-9380-A9E154A6F1FA}"/>
    <cellStyle name="20% - Accent3 4" xfId="1383" xr:uid="{2A5EFC5A-DF69-432E-AACA-A6D806117544}"/>
    <cellStyle name="20% - Accent3 5" xfId="1470" xr:uid="{D5B5B098-842E-434D-8366-314B42EF2B9D}"/>
    <cellStyle name="20% - Accent4" xfId="685" builtinId="42" customBuiltin="1"/>
    <cellStyle name="20% - Accent4 2" xfId="1346" xr:uid="{527BEAA5-707A-43DE-B280-1B9DA91BE9BC}"/>
    <cellStyle name="20% - Accent4 2 2" xfId="1414" xr:uid="{BDA6598B-4298-41EC-84BF-24DA5A9E3841}"/>
    <cellStyle name="20% - Accent4 3" xfId="1435" xr:uid="{881CBB56-FE19-4189-AFFE-FAD65AC9434A}"/>
    <cellStyle name="20% - Accent4 4" xfId="1385" xr:uid="{CD456EDA-8F9D-4787-AF43-8941A1862E4C}"/>
    <cellStyle name="20% - Accent4 5" xfId="1473" xr:uid="{468D3EA5-0C4B-40A6-8796-7EFDAF16EACE}"/>
    <cellStyle name="20% - Accent5" xfId="689" builtinId="46" customBuiltin="1"/>
    <cellStyle name="20% - Accent5 2" xfId="1348" xr:uid="{7BA02F4E-A331-4FA8-A6A5-323EE8FBE83D}"/>
    <cellStyle name="20% - Accent5 2 2" xfId="1416" xr:uid="{B3D45A5C-F6A5-47A4-890F-8A7C7890FCFD}"/>
    <cellStyle name="20% - Accent5 3" xfId="1438" xr:uid="{2711D2EA-2597-4C27-971E-ACCD82C8EB8D}"/>
    <cellStyle name="20% - Accent5 4" xfId="1387" xr:uid="{72C9F434-96FC-42BA-A709-7C79BD4D4A61}"/>
    <cellStyle name="20% - Accent5 5" xfId="1476" xr:uid="{54F563D1-9504-49E2-AAE0-2E4EC752AB79}"/>
    <cellStyle name="20% - Accent6" xfId="693" builtinId="50" customBuiltin="1"/>
    <cellStyle name="20% - Accent6 2" xfId="1350" xr:uid="{126FF2EC-5BF3-4430-9B1C-93769A58C9F5}"/>
    <cellStyle name="20% - Accent6 2 2" xfId="1418" xr:uid="{B0B38660-E868-4994-8970-66726E4C8B7E}"/>
    <cellStyle name="20% - Accent6 3" xfId="1441" xr:uid="{940F71CD-7ADC-4DC2-86B8-9C4807A0A6B1}"/>
    <cellStyle name="20% - Accent6 4" xfId="1389" xr:uid="{0A921A31-3FF4-4EB6-A2F8-1D2928551B28}"/>
    <cellStyle name="20% - Accent6 5" xfId="1479" xr:uid="{3025713C-0BE2-40F4-9F81-B6CE524DE6DB}"/>
    <cellStyle name="40% - Accent1" xfId="674" builtinId="31" customBuiltin="1"/>
    <cellStyle name="40% - Accent1 2" xfId="1341" xr:uid="{B85B6CA8-8995-4A67-997E-E01944C31C44}"/>
    <cellStyle name="40% - Accent1 2 2" xfId="1409" xr:uid="{F2B9102C-FE75-4BF4-A30A-8CD1D96A8D4F}"/>
    <cellStyle name="40% - Accent1 3" xfId="1427" xr:uid="{5DC6D760-8750-40CB-BA4D-7BA8FED0B485}"/>
    <cellStyle name="40% - Accent1 4" xfId="1380" xr:uid="{2D2D46CB-BDCF-47CE-A39F-B4E5E04497D6}"/>
    <cellStyle name="40% - Accent1 5" xfId="1465" xr:uid="{5BB706C8-9F55-467C-A911-BFF231EC251C}"/>
    <cellStyle name="40% - Accent2" xfId="678" builtinId="35" customBuiltin="1"/>
    <cellStyle name="40% - Accent2 2" xfId="1343" xr:uid="{D1E1150E-5E14-4C40-AA02-5661C73EF57E}"/>
    <cellStyle name="40% - Accent2 2 2" xfId="1411" xr:uid="{A8CD361C-0F1F-4261-83C8-838C04305CE0}"/>
    <cellStyle name="40% - Accent2 3" xfId="1430" xr:uid="{08D167DA-FB08-482D-ACEC-86FFE626F717}"/>
    <cellStyle name="40% - Accent2 4" xfId="1382" xr:uid="{510B52BB-9079-49A3-BAC9-E65535570DE7}"/>
    <cellStyle name="40% - Accent2 5" xfId="1468" xr:uid="{605D0DA8-EC73-4BAF-932D-BC52CB9175A1}"/>
    <cellStyle name="40% - Accent3" xfId="682" builtinId="39" customBuiltin="1"/>
    <cellStyle name="40% - Accent3 2" xfId="1345" xr:uid="{ADC4F9CC-B8F7-4FCB-BB82-23EC4CFA553C}"/>
    <cellStyle name="40% - Accent3 2 2" xfId="1413" xr:uid="{93011263-1B8E-49E3-9F2B-8CC4A8C002CF}"/>
    <cellStyle name="40% - Accent3 3" xfId="1433" xr:uid="{4FE203B4-35D4-4395-B17B-11B8CAF3A6AA}"/>
    <cellStyle name="40% - Accent3 4" xfId="1384" xr:uid="{929505D2-C928-406B-B813-107A3E1301D0}"/>
    <cellStyle name="40% - Accent3 5" xfId="1471" xr:uid="{E71333A8-BEF1-4AC6-B296-D0FCAD96E845}"/>
    <cellStyle name="40% - Accent4" xfId="686" builtinId="43" customBuiltin="1"/>
    <cellStyle name="40% - Accent4 2" xfId="1347" xr:uid="{47FF4D90-2903-48F7-A05C-6C58FCD84E85}"/>
    <cellStyle name="40% - Accent4 2 2" xfId="1415" xr:uid="{E9ED784E-8966-4905-9FD3-A81688CEF8B6}"/>
    <cellStyle name="40% - Accent4 3" xfId="1436" xr:uid="{D508B93A-BD01-4DC7-8120-4BE197AE33C6}"/>
    <cellStyle name="40% - Accent4 4" xfId="1386" xr:uid="{67ECE83F-0F2A-4DDE-8646-8657536EF442}"/>
    <cellStyle name="40% - Accent4 5" xfId="1474" xr:uid="{25E1154C-98A6-4017-9AC7-08901EE5989C}"/>
    <cellStyle name="40% - Accent5" xfId="690" builtinId="47" customBuiltin="1"/>
    <cellStyle name="40% - Accent5 2" xfId="1349" xr:uid="{71B1A9BE-4329-4EEB-96F1-D8004CDBB1AB}"/>
    <cellStyle name="40% - Accent5 2 2" xfId="1417" xr:uid="{C324E105-1EB8-4718-A6E1-3A5652FF2B22}"/>
    <cellStyle name="40% - Accent5 3" xfId="1439" xr:uid="{AFA7E0AF-2523-45EF-A963-2ACBD3C20EB4}"/>
    <cellStyle name="40% - Accent5 4" xfId="1388" xr:uid="{728E9FB7-4BB1-476C-BA11-7DC48B2CF4BC}"/>
    <cellStyle name="40% - Accent5 5" xfId="1477" xr:uid="{ACA60867-6C20-49C9-A840-89360976A3D7}"/>
    <cellStyle name="40% - Accent6" xfId="694" builtinId="51" customBuiltin="1"/>
    <cellStyle name="40% - Accent6 2" xfId="1351" xr:uid="{E1EF17DB-2610-4D03-8035-DB83AB1B3C83}"/>
    <cellStyle name="40% - Accent6 2 2" xfId="1419" xr:uid="{00C58FB3-61A6-4445-BDBA-5EC04EE47179}"/>
    <cellStyle name="40% - Accent6 3" xfId="1442" xr:uid="{DDD7B8D2-B58F-4D37-8348-998904DD986E}"/>
    <cellStyle name="40% - Accent6 4" xfId="1390" xr:uid="{3B044C25-578B-4347-8AAE-CAB6A655914D}"/>
    <cellStyle name="40% - Accent6 5" xfId="1480" xr:uid="{699AE0CE-01B0-48F5-8D44-F32BB83415B7}"/>
    <cellStyle name="60% - Accent1" xfId="675" builtinId="32" customBuiltin="1"/>
    <cellStyle name="60% - Accent1 2" xfId="1428" xr:uid="{C0291C9F-6CF2-475E-B6D1-1739DBF938B4}"/>
    <cellStyle name="60% - Accent1 3" xfId="1466" xr:uid="{538A687F-CF61-43E0-A5ED-8074B84CC794}"/>
    <cellStyle name="60% - Accent2" xfId="679" builtinId="36" customBuiltin="1"/>
    <cellStyle name="60% - Accent2 2" xfId="1431" xr:uid="{23B990FC-4D85-41B2-82B2-2A47EF443CCB}"/>
    <cellStyle name="60% - Accent2 3" xfId="1469" xr:uid="{4A4577EC-D934-4BEC-B6A1-74C5F35F5EE0}"/>
    <cellStyle name="60% - Accent3" xfId="683" builtinId="40" customBuiltin="1"/>
    <cellStyle name="60% - Accent3 2" xfId="1434" xr:uid="{5C5E32B4-94F4-4460-B59D-284237AFAC72}"/>
    <cellStyle name="60% - Accent3 3" xfId="1472" xr:uid="{06526493-5813-45FC-8892-7184541A9785}"/>
    <cellStyle name="60% - Accent4" xfId="687" builtinId="44" customBuiltin="1"/>
    <cellStyle name="60% - Accent4 2" xfId="1437" xr:uid="{A78C923B-1091-41F3-8B02-385E8DB40671}"/>
    <cellStyle name="60% - Accent4 3" xfId="1475" xr:uid="{FA00EE49-AED1-4D7C-8E27-F8C94CAB27E2}"/>
    <cellStyle name="60% - Accent5" xfId="691" builtinId="48" customBuiltin="1"/>
    <cellStyle name="60% - Accent5 2" xfId="1440" xr:uid="{1856E01D-9BF4-433F-840E-F4EDD4F16C7B}"/>
    <cellStyle name="60% - Accent5 3" xfId="1478" xr:uid="{D55AE46A-542B-43DF-ACBD-B67D6E0E66AF}"/>
    <cellStyle name="60% - Accent6" xfId="695" builtinId="52" customBuiltin="1"/>
    <cellStyle name="60% - Accent6 2" xfId="1443" xr:uid="{A42ADE6B-ACF2-4E1D-9221-58F8D9887673}"/>
    <cellStyle name="60% - Accent6 3" xfId="1481" xr:uid="{8CF805C0-D828-463C-8F73-56587824020D}"/>
    <cellStyle name="Accent1" xfId="672" builtinId="29" customBuiltin="1"/>
    <cellStyle name="Accent2" xfId="676" builtinId="33" customBuiltin="1"/>
    <cellStyle name="Accent3" xfId="680" builtinId="37" customBuiltin="1"/>
    <cellStyle name="Accent4" xfId="684" builtinId="41" customBuiltin="1"/>
    <cellStyle name="Accent5" xfId="688" builtinId="45" customBuiltin="1"/>
    <cellStyle name="Accent6" xfId="692" builtinId="49" customBuiltin="1"/>
    <cellStyle name="Bad" xfId="662" builtinId="27" customBuiltin="1"/>
    <cellStyle name="Calculation" xfId="666" builtinId="22" customBuiltin="1"/>
    <cellStyle name="Check Cell" xfId="668" builtinId="23" customBuiltin="1"/>
    <cellStyle name="Currency 2" xfId="175" xr:uid="{00000000-0005-0000-0000-00001A000000}"/>
    <cellStyle name="Explanatory Text" xfId="670" builtinId="53" customBuiltin="1"/>
    <cellStyle name="Followed Hyperlink 2" xfId="177" xr:uid="{00000000-0005-0000-0000-00001E000000}"/>
    <cellStyle name="Followed Hyperlink 3" xfId="699" xr:uid="{00000000-0005-0000-0000-00001F000000}"/>
    <cellStyle name="Good" xfId="661" builtinId="26" customBuiltin="1"/>
    <cellStyle name="Heading 1" xfId="657" builtinId="16" customBuiltin="1"/>
    <cellStyle name="Heading 2" xfId="658" builtinId="17" customBuiltin="1"/>
    <cellStyle name="Heading 3" xfId="659" builtinId="18" customBuiltin="1"/>
    <cellStyle name="Heading 4" xfId="660" builtinId="19" customBuiltin="1"/>
    <cellStyle name="Hyperlink" xfId="1" builtinId="8"/>
    <cellStyle name="Hyperlink 2" xfId="178" xr:uid="{00000000-0005-0000-0000-000022000000}"/>
    <cellStyle name="Hyperlink 3" xfId="698" xr:uid="{00000000-0005-0000-0000-000023000000}"/>
    <cellStyle name="Hyperlink 4" xfId="705" xr:uid="{00000000-0005-0000-0000-000024000000}"/>
    <cellStyle name="Input" xfId="664" builtinId="20" customBuiltin="1"/>
    <cellStyle name="Linked Cell" xfId="667" builtinId="24" customBuiltin="1"/>
    <cellStyle name="Neutral" xfId="663" builtinId="28" customBuiltin="1"/>
    <cellStyle name="Neutral 2" xfId="1424" xr:uid="{6357ED90-C460-45D1-B83C-53D891FE1838}"/>
    <cellStyle name="Normal" xfId="0" builtinId="0"/>
    <cellStyle name="Normal 10" xfId="26" xr:uid="{00000000-0005-0000-0000-000026000000}"/>
    <cellStyle name="Normal 11" xfId="25" xr:uid="{00000000-0005-0000-0000-000027000000}"/>
    <cellStyle name="Normal 11 2" xfId="64" xr:uid="{00000000-0005-0000-0000-000028000000}"/>
    <cellStyle name="Normal 11 2 2" xfId="146" xr:uid="{00000000-0005-0000-0000-000029000000}"/>
    <cellStyle name="Normal 11 2 2 2" xfId="179" xr:uid="{00000000-0005-0000-0000-00002A000000}"/>
    <cellStyle name="Normal 11 2 2 2 2" xfId="491" xr:uid="{00000000-0005-0000-0000-00002B000000}"/>
    <cellStyle name="Normal 11 2 2 2 2 2" xfId="1179" xr:uid="{EBCCB7F0-DB0C-4F24-8CC4-EA0D23492A63}"/>
    <cellStyle name="Normal 11 2 2 2 3" xfId="869" xr:uid="{4EBCE121-2146-4A91-A7DD-9A32AD45F66E}"/>
    <cellStyle name="Normal 11 2 2 3" xfId="461" xr:uid="{00000000-0005-0000-0000-00002C000000}"/>
    <cellStyle name="Normal 11 2 2 3 2" xfId="1149" xr:uid="{637940CC-968D-4EAE-89A9-87C134C92EF3}"/>
    <cellStyle name="Normal 11 2 2 4" xfId="841" xr:uid="{6EAA1636-86E0-4071-ADC0-2DDC371F1B32}"/>
    <cellStyle name="Normal 11 2 3" xfId="180" xr:uid="{00000000-0005-0000-0000-00002D000000}"/>
    <cellStyle name="Normal 11 2 3 2" xfId="492" xr:uid="{00000000-0005-0000-0000-00002E000000}"/>
    <cellStyle name="Normal 11 2 3 2 2" xfId="1180" xr:uid="{3DC83ED2-04C0-457D-B870-050AA7189722}"/>
    <cellStyle name="Normal 11 2 3 3" xfId="870" xr:uid="{5A134A3F-8A89-4DC8-86FF-12AB2BF43D9D}"/>
    <cellStyle name="Normal 11 2 4" xfId="387" xr:uid="{00000000-0005-0000-0000-00002F000000}"/>
    <cellStyle name="Normal 11 2 4 2" xfId="1075" xr:uid="{B004F6A3-C095-435B-9995-7641F0B00D1E}"/>
    <cellStyle name="Normal 11 2 5" xfId="761" xr:uid="{1D98E399-0AEF-4ECB-AE3E-FAF809C2C0E9}"/>
    <cellStyle name="Normal 11 3" xfId="109" xr:uid="{00000000-0005-0000-0000-000030000000}"/>
    <cellStyle name="Normal 11 3 2" xfId="181" xr:uid="{00000000-0005-0000-0000-000031000000}"/>
    <cellStyle name="Normal 11 3 2 2" xfId="493" xr:uid="{00000000-0005-0000-0000-000032000000}"/>
    <cellStyle name="Normal 11 3 2 2 2" xfId="1181" xr:uid="{F1A6BFE5-475E-4F56-B32A-098AED9D65CD}"/>
    <cellStyle name="Normal 11 3 2 3" xfId="871" xr:uid="{27A2E6AB-91B1-4E02-B30F-12C3538C4DEA}"/>
    <cellStyle name="Normal 11 3 3" xfId="428" xr:uid="{00000000-0005-0000-0000-000033000000}"/>
    <cellStyle name="Normal 11 3 3 2" xfId="1116" xr:uid="{0B698F89-2DD6-4414-82CC-665AE9C8E04F}"/>
    <cellStyle name="Normal 11 3 4" xfId="804" xr:uid="{0CEA6FA7-04BD-4CF1-9E78-9D640B1FC8BB}"/>
    <cellStyle name="Normal 11 4" xfId="182" xr:uid="{00000000-0005-0000-0000-000034000000}"/>
    <cellStyle name="Normal 11 4 2" xfId="494" xr:uid="{00000000-0005-0000-0000-000035000000}"/>
    <cellStyle name="Normal 11 4 2 2" xfId="1182" xr:uid="{8C8D916E-E5B8-48A6-B5AA-39B5CAC79D2C}"/>
    <cellStyle name="Normal 11 4 3" xfId="872" xr:uid="{15A9C638-71C1-4367-8E40-7738C9A00DCB}"/>
    <cellStyle name="Normal 11 5" xfId="354" xr:uid="{00000000-0005-0000-0000-000036000000}"/>
    <cellStyle name="Normal 11 5 2" xfId="1042" xr:uid="{0B9E2D52-14C9-4A49-ACA8-C841E4C641C9}"/>
    <cellStyle name="Normal 11 6" xfId="724" xr:uid="{BF832C43-214B-484E-8D51-C81CC1145BC0}"/>
    <cellStyle name="Normal 12" xfId="42" xr:uid="{00000000-0005-0000-0000-000037000000}"/>
    <cellStyle name="Normal 12 2" xfId="80" xr:uid="{00000000-0005-0000-0000-000038000000}"/>
    <cellStyle name="Normal 12 2 2" xfId="162" xr:uid="{00000000-0005-0000-0000-000039000000}"/>
    <cellStyle name="Normal 12 2 2 2" xfId="183" xr:uid="{00000000-0005-0000-0000-00003A000000}"/>
    <cellStyle name="Normal 12 2 2 2 2" xfId="495" xr:uid="{00000000-0005-0000-0000-00003B000000}"/>
    <cellStyle name="Normal 12 2 2 2 2 2" xfId="1183" xr:uid="{CE264A17-7E5C-420B-83E8-DD8C6348262E}"/>
    <cellStyle name="Normal 12 2 2 2 3" xfId="873" xr:uid="{6D2A05C1-8A73-4DBD-B129-65C835A94E74}"/>
    <cellStyle name="Normal 12 2 2 3" xfId="477" xr:uid="{00000000-0005-0000-0000-00003C000000}"/>
    <cellStyle name="Normal 12 2 2 3 2" xfId="1165" xr:uid="{7E086871-0403-4A99-8A9B-0CA05E88699E}"/>
    <cellStyle name="Normal 12 2 2 4" xfId="857" xr:uid="{6AE5C706-2522-413F-91D2-B0D4162DD199}"/>
    <cellStyle name="Normal 12 2 3" xfId="184" xr:uid="{00000000-0005-0000-0000-00003D000000}"/>
    <cellStyle name="Normal 12 2 3 2" xfId="496" xr:uid="{00000000-0005-0000-0000-00003E000000}"/>
    <cellStyle name="Normal 12 2 3 2 2" xfId="1184" xr:uid="{B7FAB17A-B4D0-4875-B342-57C2F71D2957}"/>
    <cellStyle name="Normal 12 2 3 3" xfId="874" xr:uid="{D6A99C57-41A9-43F8-8BC9-A15D5EDC8957}"/>
    <cellStyle name="Normal 12 2 4" xfId="403" xr:uid="{00000000-0005-0000-0000-00003F000000}"/>
    <cellStyle name="Normal 12 2 4 2" xfId="1091" xr:uid="{0B654A78-1C0E-4D5E-8CF1-64FE86A98F38}"/>
    <cellStyle name="Normal 12 2 5" xfId="777" xr:uid="{A5E14123-2EDD-4381-8077-F7666B5026B7}"/>
    <cellStyle name="Normal 12 3" xfId="125" xr:uid="{00000000-0005-0000-0000-000040000000}"/>
    <cellStyle name="Normal 12 3 2" xfId="185" xr:uid="{00000000-0005-0000-0000-000041000000}"/>
    <cellStyle name="Normal 12 3 2 2" xfId="497" xr:uid="{00000000-0005-0000-0000-000042000000}"/>
    <cellStyle name="Normal 12 3 2 2 2" xfId="1185" xr:uid="{2FF1E895-2D63-4D55-B454-A8390730C0A9}"/>
    <cellStyle name="Normal 12 3 2 3" xfId="875" xr:uid="{42DE1004-9276-4991-83EF-2C90A21777F8}"/>
    <cellStyle name="Normal 12 3 3" xfId="444" xr:uid="{00000000-0005-0000-0000-000043000000}"/>
    <cellStyle name="Normal 12 3 3 2" xfId="1132" xr:uid="{62F9CE77-2D32-4FA3-92C4-71F3BD0521D0}"/>
    <cellStyle name="Normal 12 3 4" xfId="820" xr:uid="{2A79B3FB-F967-459D-8F13-4BA0A7E1178F}"/>
    <cellStyle name="Normal 12 4" xfId="186" xr:uid="{00000000-0005-0000-0000-000044000000}"/>
    <cellStyle name="Normal 12 4 2" xfId="498" xr:uid="{00000000-0005-0000-0000-000045000000}"/>
    <cellStyle name="Normal 12 4 2 2" xfId="1186" xr:uid="{63E5C618-9AE7-403D-B9F5-CCE9E28BB158}"/>
    <cellStyle name="Normal 12 4 3" xfId="876" xr:uid="{DAB2B5B0-388F-4E6F-B231-240521CF1DC2}"/>
    <cellStyle name="Normal 12 5" xfId="370" xr:uid="{00000000-0005-0000-0000-000046000000}"/>
    <cellStyle name="Normal 12 5 2" xfId="1058" xr:uid="{598DB4FD-C959-400B-95B8-9DA1CB5D1579}"/>
    <cellStyle name="Normal 12 6" xfId="740" xr:uid="{28C224CD-8DFA-472E-9668-B453DBFE465E}"/>
    <cellStyle name="Normal 13" xfId="43" xr:uid="{00000000-0005-0000-0000-000047000000}"/>
    <cellStyle name="Normal 13 2" xfId="81" xr:uid="{00000000-0005-0000-0000-000048000000}"/>
    <cellStyle name="Normal 13 2 2" xfId="163" xr:uid="{00000000-0005-0000-0000-000049000000}"/>
    <cellStyle name="Normal 13 2 2 2" xfId="187" xr:uid="{00000000-0005-0000-0000-00004A000000}"/>
    <cellStyle name="Normal 13 2 2 2 2" xfId="499" xr:uid="{00000000-0005-0000-0000-00004B000000}"/>
    <cellStyle name="Normal 13 2 2 2 2 2" xfId="1187" xr:uid="{13893EA4-AFD6-4BBA-AE2C-6D16863F7B1F}"/>
    <cellStyle name="Normal 13 2 2 2 3" xfId="877" xr:uid="{3E56C050-0BB7-42D3-B6C3-C51596E5C8A6}"/>
    <cellStyle name="Normal 13 2 2 3" xfId="478" xr:uid="{00000000-0005-0000-0000-00004C000000}"/>
    <cellStyle name="Normal 13 2 2 3 2" xfId="1166" xr:uid="{AC29733D-E793-444A-89AA-1567F27DC998}"/>
    <cellStyle name="Normal 13 2 2 4" xfId="858" xr:uid="{8BBE3E2B-AAB6-4F8A-A842-285CF97E83AA}"/>
    <cellStyle name="Normal 13 2 3" xfId="188" xr:uid="{00000000-0005-0000-0000-00004D000000}"/>
    <cellStyle name="Normal 13 2 3 2" xfId="500" xr:uid="{00000000-0005-0000-0000-00004E000000}"/>
    <cellStyle name="Normal 13 2 3 2 2" xfId="1188" xr:uid="{EA0BA1D9-97E1-4048-885D-464355D1F023}"/>
    <cellStyle name="Normal 13 2 3 3" xfId="878" xr:uid="{8AE8C10C-1258-4B56-98B9-CDCE35F653E2}"/>
    <cellStyle name="Normal 13 2 4" xfId="404" xr:uid="{00000000-0005-0000-0000-00004F000000}"/>
    <cellStyle name="Normal 13 2 4 2" xfId="1092" xr:uid="{A4CF3534-41DC-4597-8F8C-975CC8B35ADD}"/>
    <cellStyle name="Normal 13 2 5" xfId="778" xr:uid="{6F4A7987-B613-41A0-A5C2-31FFA826EC65}"/>
    <cellStyle name="Normal 13 3" xfId="126" xr:uid="{00000000-0005-0000-0000-000050000000}"/>
    <cellStyle name="Normal 13 3 2" xfId="189" xr:uid="{00000000-0005-0000-0000-000051000000}"/>
    <cellStyle name="Normal 13 3 2 2" xfId="501" xr:uid="{00000000-0005-0000-0000-000052000000}"/>
    <cellStyle name="Normal 13 3 2 2 2" xfId="1189" xr:uid="{D634A8F6-4C76-4DF1-BF71-6D2E6833BA1E}"/>
    <cellStyle name="Normal 13 3 2 3" xfId="879" xr:uid="{E2420322-08DD-43AC-852D-95DF43CD1F01}"/>
    <cellStyle name="Normal 13 3 3" xfId="445" xr:uid="{00000000-0005-0000-0000-000053000000}"/>
    <cellStyle name="Normal 13 3 3 2" xfId="1133" xr:uid="{C0D60462-6D6B-479D-9642-3BEC9F5E299E}"/>
    <cellStyle name="Normal 13 3 4" xfId="821" xr:uid="{FCD830D5-47D8-4010-B358-6C0071A73B58}"/>
    <cellStyle name="Normal 13 4" xfId="190" xr:uid="{00000000-0005-0000-0000-000054000000}"/>
    <cellStyle name="Normal 13 4 2" xfId="502" xr:uid="{00000000-0005-0000-0000-000055000000}"/>
    <cellStyle name="Normal 13 4 2 2" xfId="1190" xr:uid="{7EEC6652-EDAC-4238-B74E-B0F81AF101F2}"/>
    <cellStyle name="Normal 13 4 3" xfId="880" xr:uid="{73B4F968-EDC7-49DD-A89C-75C48AF8D208}"/>
    <cellStyle name="Normal 13 5" xfId="371" xr:uid="{00000000-0005-0000-0000-000056000000}"/>
    <cellStyle name="Normal 13 5 2" xfId="1059" xr:uid="{800E2039-EDB5-40E7-8135-B13826D50826}"/>
    <cellStyle name="Normal 13 6" xfId="741" xr:uid="{1168E36A-AD24-46B2-8D54-C6F516D22222}"/>
    <cellStyle name="Normal 14" xfId="45" xr:uid="{00000000-0005-0000-0000-000057000000}"/>
    <cellStyle name="Normal 15" xfId="44" xr:uid="{00000000-0005-0000-0000-000058000000}"/>
    <cellStyle name="Normal 15 2" xfId="127" xr:uid="{00000000-0005-0000-0000-000059000000}"/>
    <cellStyle name="Normal 15 2 2" xfId="822" xr:uid="{8ADBCA2B-F42C-48C2-B7EB-BB8E7805D3C5}"/>
    <cellStyle name="Normal 15 2 2 2" xfId="1404" xr:uid="{81BD4728-6F0E-439D-9E20-B43836EAA558}"/>
    <cellStyle name="Normal 15 2 3" xfId="1375" xr:uid="{7E7E2214-963F-4986-8818-52DA19B3EA3D}"/>
    <cellStyle name="Normal 15 3" xfId="742" xr:uid="{B120AA67-9484-4C73-9341-9143BEE5FCD7}"/>
    <cellStyle name="Normal 15 3 2" xfId="1397" xr:uid="{214583C3-70F9-4FA1-BE90-598B7639DAD4}"/>
    <cellStyle name="Normal 15 4" xfId="1368" xr:uid="{82A3EEF2-BFEA-4B6B-91E0-7C6FA0171FA0}"/>
    <cellStyle name="Normal 16" xfId="82" xr:uid="{00000000-0005-0000-0000-00005A000000}"/>
    <cellStyle name="Normal 16 2" xfId="164" xr:uid="{00000000-0005-0000-0000-00005B000000}"/>
    <cellStyle name="Normal 16 2 2" xfId="191" xr:uid="{00000000-0005-0000-0000-00005C000000}"/>
    <cellStyle name="Normal 16 2 2 2" xfId="503" xr:uid="{00000000-0005-0000-0000-00005D000000}"/>
    <cellStyle name="Normal 16 2 2 2 2" xfId="1191" xr:uid="{6CADD3A4-2ED5-4165-A16E-AA189B74238C}"/>
    <cellStyle name="Normal 16 2 2 3" xfId="881" xr:uid="{8EA5A518-2CD5-48D5-9BE2-FEDDD2CFDAB1}"/>
    <cellStyle name="Normal 16 2 3" xfId="479" xr:uid="{00000000-0005-0000-0000-00005E000000}"/>
    <cellStyle name="Normal 16 2 3 2" xfId="1167" xr:uid="{8416ADF6-0547-44E5-A1C7-9FB7F3E88988}"/>
    <cellStyle name="Normal 16 2 4" xfId="859" xr:uid="{BB25527F-52B6-4F6E-99A1-42FC86AF3FF2}"/>
    <cellStyle name="Normal 16 3" xfId="192" xr:uid="{00000000-0005-0000-0000-00005F000000}"/>
    <cellStyle name="Normal 16 3 2" xfId="504" xr:uid="{00000000-0005-0000-0000-000060000000}"/>
    <cellStyle name="Normal 16 3 2 2" xfId="1192" xr:uid="{F368EAC3-D078-43B9-B594-DDCD627DC130}"/>
    <cellStyle name="Normal 16 3 3" xfId="882" xr:uid="{83C26E16-7F3D-4ECC-B4CD-141AF8AD0827}"/>
    <cellStyle name="Normal 16 4" xfId="405" xr:uid="{00000000-0005-0000-0000-000061000000}"/>
    <cellStyle name="Normal 16 4 2" xfId="1093" xr:uid="{96967694-6C1A-412B-954E-9BA34E65B07C}"/>
    <cellStyle name="Normal 16 5" xfId="653" xr:uid="{00000000-0005-0000-0000-000062000000}"/>
    <cellStyle name="Normal 16 5 2" xfId="1339" xr:uid="{A7F7ED03-5498-439C-9592-D9F6214C498A}"/>
    <cellStyle name="Normal 16 6" xfId="701" xr:uid="{00000000-0005-0000-0000-000063000000}"/>
    <cellStyle name="Normal 17" xfId="84" xr:uid="{00000000-0005-0000-0000-000064000000}"/>
    <cellStyle name="Normal 17 2" xfId="165" xr:uid="{00000000-0005-0000-0000-000065000000}"/>
    <cellStyle name="Normal 17 2 2" xfId="193" xr:uid="{00000000-0005-0000-0000-000066000000}"/>
    <cellStyle name="Normal 17 2 2 2" xfId="505" xr:uid="{00000000-0005-0000-0000-000067000000}"/>
    <cellStyle name="Normal 17 2 2 2 2" xfId="1193" xr:uid="{9294B84F-FFE5-4926-AF5F-2CB9B13E9A5D}"/>
    <cellStyle name="Normal 17 2 2 3" xfId="883" xr:uid="{658A8353-D49D-4F6F-AD1F-1E0BF85D4DC2}"/>
    <cellStyle name="Normal 17 2 3" xfId="480" xr:uid="{00000000-0005-0000-0000-000068000000}"/>
    <cellStyle name="Normal 17 2 3 2" xfId="1168" xr:uid="{3E2857E2-7AF3-4DC5-AB46-DE7CA97B7294}"/>
    <cellStyle name="Normal 17 2 4" xfId="860" xr:uid="{B3A96474-1E2B-4968-B365-8413B88BE0EC}"/>
    <cellStyle name="Normal 17 3" xfId="194" xr:uid="{00000000-0005-0000-0000-000069000000}"/>
    <cellStyle name="Normal 17 3 2" xfId="506" xr:uid="{00000000-0005-0000-0000-00006A000000}"/>
    <cellStyle name="Normal 17 3 2 2" xfId="1194" xr:uid="{6FCE9240-7F18-435A-BC57-95EC7FB3AB10}"/>
    <cellStyle name="Normal 17 3 3" xfId="884" xr:uid="{921F95DD-E183-4A04-8491-190D46081486}"/>
    <cellStyle name="Normal 17 4" xfId="406" xr:uid="{00000000-0005-0000-0000-00006B000000}"/>
    <cellStyle name="Normal 17 4 2" xfId="1094" xr:uid="{7CA16111-31E3-424B-BBF6-4CFA77142A8D}"/>
    <cellStyle name="Normal 17 5" xfId="780" xr:uid="{1F879E58-7B0E-4C8D-9746-A3E0459F62B7}"/>
    <cellStyle name="Normal 18" xfId="85" xr:uid="{00000000-0005-0000-0000-00006C000000}"/>
    <cellStyle name="Normal 18 2" xfId="166" xr:uid="{00000000-0005-0000-0000-00006D000000}"/>
    <cellStyle name="Normal 18 2 2" xfId="195" xr:uid="{00000000-0005-0000-0000-00006E000000}"/>
    <cellStyle name="Normal 18 2 2 2" xfId="507" xr:uid="{00000000-0005-0000-0000-00006F000000}"/>
    <cellStyle name="Normal 18 2 2 2 2" xfId="1195" xr:uid="{FCDF10EE-F624-40D7-826F-D2E3EFCE983F}"/>
    <cellStyle name="Normal 18 2 2 3" xfId="885" xr:uid="{A6A9AC0A-FAE2-492D-A6F3-DF4AC68C15D0}"/>
    <cellStyle name="Normal 18 2 3" xfId="481" xr:uid="{00000000-0005-0000-0000-000070000000}"/>
    <cellStyle name="Normal 18 2 3 2" xfId="1169" xr:uid="{74DDD662-C585-4D1C-B5AF-4B92F219AF90}"/>
    <cellStyle name="Normal 18 2 4" xfId="861" xr:uid="{C6152F7F-B351-41D4-8880-3EA1DC97866A}"/>
    <cellStyle name="Normal 18 3" xfId="196" xr:uid="{00000000-0005-0000-0000-000071000000}"/>
    <cellStyle name="Normal 18 3 2" xfId="508" xr:uid="{00000000-0005-0000-0000-000072000000}"/>
    <cellStyle name="Normal 18 3 2 2" xfId="1196" xr:uid="{C8206F64-94E2-43AA-BE16-3913A03465EF}"/>
    <cellStyle name="Normal 18 3 3" xfId="886" xr:uid="{4C3C94B5-BA88-444E-96CC-09B47DEB67D1}"/>
    <cellStyle name="Normal 18 4" xfId="407" xr:uid="{00000000-0005-0000-0000-000073000000}"/>
    <cellStyle name="Normal 18 4 2" xfId="1095" xr:uid="{4BD09220-F686-4F4E-85F4-88AAE56CF163}"/>
    <cellStyle name="Normal 18 5" xfId="781" xr:uid="{8506E691-FA87-44A3-8DF3-100324932A59}"/>
    <cellStyle name="Normal 19" xfId="86" xr:uid="{00000000-0005-0000-0000-000074000000}"/>
    <cellStyle name="Normal 19 2" xfId="167" xr:uid="{00000000-0005-0000-0000-000075000000}"/>
    <cellStyle name="Normal 19 2 2" xfId="197" xr:uid="{00000000-0005-0000-0000-000076000000}"/>
    <cellStyle name="Normal 19 2 2 2" xfId="509" xr:uid="{00000000-0005-0000-0000-000077000000}"/>
    <cellStyle name="Normal 19 2 2 2 2" xfId="1197" xr:uid="{8118F1EA-DB26-40FD-8B94-4E06161AA85D}"/>
    <cellStyle name="Normal 19 2 2 3" xfId="887" xr:uid="{1EBF5333-591D-45CB-AD95-F2E6A40CBA1C}"/>
    <cellStyle name="Normal 19 2 3" xfId="482" xr:uid="{00000000-0005-0000-0000-000078000000}"/>
    <cellStyle name="Normal 19 2 3 2" xfId="1170" xr:uid="{43155732-71C8-4992-B7DC-89C68A2410B2}"/>
    <cellStyle name="Normal 19 2 4" xfId="862" xr:uid="{28A04540-C673-4D58-B487-B15A3A3E93D4}"/>
    <cellStyle name="Normal 19 3" xfId="198" xr:uid="{00000000-0005-0000-0000-000079000000}"/>
    <cellStyle name="Normal 19 3 2" xfId="510" xr:uid="{00000000-0005-0000-0000-00007A000000}"/>
    <cellStyle name="Normal 19 3 2 2" xfId="1198" xr:uid="{4E024183-428C-41CA-995F-BBD2E32CCF7C}"/>
    <cellStyle name="Normal 19 3 3" xfId="888" xr:uid="{8C58B97C-C303-4F62-AD7B-73A6E4017C54}"/>
    <cellStyle name="Normal 19 4" xfId="408" xr:uid="{00000000-0005-0000-0000-00007B000000}"/>
    <cellStyle name="Normal 19 4 2" xfId="1096" xr:uid="{DA3EC34C-C6D1-48AE-8A65-B55FD9EB4D5C}"/>
    <cellStyle name="Normal 19 5" xfId="650" xr:uid="{00000000-0005-0000-0000-00007C000000}"/>
    <cellStyle name="Normal 19 5 2" xfId="1337" xr:uid="{2DF5DC1E-8B0C-4E5F-A86E-90B4141C75F6}"/>
    <cellStyle name="Normal 19 6" xfId="782" xr:uid="{0A416D39-3957-40B9-B91F-91AE1202A41B}"/>
    <cellStyle name="Normal 2" xfId="3" xr:uid="{00000000-0005-0000-0000-00007D000000}"/>
    <cellStyle name="Normal 2 2" xfId="6" xr:uid="{00000000-0005-0000-0000-00007E000000}"/>
    <cellStyle name="Normal 2 2 2" xfId="49" xr:uid="{00000000-0005-0000-0000-00007F000000}"/>
    <cellStyle name="Normal 2 2 2 2" xfId="131" xr:uid="{00000000-0005-0000-0000-000080000000}"/>
    <cellStyle name="Normal 2 2 2 2 2" xfId="826" xr:uid="{A0ACB071-2582-40A2-A11C-21FCCFDE9EBF}"/>
    <cellStyle name="Normal 2 2 2 2 2 2" xfId="1406" xr:uid="{6D571271-81A5-406D-8845-A7BF88EB9F16}"/>
    <cellStyle name="Normal 2 2 2 2 3" xfId="1377" xr:uid="{39FE3E96-D116-4797-85D9-E0B28A1F540D}"/>
    <cellStyle name="Normal 2 2 2 3" xfId="746" xr:uid="{EFF49D3D-9E97-49E5-865E-2965DD21C01D}"/>
    <cellStyle name="Normal 2 2 2 3 2" xfId="1399" xr:uid="{6BF8852E-DBDD-4BC5-950F-1EDDC232ABC1}"/>
    <cellStyle name="Normal 2 2 2 4" xfId="1370" xr:uid="{903F09A3-B51B-4194-A8A6-66FAFF43145E}"/>
    <cellStyle name="Normal 2 2 3" xfId="83" xr:uid="{00000000-0005-0000-0000-000081000000}"/>
    <cellStyle name="Normal 2 2 3 2" xfId="779" xr:uid="{F276D13D-AF68-4E12-B7DA-A29AE748F5BB}"/>
    <cellStyle name="Normal 2 2 3 2 2" xfId="1401" xr:uid="{07C3E013-D00D-47E6-BF95-61ADB7CB41ED}"/>
    <cellStyle name="Normal 2 2 3 3" xfId="1372" xr:uid="{D5CDA403-9686-491D-915D-F728D36E7982}"/>
    <cellStyle name="Normal 2 2 4" xfId="709" xr:uid="{C73C706B-8E36-4970-B05A-72AD4324B0F2}"/>
    <cellStyle name="Normal 2 2 4 2" xfId="1395" xr:uid="{5CF6C7CE-CC13-4A37-861B-C89A682C9D1E}"/>
    <cellStyle name="Normal 2 2 5" xfId="1366" xr:uid="{0091E591-CB40-44D6-A909-7CCBF388155D}"/>
    <cellStyle name="Normal 20" xfId="87" xr:uid="{00000000-0005-0000-0000-000082000000}"/>
    <cellStyle name="Normal 20 2" xfId="168" xr:uid="{00000000-0005-0000-0000-000083000000}"/>
    <cellStyle name="Normal 20 2 2" xfId="199" xr:uid="{00000000-0005-0000-0000-000084000000}"/>
    <cellStyle name="Normal 20 2 2 2" xfId="511" xr:uid="{00000000-0005-0000-0000-000085000000}"/>
    <cellStyle name="Normal 20 2 2 2 2" xfId="1199" xr:uid="{B2FEDC70-729B-4275-B663-662629E70F63}"/>
    <cellStyle name="Normal 20 2 2 3" xfId="889" xr:uid="{67D0A057-BC6A-4588-AE06-5FD0E6200B4E}"/>
    <cellStyle name="Normal 20 2 3" xfId="483" xr:uid="{00000000-0005-0000-0000-000086000000}"/>
    <cellStyle name="Normal 20 2 3 2" xfId="1171" xr:uid="{486E650F-00B7-402E-9E3B-9973045B0B73}"/>
    <cellStyle name="Normal 20 2 4" xfId="863" xr:uid="{F7E9C365-90DE-49E1-ADC5-9F7D2B8FEE0C}"/>
    <cellStyle name="Normal 20 3" xfId="200" xr:uid="{00000000-0005-0000-0000-000087000000}"/>
    <cellStyle name="Normal 20 3 2" xfId="512" xr:uid="{00000000-0005-0000-0000-000088000000}"/>
    <cellStyle name="Normal 20 3 2 2" xfId="1200" xr:uid="{E7E7A1EC-41E6-4F34-A46E-C09E0B98E2BA}"/>
    <cellStyle name="Normal 20 3 3" xfId="890" xr:uid="{3A6F623B-92E6-4DF0-9BE1-A5A05009D592}"/>
    <cellStyle name="Normal 20 4" xfId="409" xr:uid="{00000000-0005-0000-0000-000089000000}"/>
    <cellStyle name="Normal 20 4 2" xfId="1097" xr:uid="{1A4EEBA5-5649-49FE-88D5-F128D1B0E1C8}"/>
    <cellStyle name="Normal 20 5" xfId="783" xr:uid="{CCBE3738-532F-4FDF-83DF-E6171A34A346}"/>
    <cellStyle name="Normal 21" xfId="88" xr:uid="{00000000-0005-0000-0000-00008A000000}"/>
    <cellStyle name="Normal 21 2" xfId="169" xr:uid="{00000000-0005-0000-0000-00008B000000}"/>
    <cellStyle name="Normal 21 2 2" xfId="201" xr:uid="{00000000-0005-0000-0000-00008C000000}"/>
    <cellStyle name="Normal 21 2 2 2" xfId="513" xr:uid="{00000000-0005-0000-0000-00008D000000}"/>
    <cellStyle name="Normal 21 2 2 2 2" xfId="1201" xr:uid="{318EE5EF-8D5B-4BE2-A7CB-D19FBE202BAA}"/>
    <cellStyle name="Normal 21 2 2 3" xfId="891" xr:uid="{D85A01AA-87A7-465D-84BF-B685DD9EEC1B}"/>
    <cellStyle name="Normal 21 2 3" xfId="484" xr:uid="{00000000-0005-0000-0000-00008E000000}"/>
    <cellStyle name="Normal 21 2 3 2" xfId="1172" xr:uid="{754B0349-783D-43B6-A7EE-B3D5951E1658}"/>
    <cellStyle name="Normal 21 2 4" xfId="864" xr:uid="{A7700BD4-6545-48CB-9CED-9D2477D680C9}"/>
    <cellStyle name="Normal 21 3" xfId="202" xr:uid="{00000000-0005-0000-0000-00008F000000}"/>
    <cellStyle name="Normal 21 3 2" xfId="514" xr:uid="{00000000-0005-0000-0000-000090000000}"/>
    <cellStyle name="Normal 21 3 2 2" xfId="1202" xr:uid="{B92EDF27-F26F-49F8-8BD8-252E5D5BF3ED}"/>
    <cellStyle name="Normal 21 3 3" xfId="892" xr:uid="{F71E35D1-5B13-426B-AEF0-A734CBB10C6F}"/>
    <cellStyle name="Normal 21 4" xfId="410" xr:uid="{00000000-0005-0000-0000-000091000000}"/>
    <cellStyle name="Normal 21 4 2" xfId="1098" xr:uid="{146FBAE5-E12F-4E19-83B8-0799D9C20E7E}"/>
    <cellStyle name="Normal 21 5" xfId="784" xr:uid="{DA31F798-C88D-4F87-938E-42B0593026F2}"/>
    <cellStyle name="Normal 22" xfId="89" xr:uid="{00000000-0005-0000-0000-000092000000}"/>
    <cellStyle name="Normal 22 2" xfId="170" xr:uid="{00000000-0005-0000-0000-000093000000}"/>
    <cellStyle name="Normal 22 2 2" xfId="203" xr:uid="{00000000-0005-0000-0000-000094000000}"/>
    <cellStyle name="Normal 22 2 2 2" xfId="515" xr:uid="{00000000-0005-0000-0000-000095000000}"/>
    <cellStyle name="Normal 22 2 2 2 2" xfId="1203" xr:uid="{8BB03805-AD51-43AD-9E15-24A107AF07BC}"/>
    <cellStyle name="Normal 22 2 2 3" xfId="893" xr:uid="{5F6493D9-3C24-4B51-9E28-664AA0C0438D}"/>
    <cellStyle name="Normal 22 2 3" xfId="485" xr:uid="{00000000-0005-0000-0000-000096000000}"/>
    <cellStyle name="Normal 22 2 3 2" xfId="1173" xr:uid="{76EB7FB9-6839-4F7C-A0C8-A99DD8399612}"/>
    <cellStyle name="Normal 22 2 4" xfId="865" xr:uid="{B36B5B87-8BA2-4B84-BF2B-D0FCF1F21D45}"/>
    <cellStyle name="Normal 22 3" xfId="204" xr:uid="{00000000-0005-0000-0000-000097000000}"/>
    <cellStyle name="Normal 22 3 2" xfId="516" xr:uid="{00000000-0005-0000-0000-000098000000}"/>
    <cellStyle name="Normal 22 3 2 2" xfId="1204" xr:uid="{71E985BF-7BCB-433E-B22D-0EEC939DD5B7}"/>
    <cellStyle name="Normal 22 3 3" xfId="894" xr:uid="{C9229710-6F40-43D2-AE4E-2069B8288628}"/>
    <cellStyle name="Normal 22 4" xfId="411" xr:uid="{00000000-0005-0000-0000-000099000000}"/>
    <cellStyle name="Normal 22 4 2" xfId="1099" xr:uid="{75CC2A19-17C9-433F-AC9B-47AD91F33DAE}"/>
    <cellStyle name="Normal 22 5" xfId="785" xr:uid="{443CDB8B-580C-4144-B27A-D66C00B610FA}"/>
    <cellStyle name="Normal 23" xfId="91" xr:uid="{00000000-0005-0000-0000-00009A000000}"/>
    <cellStyle name="Normal 23 2" xfId="205" xr:uid="{00000000-0005-0000-0000-00009B000000}"/>
    <cellStyle name="Normal 24" xfId="90" xr:uid="{00000000-0005-0000-0000-00009C000000}"/>
    <cellStyle name="Normal 24 2" xfId="206" xr:uid="{00000000-0005-0000-0000-00009D000000}"/>
    <cellStyle name="Normal 24 2 2" xfId="517" xr:uid="{00000000-0005-0000-0000-00009E000000}"/>
    <cellStyle name="Normal 24 2 2 2" xfId="1205" xr:uid="{8E8426A6-FC1E-4C3F-BB1E-8E4DB457D28C}"/>
    <cellStyle name="Normal 24 2 3" xfId="895" xr:uid="{F228BA15-3B14-4260-A45C-6F97C1FDE775}"/>
    <cellStyle name="Normal 24 3" xfId="412" xr:uid="{00000000-0005-0000-0000-00009F000000}"/>
    <cellStyle name="Normal 24 3 2" xfId="1100" xr:uid="{8BBB1778-5453-4E0B-809B-3122E199DC51}"/>
    <cellStyle name="Normal 24 4" xfId="786" xr:uid="{152168AA-A839-4570-90C6-831C60F78CEF}"/>
    <cellStyle name="Normal 25" xfId="171" xr:uid="{00000000-0005-0000-0000-0000A0000000}"/>
    <cellStyle name="Normal 25 2" xfId="207" xr:uid="{00000000-0005-0000-0000-0000A1000000}"/>
    <cellStyle name="Normal 25 2 2" xfId="518" xr:uid="{00000000-0005-0000-0000-0000A2000000}"/>
    <cellStyle name="Normal 25 2 2 2" xfId="1206" xr:uid="{ECE4F61D-74AC-4ADE-9515-E74EEC7E231E}"/>
    <cellStyle name="Normal 25 2 3" xfId="896" xr:uid="{DF92450E-599A-4AF5-9329-11A73F1E38AA}"/>
    <cellStyle name="Normal 25 3" xfId="486" xr:uid="{00000000-0005-0000-0000-0000A3000000}"/>
    <cellStyle name="Normal 25 3 2" xfId="1174" xr:uid="{9BB65450-3B7F-42CB-AEEF-B70E049A548E}"/>
    <cellStyle name="Normal 25 4" xfId="866" xr:uid="{D8D0B866-F4A1-44A1-9CA5-F298540C0FC0}"/>
    <cellStyle name="Normal 26" xfId="172" xr:uid="{00000000-0005-0000-0000-0000A4000000}"/>
    <cellStyle name="Normal 26 2" xfId="208" xr:uid="{00000000-0005-0000-0000-0000A5000000}"/>
    <cellStyle name="Normal 26 2 2" xfId="519" xr:uid="{00000000-0005-0000-0000-0000A6000000}"/>
    <cellStyle name="Normal 26 2 2 2" xfId="1207" xr:uid="{5601C280-E436-4EA6-9655-263774B0F058}"/>
    <cellStyle name="Normal 26 2 3" xfId="897" xr:uid="{574C0780-2450-43BF-9BE0-238DA16F7DD4}"/>
    <cellStyle name="Normal 26 3" xfId="487" xr:uid="{00000000-0005-0000-0000-0000A7000000}"/>
    <cellStyle name="Normal 26 3 2" xfId="1175" xr:uid="{44AF76BD-3884-4980-8290-A20AEEE9AFD0}"/>
    <cellStyle name="Normal 26 4" xfId="703" xr:uid="{00000000-0005-0000-0000-0000A8000000}"/>
    <cellStyle name="Normal 27" xfId="173" xr:uid="{00000000-0005-0000-0000-0000A9000000}"/>
    <cellStyle name="Normal 27 2" xfId="209" xr:uid="{00000000-0005-0000-0000-0000AA000000}"/>
    <cellStyle name="Normal 27 2 2" xfId="520" xr:uid="{00000000-0005-0000-0000-0000AB000000}"/>
    <cellStyle name="Normal 27 2 2 2" xfId="1208" xr:uid="{A2D73F6C-9A95-4BD1-BCF0-D0A593D2F910}"/>
    <cellStyle name="Normal 27 2 3" xfId="898" xr:uid="{DB56CDA3-CEF1-4735-A8CF-12EDEFE36357}"/>
    <cellStyle name="Normal 27 3" xfId="488" xr:uid="{00000000-0005-0000-0000-0000AC000000}"/>
    <cellStyle name="Normal 27 3 2" xfId="1176" xr:uid="{3E20EC2D-B8B9-49D2-BDE4-4FE60921375B}"/>
    <cellStyle name="Normal 27 4" xfId="867" xr:uid="{3C6A16CA-2D1B-402B-8B42-BCA308498B01}"/>
    <cellStyle name="Normal 28" xfId="174" xr:uid="{00000000-0005-0000-0000-0000AD000000}"/>
    <cellStyle name="Normal 28 2" xfId="210" xr:uid="{00000000-0005-0000-0000-0000AE000000}"/>
    <cellStyle name="Normal 28 2 2" xfId="521" xr:uid="{00000000-0005-0000-0000-0000AF000000}"/>
    <cellStyle name="Normal 28 2 2 2" xfId="1209" xr:uid="{639FB90B-C3F0-4A13-8BD7-4ECCB411FBC2}"/>
    <cellStyle name="Normal 28 2 3" xfId="899" xr:uid="{0F934B79-59B8-430D-ABF5-133D39455EE8}"/>
    <cellStyle name="Normal 28 3" xfId="489" xr:uid="{00000000-0005-0000-0000-0000B0000000}"/>
    <cellStyle name="Normal 28 3 2" xfId="1177" xr:uid="{A67D6FC7-5BA5-4206-93BC-5C1FC492D153}"/>
    <cellStyle name="Normal 28 4" xfId="652" xr:uid="{00000000-0005-0000-0000-0000B1000000}"/>
    <cellStyle name="Normal 28 4 2" xfId="655" xr:uid="{00000000-0005-0000-0000-0000B2000000}"/>
    <cellStyle name="Normal 29" xfId="176" xr:uid="{00000000-0005-0000-0000-0000B3000000}"/>
    <cellStyle name="Normal 29 2" xfId="335" xr:uid="{00000000-0005-0000-0000-0000B4000000}"/>
    <cellStyle name="Normal 29 2 2" xfId="646" xr:uid="{00000000-0005-0000-0000-0000B5000000}"/>
    <cellStyle name="Normal 29 2 2 2" xfId="1334" xr:uid="{C318695F-7569-4ADC-A3D4-1BE0AEFDD0A3}"/>
    <cellStyle name="Normal 29 2 3" xfId="1024" xr:uid="{0C7C808A-A5D6-40A1-AD56-E15A5DEBA579}"/>
    <cellStyle name="Normal 29 3" xfId="490" xr:uid="{00000000-0005-0000-0000-0000B6000000}"/>
    <cellStyle name="Normal 29 3 2" xfId="1178" xr:uid="{B6F23670-F837-413C-8FE1-7342516F4637}"/>
    <cellStyle name="Normal 29 4" xfId="648" xr:uid="{00000000-0005-0000-0000-0000B7000000}"/>
    <cellStyle name="Normal 29 4 2" xfId="1336" xr:uid="{899E5CC8-BB15-411A-8617-BB181246229A}"/>
    <cellStyle name="Normal 29 5" xfId="868" xr:uid="{383690A2-A3F8-48F6-8F6F-48799DB9601A}"/>
    <cellStyle name="Normal 3" xfId="2" xr:uid="{00000000-0005-0000-0000-0000B8000000}"/>
    <cellStyle name="Normal 3 2" xfId="10" xr:uid="{00000000-0005-0000-0000-0000B9000000}"/>
    <cellStyle name="Normal 3 2 2" xfId="52" xr:uid="{00000000-0005-0000-0000-0000BA000000}"/>
    <cellStyle name="Normal 3 2 2 2" xfId="134" xr:uid="{00000000-0005-0000-0000-0000BB000000}"/>
    <cellStyle name="Normal 3 2 2 2 2" xfId="829" xr:uid="{A6031C09-8E28-4F6F-8B9E-70ADECC169A1}"/>
    <cellStyle name="Normal 3 2 2 2 2 2" xfId="1422" xr:uid="{F9330C42-241F-4C02-9CD3-65291513B8F7}"/>
    <cellStyle name="Normal 3 2 2 2 2 3" xfId="1393" xr:uid="{A66B6FBF-5E98-4149-9A43-BCAD09C5B0DC}"/>
    <cellStyle name="Normal 3 2 2 2 3" xfId="700" xr:uid="{00000000-0005-0000-0000-0000BC000000}"/>
    <cellStyle name="Normal 3 2 2 2 3 2" xfId="1354" xr:uid="{DD89381B-C988-4464-A2AA-372707D0071D}"/>
    <cellStyle name="Normal 3 2 2 2 3 2 2" xfId="1457" xr:uid="{8B500C0E-053A-4A98-AD46-52C42F629B78}"/>
    <cellStyle name="Normal 3 2 2 2 3 3" xfId="1407" xr:uid="{25D68284-9871-4347-8CB5-58420BCD84A9}"/>
    <cellStyle name="Normal 3 2 2 2 4" xfId="1378" xr:uid="{F61EF9DC-09B7-4226-BADE-22D039DF628A}"/>
    <cellStyle name="Normal 3 2 2 2 5" xfId="1455" xr:uid="{361AFDB8-8F68-46B3-A0C5-F91C48253AA5}"/>
    <cellStyle name="Normal 3 2 2 3" xfId="749" xr:uid="{139570E2-A9E3-4EC7-9CD5-B5A801AF0D1B}"/>
    <cellStyle name="Normal 3 2 2 3 2" xfId="1400" xr:uid="{58766EB5-BB7D-46C6-BD99-3C0C4D227296}"/>
    <cellStyle name="Normal 3 2 2 4" xfId="1371" xr:uid="{FE7D3E2A-77E1-47D0-B819-81F2984D186E}"/>
    <cellStyle name="Normal 3 2 3" xfId="97" xr:uid="{00000000-0005-0000-0000-0000BD000000}"/>
    <cellStyle name="Normal 3 2 3 2" xfId="792" xr:uid="{D9617AA8-85A4-481B-8694-9CE9BAB30669}"/>
    <cellStyle name="Normal 3 2 3 2 2" xfId="1403" xr:uid="{5D10EC96-74FB-45F3-A4DE-31A64C06167E}"/>
    <cellStyle name="Normal 3 2 3 3" xfId="1374" xr:uid="{47560D32-2564-4427-B603-2A5ACE6B040E}"/>
    <cellStyle name="Normal 3 2 4" xfId="712" xr:uid="{DB9C415B-AEE4-48E8-A24D-08E305E00131}"/>
    <cellStyle name="Normal 3 2 4 2" xfId="1396" xr:uid="{9FC2B885-4ADE-4E8F-A9DF-0CBA21F90B82}"/>
    <cellStyle name="Normal 3 2 5" xfId="1367" xr:uid="{CF1AB1E4-195C-4593-8EDB-559D9A897D59}"/>
    <cellStyle name="Normal 3 3" xfId="15" xr:uid="{00000000-0005-0000-0000-0000BE000000}"/>
    <cellStyle name="Normal 3 4" xfId="46" xr:uid="{00000000-0005-0000-0000-0000BF000000}"/>
    <cellStyle name="Normal 3 4 2" xfId="128" xr:uid="{00000000-0005-0000-0000-0000C0000000}"/>
    <cellStyle name="Normal 3 4 2 2" xfId="823" xr:uid="{873CA64A-67CF-4C4B-8ED0-0703211BD247}"/>
    <cellStyle name="Normal 3 4 2 2 2" xfId="1405" xr:uid="{64E2ED29-56D2-4D48-94A7-C4CFEEB4A467}"/>
    <cellStyle name="Normal 3 4 2 3" xfId="1376" xr:uid="{1B6C8CA1-FACF-412F-88C5-41A0BF91527E}"/>
    <cellStyle name="Normal 3 4 3" xfId="743" xr:uid="{2E5455D1-0CDF-45D7-839F-61AE20C8C425}"/>
    <cellStyle name="Normal 3 4 3 2" xfId="1398" xr:uid="{82A97C15-F62A-497E-91C1-8E58547F1019}"/>
    <cellStyle name="Normal 3 4 4" xfId="1369" xr:uid="{B821CDB8-BF87-48B6-B5BE-321405DEAC26}"/>
    <cellStyle name="Normal 3 5" xfId="92" xr:uid="{00000000-0005-0000-0000-0000C1000000}"/>
    <cellStyle name="Normal 3 5 2" xfId="787" xr:uid="{C39C2297-1A37-471F-8DDB-9C53E77CDE4B}"/>
    <cellStyle name="Normal 3 5 2 2" xfId="1402" xr:uid="{312F3708-0F2A-437B-80BF-6FF83BB44E33}"/>
    <cellStyle name="Normal 3 5 3" xfId="1373" xr:uid="{35BBE99B-4052-4803-A597-1201C3884B75}"/>
    <cellStyle name="Normal 3 6" xfId="706" xr:uid="{C1FEF21B-56A0-4A50-9C94-8597386A3AEB}"/>
    <cellStyle name="Normal 3 6 2" xfId="1394" xr:uid="{03D96132-6E43-4E5C-9A57-77A875DAB725}"/>
    <cellStyle name="Normal 3 7" xfId="1365" xr:uid="{11D150F2-1587-4554-B12A-13F4C13C496B}"/>
    <cellStyle name="Normal 30" xfId="211" xr:uid="{00000000-0005-0000-0000-0000C2000000}"/>
    <cellStyle name="Normal 30 2" xfId="522" xr:uid="{00000000-0005-0000-0000-0000C3000000}"/>
    <cellStyle name="Normal 30 2 2" xfId="1210" xr:uid="{274ACA45-779C-4143-B308-86D9A9FFC797}"/>
    <cellStyle name="Normal 30 3" xfId="900" xr:uid="{E5862C29-66F1-4807-93B0-D260B810BBA9}"/>
    <cellStyle name="Normal 31" xfId="212" xr:uid="{00000000-0005-0000-0000-0000C4000000}"/>
    <cellStyle name="Normal 31 2" xfId="523" xr:uid="{00000000-0005-0000-0000-0000C5000000}"/>
    <cellStyle name="Normal 31 2 2" xfId="1211" xr:uid="{6A5C7B66-F0F6-4BED-A48D-4B25DA0BCFA2}"/>
    <cellStyle name="Normal 31 3" xfId="901" xr:uid="{0431AB3E-A14B-4264-BCE4-963A525E0208}"/>
    <cellStyle name="Normal 32" xfId="334" xr:uid="{00000000-0005-0000-0000-0000C6000000}"/>
    <cellStyle name="Normal 32 2" xfId="645" xr:uid="{00000000-0005-0000-0000-0000C7000000}"/>
    <cellStyle name="Normal 32 2 2" xfId="1333" xr:uid="{BBFA1AE5-05B0-43EE-8657-48BF53F77535}"/>
    <cellStyle name="Normal 32 3" xfId="1023" xr:uid="{5A861A2D-BAB7-4EA0-B99A-3B3B9810848D}"/>
    <cellStyle name="Normal 33" xfId="336" xr:uid="{00000000-0005-0000-0000-0000C8000000}"/>
    <cellStyle name="Normal 33 2" xfId="647" xr:uid="{00000000-0005-0000-0000-0000C9000000}"/>
    <cellStyle name="Normal 33 2 2" xfId="1335" xr:uid="{9E100566-17D7-46E0-BAFB-CABBD8B31ABE}"/>
    <cellStyle name="Normal 33 3" xfId="651" xr:uid="{00000000-0005-0000-0000-0000CA000000}"/>
    <cellStyle name="Normal 33 3 2" xfId="1338" xr:uid="{4DC2A0EE-E875-4343-804B-63148625A905}"/>
    <cellStyle name="Normal 33 4" xfId="1025" xr:uid="{24A6D37A-5CC5-4C74-A0F1-93F2C1A5F062}"/>
    <cellStyle name="Normal 34" xfId="337" xr:uid="{00000000-0005-0000-0000-0000CB000000}"/>
    <cellStyle name="Normal 34 2" xfId="1026" xr:uid="{2EA5483B-CB15-413F-A413-99D51B9F2D67}"/>
    <cellStyle name="Normal 35" xfId="338" xr:uid="{00000000-0005-0000-0000-0000CC000000}"/>
    <cellStyle name="Normal 36" xfId="649" xr:uid="{00000000-0005-0000-0000-0000CD000000}"/>
    <cellStyle name="Normal 37" xfId="654" xr:uid="{00000000-0005-0000-0000-0000CE000000}"/>
    <cellStyle name="Normal 37 2" xfId="702" xr:uid="{00000000-0005-0000-0000-0000CF000000}"/>
    <cellStyle name="Normal 38" xfId="696" xr:uid="{00000000-0005-0000-0000-0000D0000000}"/>
    <cellStyle name="Normal 38 2" xfId="1352" xr:uid="{02CAB254-B8C0-4269-A617-3AE0092FE2FB}"/>
    <cellStyle name="Normal 38 2 2" xfId="1420" xr:uid="{ECE6EFAD-638F-4190-8E8B-A19F7E74BB6B}"/>
    <cellStyle name="Normal 38 3" xfId="1391" xr:uid="{9404DBC1-B369-4380-9EC1-9D9E201557F7}"/>
    <cellStyle name="Normal 39" xfId="704" xr:uid="{00000000-0005-0000-0000-0000D1000000}"/>
    <cellStyle name="Normal 39 2" xfId="1423" xr:uid="{CFF4746D-9186-4AC6-A6F1-A87CC73C83AB}"/>
    <cellStyle name="Normal 4" xfId="4" xr:uid="{00000000-0005-0000-0000-0000D2000000}"/>
    <cellStyle name="Normal 4 10" xfId="707" xr:uid="{F677C992-8C8A-4ED7-9068-2F1138308057}"/>
    <cellStyle name="Normal 4 2" xfId="5" xr:uid="{00000000-0005-0000-0000-0000D3000000}"/>
    <cellStyle name="Normal 4 2 2" xfId="12" xr:uid="{00000000-0005-0000-0000-0000D4000000}"/>
    <cellStyle name="Normal 4 2 2 2" xfId="23" xr:uid="{00000000-0005-0000-0000-0000D5000000}"/>
    <cellStyle name="Normal 4 2 2 2 2" xfId="40" xr:uid="{00000000-0005-0000-0000-0000D6000000}"/>
    <cellStyle name="Normal 4 2 2 2 2 2" xfId="78" xr:uid="{00000000-0005-0000-0000-0000D7000000}"/>
    <cellStyle name="Normal 4 2 2 2 2 2 2" xfId="160" xr:uid="{00000000-0005-0000-0000-0000D8000000}"/>
    <cellStyle name="Normal 4 2 2 2 2 2 2 2" xfId="213" xr:uid="{00000000-0005-0000-0000-0000D9000000}"/>
    <cellStyle name="Normal 4 2 2 2 2 2 2 2 2" xfId="524" xr:uid="{00000000-0005-0000-0000-0000DA000000}"/>
    <cellStyle name="Normal 4 2 2 2 2 2 2 2 2 2" xfId="1212" xr:uid="{3E7B33A5-E31B-4185-8FAB-82694FA6CED6}"/>
    <cellStyle name="Normal 4 2 2 2 2 2 2 2 3" xfId="902" xr:uid="{C66B164B-1B55-4BF6-BDC7-0E93A60AFA48}"/>
    <cellStyle name="Normal 4 2 2 2 2 2 2 3" xfId="475" xr:uid="{00000000-0005-0000-0000-0000DB000000}"/>
    <cellStyle name="Normal 4 2 2 2 2 2 2 3 2" xfId="1163" xr:uid="{998D636A-6941-41A2-9B24-F7B4F9FBAF0E}"/>
    <cellStyle name="Normal 4 2 2 2 2 2 2 4" xfId="855" xr:uid="{A2F7FDBB-F584-4DEB-8580-1B51677538B9}"/>
    <cellStyle name="Normal 4 2 2 2 2 2 3" xfId="214" xr:uid="{00000000-0005-0000-0000-0000DC000000}"/>
    <cellStyle name="Normal 4 2 2 2 2 2 3 2" xfId="525" xr:uid="{00000000-0005-0000-0000-0000DD000000}"/>
    <cellStyle name="Normal 4 2 2 2 2 2 3 2 2" xfId="1213" xr:uid="{944C4A0E-2D33-460F-80B0-D456CF1041EA}"/>
    <cellStyle name="Normal 4 2 2 2 2 2 3 3" xfId="903" xr:uid="{7A35EFCA-83E8-4CCD-9AAE-9AE9FED89E0D}"/>
    <cellStyle name="Normal 4 2 2 2 2 2 4" xfId="401" xr:uid="{00000000-0005-0000-0000-0000DE000000}"/>
    <cellStyle name="Normal 4 2 2 2 2 2 4 2" xfId="1089" xr:uid="{52AAB469-680F-4847-AC6A-2EAFFB1BB56E}"/>
    <cellStyle name="Normal 4 2 2 2 2 2 5" xfId="775" xr:uid="{95323FDD-7D66-40A0-B6B4-13EFF8677957}"/>
    <cellStyle name="Normal 4 2 2 2 2 3" xfId="123" xr:uid="{00000000-0005-0000-0000-0000DF000000}"/>
    <cellStyle name="Normal 4 2 2 2 2 3 2" xfId="215" xr:uid="{00000000-0005-0000-0000-0000E0000000}"/>
    <cellStyle name="Normal 4 2 2 2 2 3 2 2" xfId="526" xr:uid="{00000000-0005-0000-0000-0000E1000000}"/>
    <cellStyle name="Normal 4 2 2 2 2 3 2 2 2" xfId="1214" xr:uid="{CFE68E09-916F-4E38-B777-57C4E3CE5848}"/>
    <cellStyle name="Normal 4 2 2 2 2 3 2 3" xfId="904" xr:uid="{BA493341-14C2-438D-8CDA-67AA6C714088}"/>
    <cellStyle name="Normal 4 2 2 2 2 3 3" xfId="442" xr:uid="{00000000-0005-0000-0000-0000E2000000}"/>
    <cellStyle name="Normal 4 2 2 2 2 3 3 2" xfId="1130" xr:uid="{6E634DB1-C378-42AA-82A1-32896C793B39}"/>
    <cellStyle name="Normal 4 2 2 2 2 3 4" xfId="818" xr:uid="{F1ACD9C2-AB5B-48BD-AE7F-C4307172268A}"/>
    <cellStyle name="Normal 4 2 2 2 2 4" xfId="216" xr:uid="{00000000-0005-0000-0000-0000E3000000}"/>
    <cellStyle name="Normal 4 2 2 2 2 4 2" xfId="527" xr:uid="{00000000-0005-0000-0000-0000E4000000}"/>
    <cellStyle name="Normal 4 2 2 2 2 4 2 2" xfId="1215" xr:uid="{0F18B60D-695D-4850-AC83-0B2D7AB2DB5D}"/>
    <cellStyle name="Normal 4 2 2 2 2 4 3" xfId="905" xr:uid="{DE7AEA01-C2D2-4781-8E0D-1A0D22A8B394}"/>
    <cellStyle name="Normal 4 2 2 2 2 5" xfId="368" xr:uid="{00000000-0005-0000-0000-0000E5000000}"/>
    <cellStyle name="Normal 4 2 2 2 2 5 2" xfId="1056" xr:uid="{177202A5-945E-4F04-9C63-28F3DA0D373F}"/>
    <cellStyle name="Normal 4 2 2 2 2 6" xfId="738" xr:uid="{516C799F-A767-41C4-B4FB-952CC1656A5D}"/>
    <cellStyle name="Normal 4 2 2 2 3" xfId="62" xr:uid="{00000000-0005-0000-0000-0000E6000000}"/>
    <cellStyle name="Normal 4 2 2 2 3 2" xfId="144" xr:uid="{00000000-0005-0000-0000-0000E7000000}"/>
    <cellStyle name="Normal 4 2 2 2 3 2 2" xfId="217" xr:uid="{00000000-0005-0000-0000-0000E8000000}"/>
    <cellStyle name="Normal 4 2 2 2 3 2 2 2" xfId="528" xr:uid="{00000000-0005-0000-0000-0000E9000000}"/>
    <cellStyle name="Normal 4 2 2 2 3 2 2 2 2" xfId="1216" xr:uid="{79678CAD-49B3-48F0-8398-BD9D3A819648}"/>
    <cellStyle name="Normal 4 2 2 2 3 2 2 3" xfId="906" xr:uid="{CFFD26FB-A5F9-458D-A868-B5F5147E7333}"/>
    <cellStyle name="Normal 4 2 2 2 3 2 3" xfId="459" xr:uid="{00000000-0005-0000-0000-0000EA000000}"/>
    <cellStyle name="Normal 4 2 2 2 3 2 3 2" xfId="1147" xr:uid="{AE7CA0ED-F033-4C45-B361-C5560937F486}"/>
    <cellStyle name="Normal 4 2 2 2 3 2 4" xfId="839" xr:uid="{38C14306-7D25-48BE-9D54-09D9A992BE73}"/>
    <cellStyle name="Normal 4 2 2 2 3 3" xfId="218" xr:uid="{00000000-0005-0000-0000-0000EB000000}"/>
    <cellStyle name="Normal 4 2 2 2 3 3 2" xfId="529" xr:uid="{00000000-0005-0000-0000-0000EC000000}"/>
    <cellStyle name="Normal 4 2 2 2 3 3 2 2" xfId="1217" xr:uid="{679634C4-7D5F-4E24-A7BD-B89E316C92D2}"/>
    <cellStyle name="Normal 4 2 2 2 3 3 3" xfId="907" xr:uid="{42B46CC5-D9D2-401C-AF35-72270D23352C}"/>
    <cellStyle name="Normal 4 2 2 2 3 4" xfId="385" xr:uid="{00000000-0005-0000-0000-0000ED000000}"/>
    <cellStyle name="Normal 4 2 2 2 3 4 2" xfId="1073" xr:uid="{60192288-CF89-46A3-885C-E1BAB6C24FB0}"/>
    <cellStyle name="Normal 4 2 2 2 3 5" xfId="759" xr:uid="{F6315FF2-8C59-4C97-A328-D8EB4C3C288D}"/>
    <cellStyle name="Normal 4 2 2 2 4" xfId="107" xr:uid="{00000000-0005-0000-0000-0000EE000000}"/>
    <cellStyle name="Normal 4 2 2 2 4 2" xfId="219" xr:uid="{00000000-0005-0000-0000-0000EF000000}"/>
    <cellStyle name="Normal 4 2 2 2 4 2 2" xfId="530" xr:uid="{00000000-0005-0000-0000-0000F0000000}"/>
    <cellStyle name="Normal 4 2 2 2 4 2 2 2" xfId="1218" xr:uid="{A1E64863-2B3E-4F7F-9085-CB02DCF3876D}"/>
    <cellStyle name="Normal 4 2 2 2 4 2 3" xfId="908" xr:uid="{26820C92-7717-4CA1-815C-02AA971DC3D8}"/>
    <cellStyle name="Normal 4 2 2 2 4 3" xfId="426" xr:uid="{00000000-0005-0000-0000-0000F1000000}"/>
    <cellStyle name="Normal 4 2 2 2 4 3 2" xfId="1114" xr:uid="{228648D7-E4D8-4D6F-AA4D-8D76052AE0CE}"/>
    <cellStyle name="Normal 4 2 2 2 4 4" xfId="802" xr:uid="{328F7BE0-9C9B-4DB9-89AE-23469DF89FEA}"/>
    <cellStyle name="Normal 4 2 2 2 5" xfId="220" xr:uid="{00000000-0005-0000-0000-0000F2000000}"/>
    <cellStyle name="Normal 4 2 2 2 5 2" xfId="531" xr:uid="{00000000-0005-0000-0000-0000F3000000}"/>
    <cellStyle name="Normal 4 2 2 2 5 2 2" xfId="1219" xr:uid="{389324B7-E0F6-41D9-8AF4-FAD6C686D84C}"/>
    <cellStyle name="Normal 4 2 2 2 5 3" xfId="909" xr:uid="{C608CD4D-8D07-49AB-A740-CCA215C89FA5}"/>
    <cellStyle name="Normal 4 2 2 2 6" xfId="352" xr:uid="{00000000-0005-0000-0000-0000F4000000}"/>
    <cellStyle name="Normal 4 2 2 2 6 2" xfId="1040" xr:uid="{DB8E315D-DA25-4E5A-AC25-ABC968B46EEE}"/>
    <cellStyle name="Normal 4 2 2 2 7" xfId="722" xr:uid="{9BD58517-0997-4A73-8993-A0868A5F2C9A}"/>
    <cellStyle name="Normal 4 2 2 3" xfId="32" xr:uid="{00000000-0005-0000-0000-0000F5000000}"/>
    <cellStyle name="Normal 4 2 2 3 2" xfId="70" xr:uid="{00000000-0005-0000-0000-0000F6000000}"/>
    <cellStyle name="Normal 4 2 2 3 2 2" xfId="152" xr:uid="{00000000-0005-0000-0000-0000F7000000}"/>
    <cellStyle name="Normal 4 2 2 3 2 2 2" xfId="221" xr:uid="{00000000-0005-0000-0000-0000F8000000}"/>
    <cellStyle name="Normal 4 2 2 3 2 2 2 2" xfId="532" xr:uid="{00000000-0005-0000-0000-0000F9000000}"/>
    <cellStyle name="Normal 4 2 2 3 2 2 2 2 2" xfId="1220" xr:uid="{408B3DD6-CCC5-4EDC-B7F5-F5652850EDD0}"/>
    <cellStyle name="Normal 4 2 2 3 2 2 2 3" xfId="910" xr:uid="{57E2B033-32B5-4A21-967C-6B718C93EF88}"/>
    <cellStyle name="Normal 4 2 2 3 2 2 3" xfId="467" xr:uid="{00000000-0005-0000-0000-0000FA000000}"/>
    <cellStyle name="Normal 4 2 2 3 2 2 3 2" xfId="1155" xr:uid="{04E9EF1D-0C8B-49E9-B065-7889034ECC12}"/>
    <cellStyle name="Normal 4 2 2 3 2 2 4" xfId="847" xr:uid="{6D811552-AC3D-4AF1-B61C-C608ABAF6192}"/>
    <cellStyle name="Normal 4 2 2 3 2 3" xfId="222" xr:uid="{00000000-0005-0000-0000-0000FB000000}"/>
    <cellStyle name="Normal 4 2 2 3 2 3 2" xfId="533" xr:uid="{00000000-0005-0000-0000-0000FC000000}"/>
    <cellStyle name="Normal 4 2 2 3 2 3 2 2" xfId="1221" xr:uid="{022E3E13-4B37-4050-A5E9-359E9613988E}"/>
    <cellStyle name="Normal 4 2 2 3 2 3 3" xfId="911" xr:uid="{F5E08548-F360-46C9-99A4-C4A164BA27A6}"/>
    <cellStyle name="Normal 4 2 2 3 2 4" xfId="393" xr:uid="{00000000-0005-0000-0000-0000FD000000}"/>
    <cellStyle name="Normal 4 2 2 3 2 4 2" xfId="1081" xr:uid="{009B9C39-96FD-4BDE-BF4D-B4FA2D9D7008}"/>
    <cellStyle name="Normal 4 2 2 3 2 5" xfId="767" xr:uid="{DE54C220-22FB-4F35-925F-EF89E6EA329B}"/>
    <cellStyle name="Normal 4 2 2 3 3" xfId="115" xr:uid="{00000000-0005-0000-0000-0000FE000000}"/>
    <cellStyle name="Normal 4 2 2 3 3 2" xfId="223" xr:uid="{00000000-0005-0000-0000-0000FF000000}"/>
    <cellStyle name="Normal 4 2 2 3 3 2 2" xfId="534" xr:uid="{00000000-0005-0000-0000-000000010000}"/>
    <cellStyle name="Normal 4 2 2 3 3 2 2 2" xfId="1222" xr:uid="{0047F8AB-7820-4D14-848C-42E402A87A79}"/>
    <cellStyle name="Normal 4 2 2 3 3 2 3" xfId="912" xr:uid="{39A89DF9-808A-472E-8544-97ED54E615EA}"/>
    <cellStyle name="Normal 4 2 2 3 3 3" xfId="434" xr:uid="{00000000-0005-0000-0000-000001010000}"/>
    <cellStyle name="Normal 4 2 2 3 3 3 2" xfId="1122" xr:uid="{1A18733C-35B5-4D66-83CA-72C3D4777BFB}"/>
    <cellStyle name="Normal 4 2 2 3 3 4" xfId="810" xr:uid="{48DA91ED-F475-44C7-90DB-CD511B3DFBA2}"/>
    <cellStyle name="Normal 4 2 2 3 4" xfId="224" xr:uid="{00000000-0005-0000-0000-000002010000}"/>
    <cellStyle name="Normal 4 2 2 3 4 2" xfId="535" xr:uid="{00000000-0005-0000-0000-000003010000}"/>
    <cellStyle name="Normal 4 2 2 3 4 2 2" xfId="1223" xr:uid="{5C738819-47E5-4FFD-ADB5-8BC53E3BE223}"/>
    <cellStyle name="Normal 4 2 2 3 4 3" xfId="913" xr:uid="{D8CCF10B-E9DF-4F5C-98BC-27F1E16E2B7C}"/>
    <cellStyle name="Normal 4 2 2 3 5" xfId="360" xr:uid="{00000000-0005-0000-0000-000004010000}"/>
    <cellStyle name="Normal 4 2 2 3 5 2" xfId="1048" xr:uid="{79280AAA-6B88-47C5-8073-6F91A4CC09EF}"/>
    <cellStyle name="Normal 4 2 2 3 6" xfId="730" xr:uid="{9415C20C-0D64-4519-8675-BD36E08152F3}"/>
    <cellStyle name="Normal 4 2 2 4" xfId="54" xr:uid="{00000000-0005-0000-0000-000005010000}"/>
    <cellStyle name="Normal 4 2 2 4 2" xfId="136" xr:uid="{00000000-0005-0000-0000-000006010000}"/>
    <cellStyle name="Normal 4 2 2 4 2 2" xfId="225" xr:uid="{00000000-0005-0000-0000-000007010000}"/>
    <cellStyle name="Normal 4 2 2 4 2 2 2" xfId="536" xr:uid="{00000000-0005-0000-0000-000008010000}"/>
    <cellStyle name="Normal 4 2 2 4 2 2 2 2" xfId="1224" xr:uid="{F656D3FA-27DC-41DB-A695-9760DD61AFF1}"/>
    <cellStyle name="Normal 4 2 2 4 2 2 3" xfId="914" xr:uid="{4A9E25C1-640D-4115-9592-B7BAEB9E018F}"/>
    <cellStyle name="Normal 4 2 2 4 2 3" xfId="451" xr:uid="{00000000-0005-0000-0000-000009010000}"/>
    <cellStyle name="Normal 4 2 2 4 2 3 2" xfId="1139" xr:uid="{819CB762-7D4E-43B7-927E-0D800377EBBA}"/>
    <cellStyle name="Normal 4 2 2 4 2 4" xfId="831" xr:uid="{9AAD609D-1EEB-4879-81E2-4F01AAB3889C}"/>
    <cellStyle name="Normal 4 2 2 4 3" xfId="226" xr:uid="{00000000-0005-0000-0000-00000A010000}"/>
    <cellStyle name="Normal 4 2 2 4 3 2" xfId="537" xr:uid="{00000000-0005-0000-0000-00000B010000}"/>
    <cellStyle name="Normal 4 2 2 4 3 2 2" xfId="1225" xr:uid="{2061DACE-BE9C-4D65-AA1C-B82314F42C62}"/>
    <cellStyle name="Normal 4 2 2 4 3 3" xfId="915" xr:uid="{A9288B73-6B99-4E90-9C64-6B11CD9C13E7}"/>
    <cellStyle name="Normal 4 2 2 4 4" xfId="377" xr:uid="{00000000-0005-0000-0000-00000C010000}"/>
    <cellStyle name="Normal 4 2 2 4 4 2" xfId="1065" xr:uid="{A35F7C46-25FD-4B0E-BD68-B027E5E4DA7E}"/>
    <cellStyle name="Normal 4 2 2 4 5" xfId="751" xr:uid="{2B04B379-4CAC-4B5C-BC6C-B0C76E8FE668}"/>
    <cellStyle name="Normal 4 2 2 5" xfId="99" xr:uid="{00000000-0005-0000-0000-00000D010000}"/>
    <cellStyle name="Normal 4 2 2 5 2" xfId="227" xr:uid="{00000000-0005-0000-0000-00000E010000}"/>
    <cellStyle name="Normal 4 2 2 5 2 2" xfId="538" xr:uid="{00000000-0005-0000-0000-00000F010000}"/>
    <cellStyle name="Normal 4 2 2 5 2 2 2" xfId="1226" xr:uid="{89F70079-8891-41FC-BDBC-7B1BE4CC30AD}"/>
    <cellStyle name="Normal 4 2 2 5 2 3" xfId="916" xr:uid="{E2CE37D1-60F7-492B-98B4-EE699997F0DC}"/>
    <cellStyle name="Normal 4 2 2 5 3" xfId="418" xr:uid="{00000000-0005-0000-0000-000010010000}"/>
    <cellStyle name="Normal 4 2 2 5 3 2" xfId="1106" xr:uid="{464804F1-40C0-43EC-8ABC-A6827011732E}"/>
    <cellStyle name="Normal 4 2 2 5 4" xfId="794" xr:uid="{A6673358-AB8A-455F-A831-73D474BB01BA}"/>
    <cellStyle name="Normal 4 2 2 6" xfId="228" xr:uid="{00000000-0005-0000-0000-000011010000}"/>
    <cellStyle name="Normal 4 2 2 6 2" xfId="539" xr:uid="{00000000-0005-0000-0000-000012010000}"/>
    <cellStyle name="Normal 4 2 2 6 2 2" xfId="1227" xr:uid="{72D1F020-6A22-41C7-8CB0-173DCF4A96CC}"/>
    <cellStyle name="Normal 4 2 2 6 3" xfId="917" xr:uid="{ED30D49E-E536-42DF-9519-B929401893AB}"/>
    <cellStyle name="Normal 4 2 2 7" xfId="344" xr:uid="{00000000-0005-0000-0000-000013010000}"/>
    <cellStyle name="Normal 4 2 2 7 2" xfId="1032" xr:uid="{08B50314-D12A-4AA8-9A53-E54DF232E008}"/>
    <cellStyle name="Normal 4 2 2 8" xfId="714" xr:uid="{74947354-53FD-48CF-AEE2-D7D4A8270B5E}"/>
    <cellStyle name="Normal 4 2 3" xfId="19" xr:uid="{00000000-0005-0000-0000-000014010000}"/>
    <cellStyle name="Normal 4 2 3 2" xfId="36" xr:uid="{00000000-0005-0000-0000-000015010000}"/>
    <cellStyle name="Normal 4 2 3 2 2" xfId="74" xr:uid="{00000000-0005-0000-0000-000016010000}"/>
    <cellStyle name="Normal 4 2 3 2 2 2" xfId="156" xr:uid="{00000000-0005-0000-0000-000017010000}"/>
    <cellStyle name="Normal 4 2 3 2 2 2 2" xfId="229" xr:uid="{00000000-0005-0000-0000-000018010000}"/>
    <cellStyle name="Normal 4 2 3 2 2 2 2 2" xfId="540" xr:uid="{00000000-0005-0000-0000-000019010000}"/>
    <cellStyle name="Normal 4 2 3 2 2 2 2 2 2" xfId="1228" xr:uid="{9F8478F7-2C84-44E8-A2E9-EA7BFE4846DC}"/>
    <cellStyle name="Normal 4 2 3 2 2 2 2 3" xfId="918" xr:uid="{DCCD1C77-0DEB-4D47-9E30-495AFCAD4C2D}"/>
    <cellStyle name="Normal 4 2 3 2 2 2 3" xfId="471" xr:uid="{00000000-0005-0000-0000-00001A010000}"/>
    <cellStyle name="Normal 4 2 3 2 2 2 3 2" xfId="1159" xr:uid="{F79BD1FB-88F2-4A16-A15C-CA8B46710C21}"/>
    <cellStyle name="Normal 4 2 3 2 2 2 4" xfId="851" xr:uid="{C4D63236-2748-4DE9-8EDB-E489832743E4}"/>
    <cellStyle name="Normal 4 2 3 2 2 3" xfId="230" xr:uid="{00000000-0005-0000-0000-00001B010000}"/>
    <cellStyle name="Normal 4 2 3 2 2 3 2" xfId="541" xr:uid="{00000000-0005-0000-0000-00001C010000}"/>
    <cellStyle name="Normal 4 2 3 2 2 3 2 2" xfId="1229" xr:uid="{42C2AEE6-E002-49F2-845A-B283DABBC771}"/>
    <cellStyle name="Normal 4 2 3 2 2 3 3" xfId="919" xr:uid="{F1B56685-AFA2-44BB-A70D-F9BA33EB22C6}"/>
    <cellStyle name="Normal 4 2 3 2 2 4" xfId="397" xr:uid="{00000000-0005-0000-0000-00001D010000}"/>
    <cellStyle name="Normal 4 2 3 2 2 4 2" xfId="1085" xr:uid="{1B586223-9353-47E6-A6AD-15240FAD8191}"/>
    <cellStyle name="Normal 4 2 3 2 2 5" xfId="771" xr:uid="{7456FD7A-07AB-48DB-8486-14CBB695CF40}"/>
    <cellStyle name="Normal 4 2 3 2 3" xfId="119" xr:uid="{00000000-0005-0000-0000-00001E010000}"/>
    <cellStyle name="Normal 4 2 3 2 3 2" xfId="231" xr:uid="{00000000-0005-0000-0000-00001F010000}"/>
    <cellStyle name="Normal 4 2 3 2 3 2 2" xfId="542" xr:uid="{00000000-0005-0000-0000-000020010000}"/>
    <cellStyle name="Normal 4 2 3 2 3 2 2 2" xfId="1230" xr:uid="{6C3F10B9-E7C1-467F-BE62-00E017714E2D}"/>
    <cellStyle name="Normal 4 2 3 2 3 2 3" xfId="920" xr:uid="{E1CF3B0D-994F-48AF-BCC1-4A11FD74EBF3}"/>
    <cellStyle name="Normal 4 2 3 2 3 3" xfId="438" xr:uid="{00000000-0005-0000-0000-000021010000}"/>
    <cellStyle name="Normal 4 2 3 2 3 3 2" xfId="1126" xr:uid="{5AE1F337-FE69-40D8-B7E1-15E006C71BA3}"/>
    <cellStyle name="Normal 4 2 3 2 3 4" xfId="814" xr:uid="{89684F3D-0D40-4CC2-B750-EB3369760200}"/>
    <cellStyle name="Normal 4 2 3 2 4" xfId="232" xr:uid="{00000000-0005-0000-0000-000022010000}"/>
    <cellStyle name="Normal 4 2 3 2 4 2" xfId="543" xr:uid="{00000000-0005-0000-0000-000023010000}"/>
    <cellStyle name="Normal 4 2 3 2 4 2 2" xfId="1231" xr:uid="{D6380F03-53A8-4431-919E-1B105123A1C2}"/>
    <cellStyle name="Normal 4 2 3 2 4 3" xfId="921" xr:uid="{F2B56E1E-50E4-4000-8349-48A70FCD367D}"/>
    <cellStyle name="Normal 4 2 3 2 5" xfId="364" xr:uid="{00000000-0005-0000-0000-000024010000}"/>
    <cellStyle name="Normal 4 2 3 2 5 2" xfId="1052" xr:uid="{B1DBA6C4-6AB1-4E29-8549-CB4164F49B56}"/>
    <cellStyle name="Normal 4 2 3 2 6" xfId="734" xr:uid="{6C6880C1-213D-4C5B-BA9E-C342A75B5177}"/>
    <cellStyle name="Normal 4 2 3 3" xfId="58" xr:uid="{00000000-0005-0000-0000-000025010000}"/>
    <cellStyle name="Normal 4 2 3 3 2" xfId="140" xr:uid="{00000000-0005-0000-0000-000026010000}"/>
    <cellStyle name="Normal 4 2 3 3 2 2" xfId="233" xr:uid="{00000000-0005-0000-0000-000027010000}"/>
    <cellStyle name="Normal 4 2 3 3 2 2 2" xfId="544" xr:uid="{00000000-0005-0000-0000-000028010000}"/>
    <cellStyle name="Normal 4 2 3 3 2 2 2 2" xfId="1232" xr:uid="{D1F8786D-E4D6-4399-8182-C1E6ACC83862}"/>
    <cellStyle name="Normal 4 2 3 3 2 2 3" xfId="922" xr:uid="{CEFDD847-C71F-44A1-A570-C6504C77D5E2}"/>
    <cellStyle name="Normal 4 2 3 3 2 3" xfId="455" xr:uid="{00000000-0005-0000-0000-000029010000}"/>
    <cellStyle name="Normal 4 2 3 3 2 3 2" xfId="1143" xr:uid="{FFA9819A-5C4A-45BB-A3B1-454E46D4A56E}"/>
    <cellStyle name="Normal 4 2 3 3 2 4" xfId="835" xr:uid="{AACD63E2-97B7-43B7-A97D-72FB19AAA39C}"/>
    <cellStyle name="Normal 4 2 3 3 3" xfId="234" xr:uid="{00000000-0005-0000-0000-00002A010000}"/>
    <cellStyle name="Normal 4 2 3 3 3 2" xfId="545" xr:uid="{00000000-0005-0000-0000-00002B010000}"/>
    <cellStyle name="Normal 4 2 3 3 3 2 2" xfId="1233" xr:uid="{0ACEE8B0-5547-4C80-AA57-083DF1F14B3C}"/>
    <cellStyle name="Normal 4 2 3 3 3 3" xfId="923" xr:uid="{BC8B6591-BC0B-4945-9AA5-E67A16B08A5D}"/>
    <cellStyle name="Normal 4 2 3 3 4" xfId="381" xr:uid="{00000000-0005-0000-0000-00002C010000}"/>
    <cellStyle name="Normal 4 2 3 3 4 2" xfId="1069" xr:uid="{1610EF71-51EA-4532-973A-9315841E382C}"/>
    <cellStyle name="Normal 4 2 3 3 5" xfId="755" xr:uid="{804D80A4-E643-4C54-82A4-36C0AF691D54}"/>
    <cellStyle name="Normal 4 2 3 4" xfId="103" xr:uid="{00000000-0005-0000-0000-00002D010000}"/>
    <cellStyle name="Normal 4 2 3 4 2" xfId="235" xr:uid="{00000000-0005-0000-0000-00002E010000}"/>
    <cellStyle name="Normal 4 2 3 4 2 2" xfId="546" xr:uid="{00000000-0005-0000-0000-00002F010000}"/>
    <cellStyle name="Normal 4 2 3 4 2 2 2" xfId="1234" xr:uid="{CE69EAE9-45D3-4363-80F6-E3CED27731FA}"/>
    <cellStyle name="Normal 4 2 3 4 2 3" xfId="924" xr:uid="{C5AB5D24-FDFA-4F32-9642-85E21E7BA696}"/>
    <cellStyle name="Normal 4 2 3 4 3" xfId="422" xr:uid="{00000000-0005-0000-0000-000030010000}"/>
    <cellStyle name="Normal 4 2 3 4 3 2" xfId="1110" xr:uid="{DB9E1480-16D2-434D-8C0B-958E1A2504F7}"/>
    <cellStyle name="Normal 4 2 3 4 4" xfId="798" xr:uid="{8A9AE26C-AC65-475E-A326-B25893D22719}"/>
    <cellStyle name="Normal 4 2 3 5" xfId="236" xr:uid="{00000000-0005-0000-0000-000031010000}"/>
    <cellStyle name="Normal 4 2 3 5 2" xfId="547" xr:uid="{00000000-0005-0000-0000-000032010000}"/>
    <cellStyle name="Normal 4 2 3 5 2 2" xfId="1235" xr:uid="{3AF4D029-2CEC-44D8-82D9-8FBD5F38C118}"/>
    <cellStyle name="Normal 4 2 3 5 3" xfId="925" xr:uid="{F81C4610-D2FD-4752-BF10-A1E9454D9B73}"/>
    <cellStyle name="Normal 4 2 3 6" xfId="348" xr:uid="{00000000-0005-0000-0000-000033010000}"/>
    <cellStyle name="Normal 4 2 3 6 2" xfId="1036" xr:uid="{1AF2A2AB-7926-4F36-9AC4-2DCA7D469285}"/>
    <cellStyle name="Normal 4 2 3 7" xfId="718" xr:uid="{0346D0B3-36FB-44FB-8EF0-864A43403031}"/>
    <cellStyle name="Normal 4 2 4" xfId="28" xr:uid="{00000000-0005-0000-0000-000034010000}"/>
    <cellStyle name="Normal 4 2 4 2" xfId="66" xr:uid="{00000000-0005-0000-0000-000035010000}"/>
    <cellStyle name="Normal 4 2 4 2 2" xfId="148" xr:uid="{00000000-0005-0000-0000-000036010000}"/>
    <cellStyle name="Normal 4 2 4 2 2 2" xfId="237" xr:uid="{00000000-0005-0000-0000-000037010000}"/>
    <cellStyle name="Normal 4 2 4 2 2 2 2" xfId="548" xr:uid="{00000000-0005-0000-0000-000038010000}"/>
    <cellStyle name="Normal 4 2 4 2 2 2 2 2" xfId="1236" xr:uid="{3D6A626F-B6C7-405D-8FAE-4E339ABA8867}"/>
    <cellStyle name="Normal 4 2 4 2 2 2 3" xfId="926" xr:uid="{00604F1D-EF5B-475C-B5A1-7979B97B3A7C}"/>
    <cellStyle name="Normal 4 2 4 2 2 3" xfId="463" xr:uid="{00000000-0005-0000-0000-000039010000}"/>
    <cellStyle name="Normal 4 2 4 2 2 3 2" xfId="1151" xr:uid="{987D8E4B-1B52-4BDD-9881-87D3772F9127}"/>
    <cellStyle name="Normal 4 2 4 2 2 4" xfId="843" xr:uid="{285F6757-9CA4-47FE-AEFE-BF5E3ACF0D91}"/>
    <cellStyle name="Normal 4 2 4 2 3" xfId="238" xr:uid="{00000000-0005-0000-0000-00003A010000}"/>
    <cellStyle name="Normal 4 2 4 2 3 2" xfId="549" xr:uid="{00000000-0005-0000-0000-00003B010000}"/>
    <cellStyle name="Normal 4 2 4 2 3 2 2" xfId="1237" xr:uid="{A7D6CA5B-B33D-49DA-ACA3-D898FBDB0D29}"/>
    <cellStyle name="Normal 4 2 4 2 3 3" xfId="927" xr:uid="{E7F085CC-B104-4F47-BFB3-70F2E73DF25A}"/>
    <cellStyle name="Normal 4 2 4 2 4" xfId="389" xr:uid="{00000000-0005-0000-0000-00003C010000}"/>
    <cellStyle name="Normal 4 2 4 2 4 2" xfId="1077" xr:uid="{B28CD06B-C16C-461E-A1D4-00A544768CE8}"/>
    <cellStyle name="Normal 4 2 4 2 5" xfId="763" xr:uid="{69B2C775-72C6-4BDC-BFBB-9A906097BA72}"/>
    <cellStyle name="Normal 4 2 4 3" xfId="111" xr:uid="{00000000-0005-0000-0000-00003D010000}"/>
    <cellStyle name="Normal 4 2 4 3 2" xfId="239" xr:uid="{00000000-0005-0000-0000-00003E010000}"/>
    <cellStyle name="Normal 4 2 4 3 2 2" xfId="550" xr:uid="{00000000-0005-0000-0000-00003F010000}"/>
    <cellStyle name="Normal 4 2 4 3 2 2 2" xfId="1238" xr:uid="{ABFF50C3-D1E4-4A42-850E-F27914CD5A82}"/>
    <cellStyle name="Normal 4 2 4 3 2 3" xfId="928" xr:uid="{31CC5D69-AAF3-4619-A325-C289B3F639A0}"/>
    <cellStyle name="Normal 4 2 4 3 3" xfId="430" xr:uid="{00000000-0005-0000-0000-000040010000}"/>
    <cellStyle name="Normal 4 2 4 3 3 2" xfId="1118" xr:uid="{B5E80F59-324C-4C17-BE0E-AD52CC5E3496}"/>
    <cellStyle name="Normal 4 2 4 3 4" xfId="806" xr:uid="{D3C13553-FFB3-4597-9353-5C471BBEF85F}"/>
    <cellStyle name="Normal 4 2 4 4" xfId="240" xr:uid="{00000000-0005-0000-0000-000041010000}"/>
    <cellStyle name="Normal 4 2 4 4 2" xfId="551" xr:uid="{00000000-0005-0000-0000-000042010000}"/>
    <cellStyle name="Normal 4 2 4 4 2 2" xfId="1239" xr:uid="{617B9D3D-E5A8-4528-ACCC-4AE2B0AF0E1B}"/>
    <cellStyle name="Normal 4 2 4 4 3" xfId="929" xr:uid="{5FF80575-4589-4DBF-858B-51E77004C146}"/>
    <cellStyle name="Normal 4 2 4 5" xfId="356" xr:uid="{00000000-0005-0000-0000-000043010000}"/>
    <cellStyle name="Normal 4 2 4 5 2" xfId="1044" xr:uid="{809FA357-7EEF-45EE-8FB4-72778B014578}"/>
    <cellStyle name="Normal 4 2 4 6" xfId="726" xr:uid="{7F7C06B7-1580-4C77-AAE2-C6DCE9724193}"/>
    <cellStyle name="Normal 4 2 5" xfId="48" xr:uid="{00000000-0005-0000-0000-000044010000}"/>
    <cellStyle name="Normal 4 2 5 2" xfId="130" xr:uid="{00000000-0005-0000-0000-000045010000}"/>
    <cellStyle name="Normal 4 2 5 2 2" xfId="241" xr:uid="{00000000-0005-0000-0000-000046010000}"/>
    <cellStyle name="Normal 4 2 5 2 2 2" xfId="552" xr:uid="{00000000-0005-0000-0000-000047010000}"/>
    <cellStyle name="Normal 4 2 5 2 2 2 2" xfId="1240" xr:uid="{50D38534-B282-4253-9ECE-2CE26D29B34F}"/>
    <cellStyle name="Normal 4 2 5 2 2 3" xfId="930" xr:uid="{8D13F889-34AA-46FA-A2D9-60E232C6AEBD}"/>
    <cellStyle name="Normal 4 2 5 2 3" xfId="447" xr:uid="{00000000-0005-0000-0000-000048010000}"/>
    <cellStyle name="Normal 4 2 5 2 3 2" xfId="1135" xr:uid="{8E6BA8B5-F867-4F02-954A-D8488FD07052}"/>
    <cellStyle name="Normal 4 2 5 2 4" xfId="825" xr:uid="{DAFB8202-D2E2-4BC0-BC10-AEA7A381A8CC}"/>
    <cellStyle name="Normal 4 2 5 3" xfId="242" xr:uid="{00000000-0005-0000-0000-000049010000}"/>
    <cellStyle name="Normal 4 2 5 3 2" xfId="553" xr:uid="{00000000-0005-0000-0000-00004A010000}"/>
    <cellStyle name="Normal 4 2 5 3 2 2" xfId="1241" xr:uid="{6B22CD77-DCB7-48BB-A391-B915DCDED4ED}"/>
    <cellStyle name="Normal 4 2 5 3 3" xfId="931" xr:uid="{3EB09A4A-AA9D-43A3-860F-B2C404D9DA68}"/>
    <cellStyle name="Normal 4 2 5 4" xfId="373" xr:uid="{00000000-0005-0000-0000-00004B010000}"/>
    <cellStyle name="Normal 4 2 5 4 2" xfId="1061" xr:uid="{C4019A93-CD27-471F-818F-3CA986464C1F}"/>
    <cellStyle name="Normal 4 2 5 5" xfId="745" xr:uid="{BEA4FF56-618A-4CC6-A349-873099841D9A}"/>
    <cellStyle name="Normal 4 2 6" xfId="94" xr:uid="{00000000-0005-0000-0000-00004C010000}"/>
    <cellStyle name="Normal 4 2 6 2" xfId="243" xr:uid="{00000000-0005-0000-0000-00004D010000}"/>
    <cellStyle name="Normal 4 2 6 2 2" xfId="554" xr:uid="{00000000-0005-0000-0000-00004E010000}"/>
    <cellStyle name="Normal 4 2 6 2 2 2" xfId="1242" xr:uid="{296264A6-8265-4C6B-AD52-0034F243B608}"/>
    <cellStyle name="Normal 4 2 6 2 3" xfId="932" xr:uid="{868FD27F-BBB4-46EF-98CB-D3A6206B5F4B}"/>
    <cellStyle name="Normal 4 2 6 3" xfId="414" xr:uid="{00000000-0005-0000-0000-00004F010000}"/>
    <cellStyle name="Normal 4 2 6 3 2" xfId="1102" xr:uid="{5A1E337C-B507-4D11-9E14-AC592AAB970F}"/>
    <cellStyle name="Normal 4 2 6 4" xfId="789" xr:uid="{56B88E86-BAEE-42C5-9C3E-7B4277297DDC}"/>
    <cellStyle name="Normal 4 2 7" xfId="244" xr:uid="{00000000-0005-0000-0000-000050010000}"/>
    <cellStyle name="Normal 4 2 7 2" xfId="555" xr:uid="{00000000-0005-0000-0000-000051010000}"/>
    <cellStyle name="Normal 4 2 7 2 2" xfId="1243" xr:uid="{7009ECDE-AE78-4D20-9CFB-45C743C21A42}"/>
    <cellStyle name="Normal 4 2 7 3" xfId="933" xr:uid="{B64C5DBB-05C8-4381-9967-7C6E89B5B981}"/>
    <cellStyle name="Normal 4 2 8" xfId="340" xr:uid="{00000000-0005-0000-0000-000052010000}"/>
    <cellStyle name="Normal 4 2 8 2" xfId="1028" xr:uid="{A35A1515-CB7A-424A-B137-8002E275BB58}"/>
    <cellStyle name="Normal 4 2 9" xfId="708" xr:uid="{7C0D2456-220F-4E9E-9C4D-7AA978D09171}"/>
    <cellStyle name="Normal 4 3" xfId="11" xr:uid="{00000000-0005-0000-0000-000053010000}"/>
    <cellStyle name="Normal 4 3 2" xfId="22" xr:uid="{00000000-0005-0000-0000-000054010000}"/>
    <cellStyle name="Normal 4 3 2 2" xfId="39" xr:uid="{00000000-0005-0000-0000-000055010000}"/>
    <cellStyle name="Normal 4 3 2 2 2" xfId="77" xr:uid="{00000000-0005-0000-0000-000056010000}"/>
    <cellStyle name="Normal 4 3 2 2 2 2" xfId="159" xr:uid="{00000000-0005-0000-0000-000057010000}"/>
    <cellStyle name="Normal 4 3 2 2 2 2 2" xfId="245" xr:uid="{00000000-0005-0000-0000-000058010000}"/>
    <cellStyle name="Normal 4 3 2 2 2 2 2 2" xfId="556" xr:uid="{00000000-0005-0000-0000-000059010000}"/>
    <cellStyle name="Normal 4 3 2 2 2 2 2 2 2" xfId="1244" xr:uid="{3192ED11-9E2E-4965-94D0-999D4E4ECC68}"/>
    <cellStyle name="Normal 4 3 2 2 2 2 2 3" xfId="934" xr:uid="{EF111015-0A09-4387-B797-375368BA75C1}"/>
    <cellStyle name="Normal 4 3 2 2 2 2 3" xfId="474" xr:uid="{00000000-0005-0000-0000-00005A010000}"/>
    <cellStyle name="Normal 4 3 2 2 2 2 3 2" xfId="1162" xr:uid="{3A5C5349-0FAA-42C2-BA4A-D6F752798AAB}"/>
    <cellStyle name="Normal 4 3 2 2 2 2 4" xfId="854" xr:uid="{D6BBBDF2-305D-4ABE-8734-1416AF765959}"/>
    <cellStyle name="Normal 4 3 2 2 2 3" xfId="246" xr:uid="{00000000-0005-0000-0000-00005B010000}"/>
    <cellStyle name="Normal 4 3 2 2 2 3 2" xfId="557" xr:uid="{00000000-0005-0000-0000-00005C010000}"/>
    <cellStyle name="Normal 4 3 2 2 2 3 2 2" xfId="1245" xr:uid="{984B10CE-C0C0-4002-AB7E-94645F19E144}"/>
    <cellStyle name="Normal 4 3 2 2 2 3 3" xfId="935" xr:uid="{2EE82F26-C6FB-4F17-8644-1A7E249E2682}"/>
    <cellStyle name="Normal 4 3 2 2 2 4" xfId="400" xr:uid="{00000000-0005-0000-0000-00005D010000}"/>
    <cellStyle name="Normal 4 3 2 2 2 4 2" xfId="1088" xr:uid="{6DD4B209-FA48-4C12-B28E-3258E49CF534}"/>
    <cellStyle name="Normal 4 3 2 2 2 5" xfId="774" xr:uid="{BC2012B5-FAF4-4D8F-950F-50B606C39482}"/>
    <cellStyle name="Normal 4 3 2 2 3" xfId="122" xr:uid="{00000000-0005-0000-0000-00005E010000}"/>
    <cellStyle name="Normal 4 3 2 2 3 2" xfId="247" xr:uid="{00000000-0005-0000-0000-00005F010000}"/>
    <cellStyle name="Normal 4 3 2 2 3 2 2" xfId="558" xr:uid="{00000000-0005-0000-0000-000060010000}"/>
    <cellStyle name="Normal 4 3 2 2 3 2 2 2" xfId="1246" xr:uid="{7ACA66D7-311F-410F-912F-8DBFAC063C48}"/>
    <cellStyle name="Normal 4 3 2 2 3 2 3" xfId="936" xr:uid="{07BCEAB2-B2DF-4EAE-AF36-228937482E12}"/>
    <cellStyle name="Normal 4 3 2 2 3 3" xfId="441" xr:uid="{00000000-0005-0000-0000-000061010000}"/>
    <cellStyle name="Normal 4 3 2 2 3 3 2" xfId="1129" xr:uid="{4FC41251-269E-48F8-8BA4-2FA99E5C2EF0}"/>
    <cellStyle name="Normal 4 3 2 2 3 4" xfId="817" xr:uid="{7D5E02CC-EFE9-4CA3-AA8B-3392154A4A00}"/>
    <cellStyle name="Normal 4 3 2 2 4" xfId="248" xr:uid="{00000000-0005-0000-0000-000062010000}"/>
    <cellStyle name="Normal 4 3 2 2 4 2" xfId="559" xr:uid="{00000000-0005-0000-0000-000063010000}"/>
    <cellStyle name="Normal 4 3 2 2 4 2 2" xfId="1247" xr:uid="{E1A61137-18F3-49CE-A17E-C483CF49304D}"/>
    <cellStyle name="Normal 4 3 2 2 4 3" xfId="937" xr:uid="{099A313F-F37A-4CE1-ABBC-D4F8A5183EB7}"/>
    <cellStyle name="Normal 4 3 2 2 5" xfId="367" xr:uid="{00000000-0005-0000-0000-000064010000}"/>
    <cellStyle name="Normal 4 3 2 2 5 2" xfId="1055" xr:uid="{C3AE18B2-FB58-4EAE-8245-0148BF27112E}"/>
    <cellStyle name="Normal 4 3 2 2 6" xfId="737" xr:uid="{359968AC-5E3A-4085-A242-1809DC7A58C8}"/>
    <cellStyle name="Normal 4 3 2 3" xfId="61" xr:uid="{00000000-0005-0000-0000-000065010000}"/>
    <cellStyle name="Normal 4 3 2 3 2" xfId="143" xr:uid="{00000000-0005-0000-0000-000066010000}"/>
    <cellStyle name="Normal 4 3 2 3 2 2" xfId="249" xr:uid="{00000000-0005-0000-0000-000067010000}"/>
    <cellStyle name="Normal 4 3 2 3 2 2 2" xfId="560" xr:uid="{00000000-0005-0000-0000-000068010000}"/>
    <cellStyle name="Normal 4 3 2 3 2 2 2 2" xfId="1248" xr:uid="{771143EA-ABA2-4FD5-A72C-16E9D2789125}"/>
    <cellStyle name="Normal 4 3 2 3 2 2 3" xfId="938" xr:uid="{7ACD742C-FCC4-48BE-A27A-085ED1AF048F}"/>
    <cellStyle name="Normal 4 3 2 3 2 3" xfId="458" xr:uid="{00000000-0005-0000-0000-000069010000}"/>
    <cellStyle name="Normal 4 3 2 3 2 3 2" xfId="1146" xr:uid="{0613996B-E767-4809-B724-06FBE7ED9255}"/>
    <cellStyle name="Normal 4 3 2 3 2 4" xfId="838" xr:uid="{3BE3130E-7743-4241-AC28-8B7B37E04EF8}"/>
    <cellStyle name="Normal 4 3 2 3 3" xfId="250" xr:uid="{00000000-0005-0000-0000-00006A010000}"/>
    <cellStyle name="Normal 4 3 2 3 3 2" xfId="561" xr:uid="{00000000-0005-0000-0000-00006B010000}"/>
    <cellStyle name="Normal 4 3 2 3 3 2 2" xfId="1249" xr:uid="{D1EA0408-7BBC-4182-876D-0342D0404735}"/>
    <cellStyle name="Normal 4 3 2 3 3 3" xfId="939" xr:uid="{14DFB8D7-8802-4F76-B18B-66E1F789DF5C}"/>
    <cellStyle name="Normal 4 3 2 3 4" xfId="384" xr:uid="{00000000-0005-0000-0000-00006C010000}"/>
    <cellStyle name="Normal 4 3 2 3 4 2" xfId="1072" xr:uid="{434FBC2D-E58D-4197-B832-E5649CE59A64}"/>
    <cellStyle name="Normal 4 3 2 3 5" xfId="758" xr:uid="{5CEB1244-A7A3-46B4-A0DA-D5EC3AC2135A}"/>
    <cellStyle name="Normal 4 3 2 4" xfId="106" xr:uid="{00000000-0005-0000-0000-00006D010000}"/>
    <cellStyle name="Normal 4 3 2 4 2" xfId="251" xr:uid="{00000000-0005-0000-0000-00006E010000}"/>
    <cellStyle name="Normal 4 3 2 4 2 2" xfId="562" xr:uid="{00000000-0005-0000-0000-00006F010000}"/>
    <cellStyle name="Normal 4 3 2 4 2 2 2" xfId="1250" xr:uid="{C6493629-EDCA-4A15-9D72-A9AF4B7D9340}"/>
    <cellStyle name="Normal 4 3 2 4 2 3" xfId="940" xr:uid="{F69166BB-CD5B-4FB3-AEE7-FB76FF2BC808}"/>
    <cellStyle name="Normal 4 3 2 4 3" xfId="425" xr:uid="{00000000-0005-0000-0000-000070010000}"/>
    <cellStyle name="Normal 4 3 2 4 3 2" xfId="1113" xr:uid="{0289CF48-61AA-4B53-9622-2BFB1173E165}"/>
    <cellStyle name="Normal 4 3 2 4 4" xfId="801" xr:uid="{6D93116C-A813-40BF-8BCD-587F53042EB6}"/>
    <cellStyle name="Normal 4 3 2 5" xfId="252" xr:uid="{00000000-0005-0000-0000-000071010000}"/>
    <cellStyle name="Normal 4 3 2 5 2" xfId="563" xr:uid="{00000000-0005-0000-0000-000072010000}"/>
    <cellStyle name="Normal 4 3 2 5 2 2" xfId="1251" xr:uid="{2AECC7D3-A643-45D8-8CBB-AA5AB98B1938}"/>
    <cellStyle name="Normal 4 3 2 5 3" xfId="941" xr:uid="{FA685AAB-4E95-4A2B-9725-A4B4938CBE1E}"/>
    <cellStyle name="Normal 4 3 2 6" xfId="351" xr:uid="{00000000-0005-0000-0000-000073010000}"/>
    <cellStyle name="Normal 4 3 2 6 2" xfId="1039" xr:uid="{75074A96-9324-432F-8B83-ACE815FA6322}"/>
    <cellStyle name="Normal 4 3 2 7" xfId="721" xr:uid="{54B77EFD-83E1-4B82-B449-BAB442E00758}"/>
    <cellStyle name="Normal 4 3 3" xfId="31" xr:uid="{00000000-0005-0000-0000-000074010000}"/>
    <cellStyle name="Normal 4 3 3 2" xfId="69" xr:uid="{00000000-0005-0000-0000-000075010000}"/>
    <cellStyle name="Normal 4 3 3 2 2" xfId="151" xr:uid="{00000000-0005-0000-0000-000076010000}"/>
    <cellStyle name="Normal 4 3 3 2 2 2" xfId="253" xr:uid="{00000000-0005-0000-0000-000077010000}"/>
    <cellStyle name="Normal 4 3 3 2 2 2 2" xfId="564" xr:uid="{00000000-0005-0000-0000-000078010000}"/>
    <cellStyle name="Normal 4 3 3 2 2 2 2 2" xfId="1252" xr:uid="{22B8FC76-C2EA-4B3A-99A4-7382D49A718B}"/>
    <cellStyle name="Normal 4 3 3 2 2 2 3" xfId="942" xr:uid="{E01D4C7E-87E0-479D-BFCF-43A785B4F460}"/>
    <cellStyle name="Normal 4 3 3 2 2 3" xfId="466" xr:uid="{00000000-0005-0000-0000-000079010000}"/>
    <cellStyle name="Normal 4 3 3 2 2 3 2" xfId="1154" xr:uid="{5843E951-1A5A-4247-B74F-DCD4DFCD2EB9}"/>
    <cellStyle name="Normal 4 3 3 2 2 4" xfId="846" xr:uid="{120F7338-2F6E-4153-A62E-394494639BD5}"/>
    <cellStyle name="Normal 4 3 3 2 3" xfId="254" xr:uid="{00000000-0005-0000-0000-00007A010000}"/>
    <cellStyle name="Normal 4 3 3 2 3 2" xfId="565" xr:uid="{00000000-0005-0000-0000-00007B010000}"/>
    <cellStyle name="Normal 4 3 3 2 3 2 2" xfId="1253" xr:uid="{580A74F3-1177-4416-8D60-D6DAC2A776BD}"/>
    <cellStyle name="Normal 4 3 3 2 3 3" xfId="943" xr:uid="{5DA3E16A-954F-4EBB-A182-6B9C6AE0690E}"/>
    <cellStyle name="Normal 4 3 3 2 4" xfId="392" xr:uid="{00000000-0005-0000-0000-00007C010000}"/>
    <cellStyle name="Normal 4 3 3 2 4 2" xfId="1080" xr:uid="{66373148-78C6-4D26-ACC2-421793428646}"/>
    <cellStyle name="Normal 4 3 3 2 5" xfId="766" xr:uid="{763531C3-41DA-4135-9670-8714E6477B09}"/>
    <cellStyle name="Normal 4 3 3 3" xfId="114" xr:uid="{00000000-0005-0000-0000-00007D010000}"/>
    <cellStyle name="Normal 4 3 3 3 2" xfId="255" xr:uid="{00000000-0005-0000-0000-00007E010000}"/>
    <cellStyle name="Normal 4 3 3 3 2 2" xfId="566" xr:uid="{00000000-0005-0000-0000-00007F010000}"/>
    <cellStyle name="Normal 4 3 3 3 2 2 2" xfId="1254" xr:uid="{4063F2CB-7ED0-4E47-9789-E0DC095E58F7}"/>
    <cellStyle name="Normal 4 3 3 3 2 3" xfId="944" xr:uid="{B97BD48A-EC30-4E1C-9D85-77B296E54AEE}"/>
    <cellStyle name="Normal 4 3 3 3 3" xfId="433" xr:uid="{00000000-0005-0000-0000-000080010000}"/>
    <cellStyle name="Normal 4 3 3 3 3 2" xfId="1121" xr:uid="{765F71B2-7FFD-4649-B46C-6C017B59D4F6}"/>
    <cellStyle name="Normal 4 3 3 3 4" xfId="809" xr:uid="{FC202BE6-34FD-492B-BF7C-7BCBC4DBA64A}"/>
    <cellStyle name="Normal 4 3 3 4" xfId="256" xr:uid="{00000000-0005-0000-0000-000081010000}"/>
    <cellStyle name="Normal 4 3 3 4 2" xfId="567" xr:uid="{00000000-0005-0000-0000-000082010000}"/>
    <cellStyle name="Normal 4 3 3 4 2 2" xfId="1255" xr:uid="{5A81C3CB-31D4-4D3B-919D-EE2E8E5D5A6C}"/>
    <cellStyle name="Normal 4 3 3 4 3" xfId="945" xr:uid="{9C5198E5-B951-4EBD-B254-51B81CFAFFD3}"/>
    <cellStyle name="Normal 4 3 3 5" xfId="359" xr:uid="{00000000-0005-0000-0000-000083010000}"/>
    <cellStyle name="Normal 4 3 3 5 2" xfId="1047" xr:uid="{A61783DC-5E06-4CD2-8225-3067CC82D64A}"/>
    <cellStyle name="Normal 4 3 3 6" xfId="729" xr:uid="{7B7C037C-518D-4D23-8BAC-99FFC824F750}"/>
    <cellStyle name="Normal 4 3 4" xfId="53" xr:uid="{00000000-0005-0000-0000-000084010000}"/>
    <cellStyle name="Normal 4 3 4 2" xfId="135" xr:uid="{00000000-0005-0000-0000-000085010000}"/>
    <cellStyle name="Normal 4 3 4 2 2" xfId="257" xr:uid="{00000000-0005-0000-0000-000086010000}"/>
    <cellStyle name="Normal 4 3 4 2 2 2" xfId="568" xr:uid="{00000000-0005-0000-0000-000087010000}"/>
    <cellStyle name="Normal 4 3 4 2 2 2 2" xfId="1256" xr:uid="{2F5B1485-0C49-48E1-AA85-78D7B08709CF}"/>
    <cellStyle name="Normal 4 3 4 2 2 3" xfId="946" xr:uid="{803E9EF2-1C58-40A7-BFC9-1BAB99652BB5}"/>
    <cellStyle name="Normal 4 3 4 2 3" xfId="450" xr:uid="{00000000-0005-0000-0000-000088010000}"/>
    <cellStyle name="Normal 4 3 4 2 3 2" xfId="1138" xr:uid="{5DCA4979-54AC-4192-8015-F2E081F798A1}"/>
    <cellStyle name="Normal 4 3 4 2 4" xfId="830" xr:uid="{FB21B000-E815-49B8-8877-3477D089F2CF}"/>
    <cellStyle name="Normal 4 3 4 3" xfId="258" xr:uid="{00000000-0005-0000-0000-000089010000}"/>
    <cellStyle name="Normal 4 3 4 3 2" xfId="569" xr:uid="{00000000-0005-0000-0000-00008A010000}"/>
    <cellStyle name="Normal 4 3 4 3 2 2" xfId="1257" xr:uid="{17FC8EC3-7B8A-454F-B7D4-80CFF8813C75}"/>
    <cellStyle name="Normal 4 3 4 3 3" xfId="947" xr:uid="{0D2A5D99-3A44-4A90-A364-75D7F3591A38}"/>
    <cellStyle name="Normal 4 3 4 4" xfId="376" xr:uid="{00000000-0005-0000-0000-00008B010000}"/>
    <cellStyle name="Normal 4 3 4 4 2" xfId="1064" xr:uid="{FFF0DC0B-1F06-4BE2-B983-BC56DC0DCEA7}"/>
    <cellStyle name="Normal 4 3 4 5" xfId="750" xr:uid="{0757E8D2-28DA-453D-883C-293139032F22}"/>
    <cellStyle name="Normal 4 3 5" xfId="98" xr:uid="{00000000-0005-0000-0000-00008C010000}"/>
    <cellStyle name="Normal 4 3 5 2" xfId="259" xr:uid="{00000000-0005-0000-0000-00008D010000}"/>
    <cellStyle name="Normal 4 3 5 2 2" xfId="570" xr:uid="{00000000-0005-0000-0000-00008E010000}"/>
    <cellStyle name="Normal 4 3 5 2 2 2" xfId="1258" xr:uid="{F0A055C3-D9E1-4565-A17A-E85F26A4A8CC}"/>
    <cellStyle name="Normal 4 3 5 2 3" xfId="948" xr:uid="{0D9D7AD4-8188-4F74-BFA2-E0837705C089}"/>
    <cellStyle name="Normal 4 3 5 3" xfId="417" xr:uid="{00000000-0005-0000-0000-00008F010000}"/>
    <cellStyle name="Normal 4 3 5 3 2" xfId="1105" xr:uid="{4164B102-CD32-4EBA-AA04-1E881C445C4A}"/>
    <cellStyle name="Normal 4 3 5 4" xfId="793" xr:uid="{566C7BA9-E66B-4738-BB56-2853120DFD32}"/>
    <cellStyle name="Normal 4 3 6" xfId="260" xr:uid="{00000000-0005-0000-0000-000090010000}"/>
    <cellStyle name="Normal 4 3 6 2" xfId="571" xr:uid="{00000000-0005-0000-0000-000091010000}"/>
    <cellStyle name="Normal 4 3 6 2 2" xfId="1259" xr:uid="{29E6924A-8B15-4276-941E-56D8DAF2AECC}"/>
    <cellStyle name="Normal 4 3 6 3" xfId="949" xr:uid="{AB989B08-6E11-4178-A9EA-68DBFA29369B}"/>
    <cellStyle name="Normal 4 3 7" xfId="343" xr:uid="{00000000-0005-0000-0000-000092010000}"/>
    <cellStyle name="Normal 4 3 7 2" xfId="1031" xr:uid="{4B69B905-A95C-4BC3-A376-C7E62A1376FF}"/>
    <cellStyle name="Normal 4 3 8" xfId="713" xr:uid="{7B6CE92C-E036-455A-B13E-54F1266E0F3F}"/>
    <cellStyle name="Normal 4 4" xfId="18" xr:uid="{00000000-0005-0000-0000-000093010000}"/>
    <cellStyle name="Normal 4 4 2" xfId="35" xr:uid="{00000000-0005-0000-0000-000094010000}"/>
    <cellStyle name="Normal 4 4 2 2" xfId="73" xr:uid="{00000000-0005-0000-0000-000095010000}"/>
    <cellStyle name="Normal 4 4 2 2 2" xfId="155" xr:uid="{00000000-0005-0000-0000-000096010000}"/>
    <cellStyle name="Normal 4 4 2 2 2 2" xfId="261" xr:uid="{00000000-0005-0000-0000-000097010000}"/>
    <cellStyle name="Normal 4 4 2 2 2 2 2" xfId="572" xr:uid="{00000000-0005-0000-0000-000098010000}"/>
    <cellStyle name="Normal 4 4 2 2 2 2 2 2" xfId="1260" xr:uid="{8E0D85FF-22AD-4E29-8079-DD58FF95E8F6}"/>
    <cellStyle name="Normal 4 4 2 2 2 2 3" xfId="950" xr:uid="{82615875-F4A4-490E-B431-5CD6DEE99FB5}"/>
    <cellStyle name="Normal 4 4 2 2 2 3" xfId="470" xr:uid="{00000000-0005-0000-0000-000099010000}"/>
    <cellStyle name="Normal 4 4 2 2 2 3 2" xfId="1158" xr:uid="{0E0D6A1A-E456-496B-9C0E-61738E91733D}"/>
    <cellStyle name="Normal 4 4 2 2 2 4" xfId="850" xr:uid="{05D8E1F4-5DDF-4714-B92C-C5DA73F932A2}"/>
    <cellStyle name="Normal 4 4 2 2 3" xfId="262" xr:uid="{00000000-0005-0000-0000-00009A010000}"/>
    <cellStyle name="Normal 4 4 2 2 3 2" xfId="573" xr:uid="{00000000-0005-0000-0000-00009B010000}"/>
    <cellStyle name="Normal 4 4 2 2 3 2 2" xfId="1261" xr:uid="{FB4DF3EB-7EFB-4D4D-9412-F062EBD869D1}"/>
    <cellStyle name="Normal 4 4 2 2 3 3" xfId="951" xr:uid="{6A8E1C32-B5EE-423B-B832-14AF5987C2BD}"/>
    <cellStyle name="Normal 4 4 2 2 4" xfId="396" xr:uid="{00000000-0005-0000-0000-00009C010000}"/>
    <cellStyle name="Normal 4 4 2 2 4 2" xfId="1084" xr:uid="{B5866986-8AAB-4A53-AEE8-2F66CFE9E968}"/>
    <cellStyle name="Normal 4 4 2 2 5" xfId="770" xr:uid="{709C8C65-1F13-4CC8-80C5-62CFFFB42536}"/>
    <cellStyle name="Normal 4 4 2 3" xfId="118" xr:uid="{00000000-0005-0000-0000-00009D010000}"/>
    <cellStyle name="Normal 4 4 2 3 2" xfId="263" xr:uid="{00000000-0005-0000-0000-00009E010000}"/>
    <cellStyle name="Normal 4 4 2 3 2 2" xfId="574" xr:uid="{00000000-0005-0000-0000-00009F010000}"/>
    <cellStyle name="Normal 4 4 2 3 2 2 2" xfId="1262" xr:uid="{CA81BC46-CE4D-4A5A-8043-3F3C72E2584E}"/>
    <cellStyle name="Normal 4 4 2 3 2 3" xfId="952" xr:uid="{72C68725-0EAF-4A3F-B3C2-D67F7F608934}"/>
    <cellStyle name="Normal 4 4 2 3 3" xfId="437" xr:uid="{00000000-0005-0000-0000-0000A0010000}"/>
    <cellStyle name="Normal 4 4 2 3 3 2" xfId="1125" xr:uid="{EF24CDDC-578D-4055-B588-674EC2FD4157}"/>
    <cellStyle name="Normal 4 4 2 3 4" xfId="813" xr:uid="{B71D2448-3FA5-440A-BF6E-DC2574F5DAE2}"/>
    <cellStyle name="Normal 4 4 2 4" xfId="264" xr:uid="{00000000-0005-0000-0000-0000A1010000}"/>
    <cellStyle name="Normal 4 4 2 4 2" xfId="575" xr:uid="{00000000-0005-0000-0000-0000A2010000}"/>
    <cellStyle name="Normal 4 4 2 4 2 2" xfId="1263" xr:uid="{499F192A-AB5F-475D-B211-7BD80C3074AB}"/>
    <cellStyle name="Normal 4 4 2 4 3" xfId="953" xr:uid="{A8A791B4-60AB-4D78-8F77-6FE77DB333B2}"/>
    <cellStyle name="Normal 4 4 2 5" xfId="363" xr:uid="{00000000-0005-0000-0000-0000A3010000}"/>
    <cellStyle name="Normal 4 4 2 5 2" xfId="1051" xr:uid="{A8F12AF1-24DB-421B-9ED9-79EFF39D529B}"/>
    <cellStyle name="Normal 4 4 2 6" xfId="733" xr:uid="{9458211D-AA2B-4BC3-B11F-88997F4ECD31}"/>
    <cellStyle name="Normal 4 4 3" xfId="57" xr:uid="{00000000-0005-0000-0000-0000A4010000}"/>
    <cellStyle name="Normal 4 4 3 2" xfId="139" xr:uid="{00000000-0005-0000-0000-0000A5010000}"/>
    <cellStyle name="Normal 4 4 3 2 2" xfId="265" xr:uid="{00000000-0005-0000-0000-0000A6010000}"/>
    <cellStyle name="Normal 4 4 3 2 2 2" xfId="576" xr:uid="{00000000-0005-0000-0000-0000A7010000}"/>
    <cellStyle name="Normal 4 4 3 2 2 2 2" xfId="1264" xr:uid="{C23C5EA6-6A56-46CF-AFE0-B76EE4845337}"/>
    <cellStyle name="Normal 4 4 3 2 2 3" xfId="954" xr:uid="{FD7A237C-9945-4B0C-9CA5-14706471ABF1}"/>
    <cellStyle name="Normal 4 4 3 2 3" xfId="454" xr:uid="{00000000-0005-0000-0000-0000A8010000}"/>
    <cellStyle name="Normal 4 4 3 2 3 2" xfId="1142" xr:uid="{E4C4E2A3-5811-4EAC-AD47-E79C1D454B43}"/>
    <cellStyle name="Normal 4 4 3 2 4" xfId="834" xr:uid="{52A0BA96-FCFB-4E67-8944-6337206B095B}"/>
    <cellStyle name="Normal 4 4 3 3" xfId="266" xr:uid="{00000000-0005-0000-0000-0000A9010000}"/>
    <cellStyle name="Normal 4 4 3 3 2" xfId="577" xr:uid="{00000000-0005-0000-0000-0000AA010000}"/>
    <cellStyle name="Normal 4 4 3 3 2 2" xfId="1265" xr:uid="{13C74960-8F3F-4E67-A70A-970ED386D62B}"/>
    <cellStyle name="Normal 4 4 3 3 3" xfId="955" xr:uid="{F59E04FA-1A63-43C3-845A-9A38156CCF38}"/>
    <cellStyle name="Normal 4 4 3 4" xfId="380" xr:uid="{00000000-0005-0000-0000-0000AB010000}"/>
    <cellStyle name="Normal 4 4 3 4 2" xfId="1068" xr:uid="{E801F28E-C1B1-4AE7-9D31-C5A37B0F5ABF}"/>
    <cellStyle name="Normal 4 4 3 5" xfId="754" xr:uid="{B138583D-3089-4DB0-B09D-6D8C3557BF86}"/>
    <cellStyle name="Normal 4 4 4" xfId="102" xr:uid="{00000000-0005-0000-0000-0000AC010000}"/>
    <cellStyle name="Normal 4 4 4 2" xfId="267" xr:uid="{00000000-0005-0000-0000-0000AD010000}"/>
    <cellStyle name="Normal 4 4 4 2 2" xfId="578" xr:uid="{00000000-0005-0000-0000-0000AE010000}"/>
    <cellStyle name="Normal 4 4 4 2 2 2" xfId="1266" xr:uid="{62221544-FBEE-4D71-893A-7D0DB6344626}"/>
    <cellStyle name="Normal 4 4 4 2 3" xfId="956" xr:uid="{CB579351-6C71-4D4B-A74F-3A9A7A00968C}"/>
    <cellStyle name="Normal 4 4 4 3" xfId="421" xr:uid="{00000000-0005-0000-0000-0000AF010000}"/>
    <cellStyle name="Normal 4 4 4 3 2" xfId="1109" xr:uid="{E2900CAE-4292-44FE-A28E-1C3911352AE0}"/>
    <cellStyle name="Normal 4 4 4 4" xfId="797" xr:uid="{094E1447-9807-4EF6-A0BF-B80BBB11AD6C}"/>
    <cellStyle name="Normal 4 4 5" xfId="268" xr:uid="{00000000-0005-0000-0000-0000B0010000}"/>
    <cellStyle name="Normal 4 4 5 2" xfId="579" xr:uid="{00000000-0005-0000-0000-0000B1010000}"/>
    <cellStyle name="Normal 4 4 5 2 2" xfId="1267" xr:uid="{0F79C5F5-8961-4C74-9715-38461BA7CA9B}"/>
    <cellStyle name="Normal 4 4 5 3" xfId="957" xr:uid="{05BF46A2-3580-4BB5-AC64-11592F2C8D62}"/>
    <cellStyle name="Normal 4 4 6" xfId="347" xr:uid="{00000000-0005-0000-0000-0000B2010000}"/>
    <cellStyle name="Normal 4 4 6 2" xfId="1035" xr:uid="{09A847BC-BD3F-4820-ABB2-A4D5DF6E47FB}"/>
    <cellStyle name="Normal 4 4 7" xfId="717" xr:uid="{664321C2-E09D-440E-B980-0320AF91C1C3}"/>
    <cellStyle name="Normal 4 5" xfId="27" xr:uid="{00000000-0005-0000-0000-0000B3010000}"/>
    <cellStyle name="Normal 4 5 2" xfId="65" xr:uid="{00000000-0005-0000-0000-0000B4010000}"/>
    <cellStyle name="Normal 4 5 2 2" xfId="147" xr:uid="{00000000-0005-0000-0000-0000B5010000}"/>
    <cellStyle name="Normal 4 5 2 2 2" xfId="269" xr:uid="{00000000-0005-0000-0000-0000B6010000}"/>
    <cellStyle name="Normal 4 5 2 2 2 2" xfId="580" xr:uid="{00000000-0005-0000-0000-0000B7010000}"/>
    <cellStyle name="Normal 4 5 2 2 2 2 2" xfId="1268" xr:uid="{BE52C24C-B323-4915-9FDC-95F074A8186B}"/>
    <cellStyle name="Normal 4 5 2 2 2 3" xfId="958" xr:uid="{B0CCBD09-C8AC-48D4-A509-812E18A0C721}"/>
    <cellStyle name="Normal 4 5 2 2 3" xfId="462" xr:uid="{00000000-0005-0000-0000-0000B8010000}"/>
    <cellStyle name="Normal 4 5 2 2 3 2" xfId="1150" xr:uid="{254DED22-3F98-479F-A776-E6CE70BCD378}"/>
    <cellStyle name="Normal 4 5 2 2 4" xfId="842" xr:uid="{1D09E2B7-8593-4D79-815A-1B08E79520C4}"/>
    <cellStyle name="Normal 4 5 2 3" xfId="270" xr:uid="{00000000-0005-0000-0000-0000B9010000}"/>
    <cellStyle name="Normal 4 5 2 3 2" xfId="581" xr:uid="{00000000-0005-0000-0000-0000BA010000}"/>
    <cellStyle name="Normal 4 5 2 3 2 2" xfId="1269" xr:uid="{04CCF0C8-45DA-4096-A1EE-A66F4EC48B99}"/>
    <cellStyle name="Normal 4 5 2 3 3" xfId="959" xr:uid="{504032AB-DF0B-412B-9B92-42DC0EEE3BDD}"/>
    <cellStyle name="Normal 4 5 2 4" xfId="388" xr:uid="{00000000-0005-0000-0000-0000BB010000}"/>
    <cellStyle name="Normal 4 5 2 4 2" xfId="1076" xr:uid="{8B2C6BC8-B9A5-42E3-9333-E9731AED62A2}"/>
    <cellStyle name="Normal 4 5 2 5" xfId="762" xr:uid="{3C40C31F-860B-4350-836D-25327E678BC7}"/>
    <cellStyle name="Normal 4 5 3" xfId="110" xr:uid="{00000000-0005-0000-0000-0000BC010000}"/>
    <cellStyle name="Normal 4 5 3 2" xfId="271" xr:uid="{00000000-0005-0000-0000-0000BD010000}"/>
    <cellStyle name="Normal 4 5 3 2 2" xfId="582" xr:uid="{00000000-0005-0000-0000-0000BE010000}"/>
    <cellStyle name="Normal 4 5 3 2 2 2" xfId="1270" xr:uid="{8939A871-E3A9-4441-B33B-F9D274CD94EA}"/>
    <cellStyle name="Normal 4 5 3 2 3" xfId="960" xr:uid="{232C1301-69DD-4256-9E3B-F63F96D0C2DD}"/>
    <cellStyle name="Normal 4 5 3 3" xfId="429" xr:uid="{00000000-0005-0000-0000-0000BF010000}"/>
    <cellStyle name="Normal 4 5 3 3 2" xfId="1117" xr:uid="{E9ED94B8-3F2F-4DB7-937E-57648C1F0E74}"/>
    <cellStyle name="Normal 4 5 3 4" xfId="805" xr:uid="{6F04C951-8BD4-428D-860F-C2ECB6A4FC4E}"/>
    <cellStyle name="Normal 4 5 4" xfId="272" xr:uid="{00000000-0005-0000-0000-0000C0010000}"/>
    <cellStyle name="Normal 4 5 4 2" xfId="583" xr:uid="{00000000-0005-0000-0000-0000C1010000}"/>
    <cellStyle name="Normal 4 5 4 2 2" xfId="1271" xr:uid="{893193C1-9C4D-487A-8750-61BCB3CB40D7}"/>
    <cellStyle name="Normal 4 5 4 3" xfId="961" xr:uid="{0541FF33-4565-449B-994B-C74ED29956A0}"/>
    <cellStyle name="Normal 4 5 5" xfId="355" xr:uid="{00000000-0005-0000-0000-0000C2010000}"/>
    <cellStyle name="Normal 4 5 5 2" xfId="1043" xr:uid="{0F558421-4566-4878-8FAC-7B72FBFDB5D8}"/>
    <cellStyle name="Normal 4 5 6" xfId="725" xr:uid="{E8E20006-BF2B-4F25-9AB2-F571DDB41A64}"/>
    <cellStyle name="Normal 4 6" xfId="47" xr:uid="{00000000-0005-0000-0000-0000C3010000}"/>
    <cellStyle name="Normal 4 6 2" xfId="129" xr:uid="{00000000-0005-0000-0000-0000C4010000}"/>
    <cellStyle name="Normal 4 6 2 2" xfId="273" xr:uid="{00000000-0005-0000-0000-0000C5010000}"/>
    <cellStyle name="Normal 4 6 2 2 2" xfId="584" xr:uid="{00000000-0005-0000-0000-0000C6010000}"/>
    <cellStyle name="Normal 4 6 2 2 2 2" xfId="1272" xr:uid="{B167932E-0E9F-4A9A-A54C-EECC75D78E93}"/>
    <cellStyle name="Normal 4 6 2 2 3" xfId="962" xr:uid="{49C4C9B8-ECF6-4202-B707-4A3104E87041}"/>
    <cellStyle name="Normal 4 6 2 3" xfId="446" xr:uid="{00000000-0005-0000-0000-0000C7010000}"/>
    <cellStyle name="Normal 4 6 2 3 2" xfId="1134" xr:uid="{C9B53535-4C94-40AD-8C7A-1632C154FB00}"/>
    <cellStyle name="Normal 4 6 2 4" xfId="824" xr:uid="{29BB99AE-B3D7-4A31-9C1C-FCC9312CF84F}"/>
    <cellStyle name="Normal 4 6 3" xfId="274" xr:uid="{00000000-0005-0000-0000-0000C8010000}"/>
    <cellStyle name="Normal 4 6 3 2" xfId="585" xr:uid="{00000000-0005-0000-0000-0000C9010000}"/>
    <cellStyle name="Normal 4 6 3 2 2" xfId="1273" xr:uid="{470E39C9-6617-4178-9471-BA8F9F00D54C}"/>
    <cellStyle name="Normal 4 6 3 3" xfId="963" xr:uid="{1A2A81EA-364A-416B-84DE-0C1CACF396CB}"/>
    <cellStyle name="Normal 4 6 4" xfId="372" xr:uid="{00000000-0005-0000-0000-0000CA010000}"/>
    <cellStyle name="Normal 4 6 4 2" xfId="1060" xr:uid="{F978BFA3-2056-4AB3-A20E-2321A40F3D96}"/>
    <cellStyle name="Normal 4 6 5" xfId="744" xr:uid="{7C330D18-9F6E-4165-88FF-EAB3D0E4D855}"/>
    <cellStyle name="Normal 4 7" xfId="93" xr:uid="{00000000-0005-0000-0000-0000CB010000}"/>
    <cellStyle name="Normal 4 7 2" xfId="275" xr:uid="{00000000-0005-0000-0000-0000CC010000}"/>
    <cellStyle name="Normal 4 7 2 2" xfId="586" xr:uid="{00000000-0005-0000-0000-0000CD010000}"/>
    <cellStyle name="Normal 4 7 2 2 2" xfId="1274" xr:uid="{9D2B491B-B94F-47D6-B515-34AE8DB54B53}"/>
    <cellStyle name="Normal 4 7 2 3" xfId="964" xr:uid="{48EB8065-A004-4433-BCFF-36945032D65F}"/>
    <cellStyle name="Normal 4 7 3" xfId="413" xr:uid="{00000000-0005-0000-0000-0000CE010000}"/>
    <cellStyle name="Normal 4 7 3 2" xfId="1101" xr:uid="{EEE3DA54-9F75-4A2C-A66B-E7CE6A349E35}"/>
    <cellStyle name="Normal 4 7 4" xfId="788" xr:uid="{52B0D039-624B-44DF-8B2C-5AE38AC7E344}"/>
    <cellStyle name="Normal 4 8" xfId="276" xr:uid="{00000000-0005-0000-0000-0000CF010000}"/>
    <cellStyle name="Normal 4 8 2" xfId="587" xr:uid="{00000000-0005-0000-0000-0000D0010000}"/>
    <cellStyle name="Normal 4 8 2 2" xfId="1275" xr:uid="{D1322C35-2B89-4FC4-8310-9177DB43420C}"/>
    <cellStyle name="Normal 4 8 3" xfId="965" xr:uid="{5DCC9669-BACF-4CE0-BE01-64293D2064A5}"/>
    <cellStyle name="Normal 4 9" xfId="339" xr:uid="{00000000-0005-0000-0000-0000D1010000}"/>
    <cellStyle name="Normal 4 9 2" xfId="1027" xr:uid="{56D3F44C-E724-4AB3-9E61-16FB1CE5C2E2}"/>
    <cellStyle name="Normal 40" xfId="1355" xr:uid="{E20C7305-BA5E-41B6-8F34-6A71AADEFD26}"/>
    <cellStyle name="Normal 41" xfId="1356" xr:uid="{E00F5193-27AD-4ABC-A0E8-F8CF32B7FE83}"/>
    <cellStyle name="Normal 41 2" xfId="1358" xr:uid="{23B7E93F-F490-4063-9EAD-CD4B44B3AF9B}"/>
    <cellStyle name="Normal 41 3" xfId="1359" xr:uid="{58B4FB0D-A471-4C0A-B6E8-3E9A3C79B1A4}"/>
    <cellStyle name="Normal 41 4" xfId="1360" xr:uid="{BB3614F4-AF91-47CD-BC85-A060EBB9BB7B}"/>
    <cellStyle name="Normal 41 4 2" xfId="1361" xr:uid="{BA1EC312-B373-42C6-9BC3-EF86D22EFA9C}"/>
    <cellStyle name="Normal 41 5" xfId="1362" xr:uid="{A3E6194D-2951-40BA-9765-6A1BE93EBBAE}"/>
    <cellStyle name="Normal 41 6" xfId="1363" xr:uid="{CD4B23D6-9A6E-4BA8-B75B-0D444F28C67B}"/>
    <cellStyle name="Normal 41 6 10" xfId="1451" xr:uid="{B34C00E4-45DB-424F-8653-0540AD98F208}"/>
    <cellStyle name="Normal 41 6 11" xfId="1453" xr:uid="{0104EFCA-FF86-46EF-BB67-066C481568BD}"/>
    <cellStyle name="Normal 41 6 12" xfId="1454" xr:uid="{B418603D-0648-4B08-ADC8-7176AF866517}"/>
    <cellStyle name="Normal 41 6 13" xfId="1456" xr:uid="{AAE1F07D-35A9-4F2C-9AFF-D86DE22AB3A9}"/>
    <cellStyle name="Normal 41 6 14" xfId="1458" xr:uid="{10D51C6C-AA05-4E80-8D78-0ED8A3421E0E}"/>
    <cellStyle name="Normal 41 6 15" xfId="1459" xr:uid="{193DD81F-450F-4034-84AC-0661BCC2C73D}"/>
    <cellStyle name="Normal 41 6 16" xfId="1462" xr:uid="{C92E52D4-B05E-47E9-BF8A-DD99ED4CEAF7}"/>
    <cellStyle name="Normal 41 6 17" xfId="1482" xr:uid="{2CC7B286-CD16-4C6F-BF30-BD704FFE19D8}"/>
    <cellStyle name="Normal 41 6 18" xfId="1483" xr:uid="{54784387-F39F-4C52-9A6F-5459FAE085F5}"/>
    <cellStyle name="Normal 41 6 18 2" xfId="1484" xr:uid="{DA0A6F37-0C67-49D0-914F-456E9918B690}"/>
    <cellStyle name="Normal 41 6 2" xfId="1364" xr:uid="{5005CFA9-B2C4-41F8-B290-05538695F7D1}"/>
    <cellStyle name="Normal 41 6 3" xfId="1445" xr:uid="{929A7AA0-8DE3-46E0-A668-F12A965CB6E6}"/>
    <cellStyle name="Normal 41 6 4" xfId="1444" xr:uid="{49F5A209-EA01-47EA-AEDC-FC020D51EEF4}"/>
    <cellStyle name="Normal 41 6 5" xfId="1446" xr:uid="{2A587DA2-337B-4710-931B-FBE7416D95A6}"/>
    <cellStyle name="Normal 41 6 6" xfId="1447" xr:uid="{A00FD232-A9BD-4C41-9399-41D116BF4CA3}"/>
    <cellStyle name="Normal 41 6 7" xfId="1448" xr:uid="{CFE7DBE9-D9BA-491D-9762-DB189FFD17F5}"/>
    <cellStyle name="Normal 41 6 8" xfId="1449" xr:uid="{1E1B65B5-9393-479E-9136-2AFDDE43990D}"/>
    <cellStyle name="Normal 41 6 9" xfId="1450" xr:uid="{9A35BD26-EB98-47D5-BAEB-A840CE5B8E74}"/>
    <cellStyle name="Normal 41 7" xfId="1461" xr:uid="{E44FF2CF-295E-4AA8-BE55-2ECFB57F5CA5}"/>
    <cellStyle name="Normal 42" xfId="1357" xr:uid="{24F94F08-ADCD-4BD3-A02B-0689CBE7E227}"/>
    <cellStyle name="Normal 43" xfId="1452" xr:uid="{20915D91-9559-454E-9CAC-7E5C9D89BC21}"/>
    <cellStyle name="Normal 44" xfId="1460" xr:uid="{FF909F0A-FD78-4B01-9BAA-FDCF04FF49D8}"/>
    <cellStyle name="Normal 5" xfId="7" xr:uid="{00000000-0005-0000-0000-0000D2010000}"/>
    <cellStyle name="Normal 5 2" xfId="13" xr:uid="{00000000-0005-0000-0000-0000D3010000}"/>
    <cellStyle name="Normal 5 2 2" xfId="24" xr:uid="{00000000-0005-0000-0000-0000D4010000}"/>
    <cellStyle name="Normal 5 2 2 2" xfId="41" xr:uid="{00000000-0005-0000-0000-0000D5010000}"/>
    <cellStyle name="Normal 5 2 2 2 2" xfId="79" xr:uid="{00000000-0005-0000-0000-0000D6010000}"/>
    <cellStyle name="Normal 5 2 2 2 2 2" xfId="161" xr:uid="{00000000-0005-0000-0000-0000D7010000}"/>
    <cellStyle name="Normal 5 2 2 2 2 2 2" xfId="277" xr:uid="{00000000-0005-0000-0000-0000D8010000}"/>
    <cellStyle name="Normal 5 2 2 2 2 2 2 2" xfId="588" xr:uid="{00000000-0005-0000-0000-0000D9010000}"/>
    <cellStyle name="Normal 5 2 2 2 2 2 2 2 2" xfId="1276" xr:uid="{5522F6A5-27D7-4E83-96BC-77A702CECB83}"/>
    <cellStyle name="Normal 5 2 2 2 2 2 2 3" xfId="966" xr:uid="{F7119711-E017-43FB-B8C9-977F26F76ECC}"/>
    <cellStyle name="Normal 5 2 2 2 2 2 3" xfId="476" xr:uid="{00000000-0005-0000-0000-0000DA010000}"/>
    <cellStyle name="Normal 5 2 2 2 2 2 3 2" xfId="1164" xr:uid="{0092BF73-2817-4E0E-BC4C-7C405D18D321}"/>
    <cellStyle name="Normal 5 2 2 2 2 2 4" xfId="856" xr:uid="{CD3FCD3A-80B2-4E57-A0B2-8D2EC9E14BDF}"/>
    <cellStyle name="Normal 5 2 2 2 2 3" xfId="278" xr:uid="{00000000-0005-0000-0000-0000DB010000}"/>
    <cellStyle name="Normal 5 2 2 2 2 3 2" xfId="589" xr:uid="{00000000-0005-0000-0000-0000DC010000}"/>
    <cellStyle name="Normal 5 2 2 2 2 3 2 2" xfId="1277" xr:uid="{38707810-327E-4FB2-986C-1BF64A70AE1E}"/>
    <cellStyle name="Normal 5 2 2 2 2 3 3" xfId="967" xr:uid="{498B80FE-B983-4737-889E-7805753E42CB}"/>
    <cellStyle name="Normal 5 2 2 2 2 4" xfId="402" xr:uid="{00000000-0005-0000-0000-0000DD010000}"/>
    <cellStyle name="Normal 5 2 2 2 2 4 2" xfId="1090" xr:uid="{834FB46D-C7F5-49C7-B478-7DBBEE9C6D43}"/>
    <cellStyle name="Normal 5 2 2 2 2 5" xfId="776" xr:uid="{78BE44AB-76CC-478B-AC66-E916793B0A5C}"/>
    <cellStyle name="Normal 5 2 2 2 3" xfId="124" xr:uid="{00000000-0005-0000-0000-0000DE010000}"/>
    <cellStyle name="Normal 5 2 2 2 3 2" xfId="279" xr:uid="{00000000-0005-0000-0000-0000DF010000}"/>
    <cellStyle name="Normal 5 2 2 2 3 2 2" xfId="590" xr:uid="{00000000-0005-0000-0000-0000E0010000}"/>
    <cellStyle name="Normal 5 2 2 2 3 2 2 2" xfId="1278" xr:uid="{193B6B96-36DE-41A1-BE02-67E5929B069E}"/>
    <cellStyle name="Normal 5 2 2 2 3 2 3" xfId="968" xr:uid="{CD96BA57-8464-4923-A598-EF80E5368306}"/>
    <cellStyle name="Normal 5 2 2 2 3 3" xfId="443" xr:uid="{00000000-0005-0000-0000-0000E1010000}"/>
    <cellStyle name="Normal 5 2 2 2 3 3 2" xfId="1131" xr:uid="{2F18E0EA-28B1-42F0-975F-D1514EE189F0}"/>
    <cellStyle name="Normal 5 2 2 2 3 4" xfId="819" xr:uid="{FE78CF90-A999-4F5B-A325-DEA66F6EA37C}"/>
    <cellStyle name="Normal 5 2 2 2 4" xfId="280" xr:uid="{00000000-0005-0000-0000-0000E2010000}"/>
    <cellStyle name="Normal 5 2 2 2 4 2" xfId="591" xr:uid="{00000000-0005-0000-0000-0000E3010000}"/>
    <cellStyle name="Normal 5 2 2 2 4 2 2" xfId="1279" xr:uid="{7469D532-A468-4AC9-BC3A-6A42062E41B9}"/>
    <cellStyle name="Normal 5 2 2 2 4 3" xfId="969" xr:uid="{047D6270-28AF-4C2A-A767-1DF2D44EE67A}"/>
    <cellStyle name="Normal 5 2 2 2 5" xfId="369" xr:uid="{00000000-0005-0000-0000-0000E4010000}"/>
    <cellStyle name="Normal 5 2 2 2 5 2" xfId="1057" xr:uid="{1AB251E2-5FF7-49AC-B1BD-2424605B4C09}"/>
    <cellStyle name="Normal 5 2 2 2 6" xfId="739" xr:uid="{0FDD7CE8-A49E-4A79-A7DF-1E05EC772AA4}"/>
    <cellStyle name="Normal 5 2 2 3" xfId="63" xr:uid="{00000000-0005-0000-0000-0000E5010000}"/>
    <cellStyle name="Normal 5 2 2 3 2" xfId="145" xr:uid="{00000000-0005-0000-0000-0000E6010000}"/>
    <cellStyle name="Normal 5 2 2 3 2 2" xfId="281" xr:uid="{00000000-0005-0000-0000-0000E7010000}"/>
    <cellStyle name="Normal 5 2 2 3 2 2 2" xfId="592" xr:uid="{00000000-0005-0000-0000-0000E8010000}"/>
    <cellStyle name="Normal 5 2 2 3 2 2 2 2" xfId="1280" xr:uid="{86DBA3DB-58C9-4F12-A362-C426985FF973}"/>
    <cellStyle name="Normal 5 2 2 3 2 2 3" xfId="970" xr:uid="{B31315D8-1701-4AD8-BB04-6DB8809B228C}"/>
    <cellStyle name="Normal 5 2 2 3 2 3" xfId="460" xr:uid="{00000000-0005-0000-0000-0000E9010000}"/>
    <cellStyle name="Normal 5 2 2 3 2 3 2" xfId="1148" xr:uid="{2A92172F-43AF-4380-931F-39B7965D983D}"/>
    <cellStyle name="Normal 5 2 2 3 2 4" xfId="840" xr:uid="{530885F1-3884-40A6-84B9-C6ECB0BDBA01}"/>
    <cellStyle name="Normal 5 2 2 3 3" xfId="282" xr:uid="{00000000-0005-0000-0000-0000EA010000}"/>
    <cellStyle name="Normal 5 2 2 3 3 2" xfId="593" xr:uid="{00000000-0005-0000-0000-0000EB010000}"/>
    <cellStyle name="Normal 5 2 2 3 3 2 2" xfId="1281" xr:uid="{ECB53266-ED1F-4CBF-B96C-2C91DC629D64}"/>
    <cellStyle name="Normal 5 2 2 3 3 3" xfId="971" xr:uid="{C5B815D8-6DB3-4EB5-8E6C-067259C106CB}"/>
    <cellStyle name="Normal 5 2 2 3 4" xfId="386" xr:uid="{00000000-0005-0000-0000-0000EC010000}"/>
    <cellStyle name="Normal 5 2 2 3 4 2" xfId="1074" xr:uid="{67801091-5432-441E-80E3-258F2962825D}"/>
    <cellStyle name="Normal 5 2 2 3 5" xfId="760" xr:uid="{7C68F5B9-AFB2-4353-8F46-09197C3C1CBC}"/>
    <cellStyle name="Normal 5 2 2 4" xfId="108" xr:uid="{00000000-0005-0000-0000-0000ED010000}"/>
    <cellStyle name="Normal 5 2 2 4 2" xfId="283" xr:uid="{00000000-0005-0000-0000-0000EE010000}"/>
    <cellStyle name="Normal 5 2 2 4 2 2" xfId="594" xr:uid="{00000000-0005-0000-0000-0000EF010000}"/>
    <cellStyle name="Normal 5 2 2 4 2 2 2" xfId="1282" xr:uid="{2D27889E-BE42-4A61-93F9-73E8883DF47A}"/>
    <cellStyle name="Normal 5 2 2 4 2 3" xfId="972" xr:uid="{F94CF023-535C-4D28-BA0C-24C2FB0B752F}"/>
    <cellStyle name="Normal 5 2 2 4 3" xfId="427" xr:uid="{00000000-0005-0000-0000-0000F0010000}"/>
    <cellStyle name="Normal 5 2 2 4 3 2" xfId="1115" xr:uid="{64DFA8FD-5708-4B99-841D-AB2E608DDF6A}"/>
    <cellStyle name="Normal 5 2 2 4 4" xfId="803" xr:uid="{44133FFA-69EC-46F6-A849-6F496FFDD362}"/>
    <cellStyle name="Normal 5 2 2 5" xfId="284" xr:uid="{00000000-0005-0000-0000-0000F1010000}"/>
    <cellStyle name="Normal 5 2 2 5 2" xfId="595" xr:uid="{00000000-0005-0000-0000-0000F2010000}"/>
    <cellStyle name="Normal 5 2 2 5 2 2" xfId="1283" xr:uid="{C584A5FB-6D15-4A1B-A1F4-1E5ACE42FA76}"/>
    <cellStyle name="Normal 5 2 2 5 3" xfId="973" xr:uid="{C80477B4-D6FA-4287-9385-F9090317C0B0}"/>
    <cellStyle name="Normal 5 2 2 6" xfId="353" xr:uid="{00000000-0005-0000-0000-0000F3010000}"/>
    <cellStyle name="Normal 5 2 2 6 2" xfId="1041" xr:uid="{04733D2F-47D7-47D2-A1B9-FFF1C74B6A46}"/>
    <cellStyle name="Normal 5 2 2 7" xfId="723" xr:uid="{19A15703-13B0-48DD-B73F-3EA527491D29}"/>
    <cellStyle name="Normal 5 2 3" xfId="33" xr:uid="{00000000-0005-0000-0000-0000F4010000}"/>
    <cellStyle name="Normal 5 2 3 2" xfId="71" xr:uid="{00000000-0005-0000-0000-0000F5010000}"/>
    <cellStyle name="Normal 5 2 3 2 2" xfId="153" xr:uid="{00000000-0005-0000-0000-0000F6010000}"/>
    <cellStyle name="Normal 5 2 3 2 2 2" xfId="285" xr:uid="{00000000-0005-0000-0000-0000F7010000}"/>
    <cellStyle name="Normal 5 2 3 2 2 2 2" xfId="596" xr:uid="{00000000-0005-0000-0000-0000F8010000}"/>
    <cellStyle name="Normal 5 2 3 2 2 2 2 2" xfId="1284" xr:uid="{D286526C-04D3-48EE-B8E5-155D5F95C4AC}"/>
    <cellStyle name="Normal 5 2 3 2 2 2 3" xfId="974" xr:uid="{F845B37A-6B9D-47FB-B588-CA2B22B5AAFC}"/>
    <cellStyle name="Normal 5 2 3 2 2 3" xfId="468" xr:uid="{00000000-0005-0000-0000-0000F9010000}"/>
    <cellStyle name="Normal 5 2 3 2 2 3 2" xfId="1156" xr:uid="{C1DBE8D3-D2C0-42B4-97A3-E0BC5C7C60E3}"/>
    <cellStyle name="Normal 5 2 3 2 2 4" xfId="848" xr:uid="{A79AC31F-6B5E-43C4-A11C-F0045704E7BD}"/>
    <cellStyle name="Normal 5 2 3 2 3" xfId="286" xr:uid="{00000000-0005-0000-0000-0000FA010000}"/>
    <cellStyle name="Normal 5 2 3 2 3 2" xfId="597" xr:uid="{00000000-0005-0000-0000-0000FB010000}"/>
    <cellStyle name="Normal 5 2 3 2 3 2 2" xfId="1285" xr:uid="{40BDDB0A-6D9B-451E-9B70-16A8105FA750}"/>
    <cellStyle name="Normal 5 2 3 2 3 3" xfId="975" xr:uid="{3F954165-9E20-4FAE-9D43-05F35FD552FB}"/>
    <cellStyle name="Normal 5 2 3 2 4" xfId="394" xr:uid="{00000000-0005-0000-0000-0000FC010000}"/>
    <cellStyle name="Normal 5 2 3 2 4 2" xfId="1082" xr:uid="{A01A2C6D-D982-448F-93E5-76D7E238B2EB}"/>
    <cellStyle name="Normal 5 2 3 2 5" xfId="768" xr:uid="{0D701997-4888-4D3F-92E5-7B412F161F11}"/>
    <cellStyle name="Normal 5 2 3 3" xfId="116" xr:uid="{00000000-0005-0000-0000-0000FD010000}"/>
    <cellStyle name="Normal 5 2 3 3 2" xfId="287" xr:uid="{00000000-0005-0000-0000-0000FE010000}"/>
    <cellStyle name="Normal 5 2 3 3 2 2" xfId="598" xr:uid="{00000000-0005-0000-0000-0000FF010000}"/>
    <cellStyle name="Normal 5 2 3 3 2 2 2" xfId="1286" xr:uid="{05E61323-24F7-4DB1-B277-D6070B063A4B}"/>
    <cellStyle name="Normal 5 2 3 3 2 3" xfId="976" xr:uid="{003A578C-86A4-4B66-9F38-13D95EFDEDD5}"/>
    <cellStyle name="Normal 5 2 3 3 3" xfId="435" xr:uid="{00000000-0005-0000-0000-000000020000}"/>
    <cellStyle name="Normal 5 2 3 3 3 2" xfId="1123" xr:uid="{DC04AD3F-4267-4947-A6F0-1673D91C0163}"/>
    <cellStyle name="Normal 5 2 3 3 4" xfId="811" xr:uid="{8C2E994F-BED8-4B5C-A9E8-2E5A88753048}"/>
    <cellStyle name="Normal 5 2 3 4" xfId="288" xr:uid="{00000000-0005-0000-0000-000001020000}"/>
    <cellStyle name="Normal 5 2 3 4 2" xfId="599" xr:uid="{00000000-0005-0000-0000-000002020000}"/>
    <cellStyle name="Normal 5 2 3 4 2 2" xfId="1287" xr:uid="{12C7096C-F58A-4C65-926A-D066C7B7E744}"/>
    <cellStyle name="Normal 5 2 3 4 3" xfId="977" xr:uid="{B248B676-3DF0-42C7-929E-364353ECD45F}"/>
    <cellStyle name="Normal 5 2 3 5" xfId="361" xr:uid="{00000000-0005-0000-0000-000003020000}"/>
    <cellStyle name="Normal 5 2 3 5 2" xfId="1049" xr:uid="{F8585C65-1025-47E1-8D93-309E735C406D}"/>
    <cellStyle name="Normal 5 2 3 6" xfId="731" xr:uid="{05C6BD2E-725F-4522-BB96-A1FAACEBEA46}"/>
    <cellStyle name="Normal 5 2 4" xfId="55" xr:uid="{00000000-0005-0000-0000-000004020000}"/>
    <cellStyle name="Normal 5 2 4 2" xfId="137" xr:uid="{00000000-0005-0000-0000-000005020000}"/>
    <cellStyle name="Normal 5 2 4 2 2" xfId="289" xr:uid="{00000000-0005-0000-0000-000006020000}"/>
    <cellStyle name="Normal 5 2 4 2 2 2" xfId="600" xr:uid="{00000000-0005-0000-0000-000007020000}"/>
    <cellStyle name="Normal 5 2 4 2 2 2 2" xfId="1288" xr:uid="{4C441B68-8F9A-4D07-91C7-3E2ACEDE9EBF}"/>
    <cellStyle name="Normal 5 2 4 2 2 3" xfId="978" xr:uid="{C76E4672-1987-4CE2-A0A6-4009A57D5976}"/>
    <cellStyle name="Normal 5 2 4 2 3" xfId="452" xr:uid="{00000000-0005-0000-0000-000008020000}"/>
    <cellStyle name="Normal 5 2 4 2 3 2" xfId="1140" xr:uid="{260E9AB8-B78C-4F80-89EC-43F4ECC3B694}"/>
    <cellStyle name="Normal 5 2 4 2 4" xfId="832" xr:uid="{8EB7980B-4891-45B5-A465-D3544D15C273}"/>
    <cellStyle name="Normal 5 2 4 3" xfId="290" xr:uid="{00000000-0005-0000-0000-000009020000}"/>
    <cellStyle name="Normal 5 2 4 3 2" xfId="601" xr:uid="{00000000-0005-0000-0000-00000A020000}"/>
    <cellStyle name="Normal 5 2 4 3 2 2" xfId="1289" xr:uid="{9B37A765-F591-4EB8-9F9B-0B4C959DF3C3}"/>
    <cellStyle name="Normal 5 2 4 3 3" xfId="979" xr:uid="{ECD8E449-6DC3-429E-9640-B1F71883A36F}"/>
    <cellStyle name="Normal 5 2 4 4" xfId="378" xr:uid="{00000000-0005-0000-0000-00000B020000}"/>
    <cellStyle name="Normal 5 2 4 4 2" xfId="1066" xr:uid="{1F3E0779-636E-4AB4-AE75-00B2D24431C7}"/>
    <cellStyle name="Normal 5 2 4 5" xfId="752" xr:uid="{940A9262-F013-4D6F-8139-4FFEB480F1CE}"/>
    <cellStyle name="Normal 5 2 5" xfId="100" xr:uid="{00000000-0005-0000-0000-00000C020000}"/>
    <cellStyle name="Normal 5 2 5 2" xfId="291" xr:uid="{00000000-0005-0000-0000-00000D020000}"/>
    <cellStyle name="Normal 5 2 5 2 2" xfId="602" xr:uid="{00000000-0005-0000-0000-00000E020000}"/>
    <cellStyle name="Normal 5 2 5 2 2 2" xfId="1290" xr:uid="{A02B50CC-55E6-428C-B81C-A84D1C7524F1}"/>
    <cellStyle name="Normal 5 2 5 2 3" xfId="980" xr:uid="{C51E23F1-45E8-441C-8035-019A6CD8F2E8}"/>
    <cellStyle name="Normal 5 2 5 3" xfId="419" xr:uid="{00000000-0005-0000-0000-00000F020000}"/>
    <cellStyle name="Normal 5 2 5 3 2" xfId="1107" xr:uid="{E96DDD52-B9B2-424A-8762-EED2F8261385}"/>
    <cellStyle name="Normal 5 2 5 4" xfId="795" xr:uid="{153D473E-95FD-4A5C-B8E4-5756658D9079}"/>
    <cellStyle name="Normal 5 2 6" xfId="292" xr:uid="{00000000-0005-0000-0000-000010020000}"/>
    <cellStyle name="Normal 5 2 6 2" xfId="603" xr:uid="{00000000-0005-0000-0000-000011020000}"/>
    <cellStyle name="Normal 5 2 6 2 2" xfId="1291" xr:uid="{8B67332D-C46B-4345-BA70-0BEF38CCBF84}"/>
    <cellStyle name="Normal 5 2 6 3" xfId="981" xr:uid="{90FF5AF7-1D9E-4815-BBA5-FF2683E44757}"/>
    <cellStyle name="Normal 5 2 7" xfId="345" xr:uid="{00000000-0005-0000-0000-000012020000}"/>
    <cellStyle name="Normal 5 2 7 2" xfId="1033" xr:uid="{5B22A58D-0F43-4EB3-9A75-2D268A8E53E2}"/>
    <cellStyle name="Normal 5 2 8" xfId="715" xr:uid="{D715A47B-2402-4AB5-B4A9-9E2D66E237C9}"/>
    <cellStyle name="Normal 5 3" xfId="20" xr:uid="{00000000-0005-0000-0000-000013020000}"/>
    <cellStyle name="Normal 5 3 2" xfId="37" xr:uid="{00000000-0005-0000-0000-000014020000}"/>
    <cellStyle name="Normal 5 3 2 2" xfId="75" xr:uid="{00000000-0005-0000-0000-000015020000}"/>
    <cellStyle name="Normal 5 3 2 2 2" xfId="157" xr:uid="{00000000-0005-0000-0000-000016020000}"/>
    <cellStyle name="Normal 5 3 2 2 2 2" xfId="293" xr:uid="{00000000-0005-0000-0000-000017020000}"/>
    <cellStyle name="Normal 5 3 2 2 2 2 2" xfId="604" xr:uid="{00000000-0005-0000-0000-000018020000}"/>
    <cellStyle name="Normal 5 3 2 2 2 2 2 2" xfId="1292" xr:uid="{D3E71E14-8587-4E80-BC46-813AF0C49191}"/>
    <cellStyle name="Normal 5 3 2 2 2 2 3" xfId="982" xr:uid="{9690393B-5F01-4D23-A8FC-007BD4208FE6}"/>
    <cellStyle name="Normal 5 3 2 2 2 3" xfId="472" xr:uid="{00000000-0005-0000-0000-000019020000}"/>
    <cellStyle name="Normal 5 3 2 2 2 3 2" xfId="1160" xr:uid="{78ED0A0A-3093-4423-B2CB-637FA6166FB9}"/>
    <cellStyle name="Normal 5 3 2 2 2 4" xfId="852" xr:uid="{D58D230D-4CD5-481D-93A9-8FC90B3152EC}"/>
    <cellStyle name="Normal 5 3 2 2 3" xfId="294" xr:uid="{00000000-0005-0000-0000-00001A020000}"/>
    <cellStyle name="Normal 5 3 2 2 3 2" xfId="605" xr:uid="{00000000-0005-0000-0000-00001B020000}"/>
    <cellStyle name="Normal 5 3 2 2 3 2 2" xfId="1293" xr:uid="{D6A7DA12-9A7F-460E-9F4B-F93782EE512A}"/>
    <cellStyle name="Normal 5 3 2 2 3 3" xfId="983" xr:uid="{6838A936-4C23-4321-BB4A-C3916F0816D9}"/>
    <cellStyle name="Normal 5 3 2 2 4" xfId="398" xr:uid="{00000000-0005-0000-0000-00001C020000}"/>
    <cellStyle name="Normal 5 3 2 2 4 2" xfId="1086" xr:uid="{E2E3FF39-CD52-49DA-8712-3FCF7D0BDDD1}"/>
    <cellStyle name="Normal 5 3 2 2 5" xfId="772" xr:uid="{C3A34B8B-701D-4F02-81AF-70B47898A9C1}"/>
    <cellStyle name="Normal 5 3 2 3" xfId="120" xr:uid="{00000000-0005-0000-0000-00001D020000}"/>
    <cellStyle name="Normal 5 3 2 3 2" xfId="295" xr:uid="{00000000-0005-0000-0000-00001E020000}"/>
    <cellStyle name="Normal 5 3 2 3 2 2" xfId="606" xr:uid="{00000000-0005-0000-0000-00001F020000}"/>
    <cellStyle name="Normal 5 3 2 3 2 2 2" xfId="1294" xr:uid="{E11DDD35-B594-402C-AC7B-3DA31868BA63}"/>
    <cellStyle name="Normal 5 3 2 3 2 3" xfId="984" xr:uid="{48813564-7382-4191-A188-10AF832E6177}"/>
    <cellStyle name="Normal 5 3 2 3 3" xfId="439" xr:uid="{00000000-0005-0000-0000-000020020000}"/>
    <cellStyle name="Normal 5 3 2 3 3 2" xfId="1127" xr:uid="{E7022669-24F2-46F4-82AB-2112CAF29011}"/>
    <cellStyle name="Normal 5 3 2 3 4" xfId="815" xr:uid="{1CD8EC88-8AA0-463C-998E-B45967A9B073}"/>
    <cellStyle name="Normal 5 3 2 4" xfId="296" xr:uid="{00000000-0005-0000-0000-000021020000}"/>
    <cellStyle name="Normal 5 3 2 4 2" xfId="607" xr:uid="{00000000-0005-0000-0000-000022020000}"/>
    <cellStyle name="Normal 5 3 2 4 2 2" xfId="1295" xr:uid="{8994B1A2-7335-4733-8F02-9BF47E65CB6E}"/>
    <cellStyle name="Normal 5 3 2 4 3" xfId="985" xr:uid="{D702E251-7AF7-4159-82B6-251C6CAA6C8E}"/>
    <cellStyle name="Normal 5 3 2 5" xfId="365" xr:uid="{00000000-0005-0000-0000-000023020000}"/>
    <cellStyle name="Normal 5 3 2 5 2" xfId="1053" xr:uid="{78A33096-36A9-4A47-A70C-A801877F48AD}"/>
    <cellStyle name="Normal 5 3 2 6" xfId="735" xr:uid="{4144C6D9-8D33-4C6C-9ECF-6461E88B5311}"/>
    <cellStyle name="Normal 5 3 3" xfId="59" xr:uid="{00000000-0005-0000-0000-000024020000}"/>
    <cellStyle name="Normal 5 3 3 2" xfId="141" xr:uid="{00000000-0005-0000-0000-000025020000}"/>
    <cellStyle name="Normal 5 3 3 2 2" xfId="297" xr:uid="{00000000-0005-0000-0000-000026020000}"/>
    <cellStyle name="Normal 5 3 3 2 2 2" xfId="608" xr:uid="{00000000-0005-0000-0000-000027020000}"/>
    <cellStyle name="Normal 5 3 3 2 2 2 2" xfId="1296" xr:uid="{E8DCA420-AB4B-4710-8104-231CF86563C3}"/>
    <cellStyle name="Normal 5 3 3 2 2 3" xfId="986" xr:uid="{87500F95-6277-4AB2-8B18-B2701A0EE23B}"/>
    <cellStyle name="Normal 5 3 3 2 3" xfId="456" xr:uid="{00000000-0005-0000-0000-000028020000}"/>
    <cellStyle name="Normal 5 3 3 2 3 2" xfId="1144" xr:uid="{E353115D-6E09-441F-860A-96D16ADE781D}"/>
    <cellStyle name="Normal 5 3 3 2 4" xfId="836" xr:uid="{31B3277F-66DC-4503-BF57-192BC6F56D7E}"/>
    <cellStyle name="Normal 5 3 3 3" xfId="298" xr:uid="{00000000-0005-0000-0000-000029020000}"/>
    <cellStyle name="Normal 5 3 3 3 2" xfId="609" xr:uid="{00000000-0005-0000-0000-00002A020000}"/>
    <cellStyle name="Normal 5 3 3 3 2 2" xfId="1297" xr:uid="{7464C88D-462E-4EB9-A3F0-327614C6C293}"/>
    <cellStyle name="Normal 5 3 3 3 3" xfId="987" xr:uid="{96655C03-1334-42DF-98D8-CF6655357F65}"/>
    <cellStyle name="Normal 5 3 3 4" xfId="382" xr:uid="{00000000-0005-0000-0000-00002B020000}"/>
    <cellStyle name="Normal 5 3 3 4 2" xfId="1070" xr:uid="{D39C0103-173C-4DB5-9875-BDF9F184A0A9}"/>
    <cellStyle name="Normal 5 3 3 5" xfId="756" xr:uid="{B32E9CC8-FDAB-4ED6-80F7-AFCBBE1119F6}"/>
    <cellStyle name="Normal 5 3 4" xfId="104" xr:uid="{00000000-0005-0000-0000-00002C020000}"/>
    <cellStyle name="Normal 5 3 4 2" xfId="299" xr:uid="{00000000-0005-0000-0000-00002D020000}"/>
    <cellStyle name="Normal 5 3 4 2 2" xfId="610" xr:uid="{00000000-0005-0000-0000-00002E020000}"/>
    <cellStyle name="Normal 5 3 4 2 2 2" xfId="1298" xr:uid="{30C6D03A-DE3C-4794-BFDB-17528CB5BA4F}"/>
    <cellStyle name="Normal 5 3 4 2 3" xfId="988" xr:uid="{D97B5021-DFF2-4FA6-8FBD-378B8A063B9B}"/>
    <cellStyle name="Normal 5 3 4 3" xfId="423" xr:uid="{00000000-0005-0000-0000-00002F020000}"/>
    <cellStyle name="Normal 5 3 4 3 2" xfId="1111" xr:uid="{C76267B7-9451-4083-9345-E2CAE0F4C004}"/>
    <cellStyle name="Normal 5 3 4 4" xfId="799" xr:uid="{3C17F248-3AE3-45B3-92E2-12D6D22EC02F}"/>
    <cellStyle name="Normal 5 3 5" xfId="300" xr:uid="{00000000-0005-0000-0000-000030020000}"/>
    <cellStyle name="Normal 5 3 5 2" xfId="611" xr:uid="{00000000-0005-0000-0000-000031020000}"/>
    <cellStyle name="Normal 5 3 5 2 2" xfId="1299" xr:uid="{424DA7C5-52C6-45A8-99FE-882BB12A3519}"/>
    <cellStyle name="Normal 5 3 5 3" xfId="989" xr:uid="{26CBB3CF-2CEC-4DB3-BA37-663D9B4D1A4F}"/>
    <cellStyle name="Normal 5 3 6" xfId="349" xr:uid="{00000000-0005-0000-0000-000032020000}"/>
    <cellStyle name="Normal 5 3 6 2" xfId="1037" xr:uid="{5E2845CC-90A4-4FBD-9187-384D422AE7AD}"/>
    <cellStyle name="Normal 5 3 7" xfId="719" xr:uid="{5DE92C8E-41ED-4A4F-87E4-DE12FC8949BC}"/>
    <cellStyle name="Normal 5 4" xfId="29" xr:uid="{00000000-0005-0000-0000-000033020000}"/>
    <cellStyle name="Normal 5 4 2" xfId="67" xr:uid="{00000000-0005-0000-0000-000034020000}"/>
    <cellStyle name="Normal 5 4 2 2" xfId="149" xr:uid="{00000000-0005-0000-0000-000035020000}"/>
    <cellStyle name="Normal 5 4 2 2 2" xfId="301" xr:uid="{00000000-0005-0000-0000-000036020000}"/>
    <cellStyle name="Normal 5 4 2 2 2 2" xfId="612" xr:uid="{00000000-0005-0000-0000-000037020000}"/>
    <cellStyle name="Normal 5 4 2 2 2 2 2" xfId="1300" xr:uid="{DA3E8DA5-2986-436C-9B0D-1D14D45503C8}"/>
    <cellStyle name="Normal 5 4 2 2 2 3" xfId="990" xr:uid="{EBE3F3D0-1A74-4FD1-AE73-0FB3B553B7D5}"/>
    <cellStyle name="Normal 5 4 2 2 3" xfId="464" xr:uid="{00000000-0005-0000-0000-000038020000}"/>
    <cellStyle name="Normal 5 4 2 2 3 2" xfId="1152" xr:uid="{6C3B7244-5D7E-44EB-B8B0-AB32978098AA}"/>
    <cellStyle name="Normal 5 4 2 2 4" xfId="844" xr:uid="{66D1641F-78A4-492F-91FB-6CA0AA8009CE}"/>
    <cellStyle name="Normal 5 4 2 3" xfId="302" xr:uid="{00000000-0005-0000-0000-000039020000}"/>
    <cellStyle name="Normal 5 4 2 3 2" xfId="613" xr:uid="{00000000-0005-0000-0000-00003A020000}"/>
    <cellStyle name="Normal 5 4 2 3 2 2" xfId="1301" xr:uid="{8081FB6D-63F1-48BB-940F-DC3A07CE4766}"/>
    <cellStyle name="Normal 5 4 2 3 3" xfId="991" xr:uid="{A0C14A86-DDD0-4063-AED8-DEADEA61FB59}"/>
    <cellStyle name="Normal 5 4 2 4" xfId="390" xr:uid="{00000000-0005-0000-0000-00003B020000}"/>
    <cellStyle name="Normal 5 4 2 4 2" xfId="1078" xr:uid="{96904E8D-22F0-4149-90A4-37508CF9C365}"/>
    <cellStyle name="Normal 5 4 2 5" xfId="764" xr:uid="{0B2627EA-EFF1-4634-B37B-21FE331D8959}"/>
    <cellStyle name="Normal 5 4 3" xfId="112" xr:uid="{00000000-0005-0000-0000-00003C020000}"/>
    <cellStyle name="Normal 5 4 3 2" xfId="303" xr:uid="{00000000-0005-0000-0000-00003D020000}"/>
    <cellStyle name="Normal 5 4 3 2 2" xfId="614" xr:uid="{00000000-0005-0000-0000-00003E020000}"/>
    <cellStyle name="Normal 5 4 3 2 2 2" xfId="1302" xr:uid="{0B29C9D5-2103-452B-A267-6BA0D14AF303}"/>
    <cellStyle name="Normal 5 4 3 2 3" xfId="992" xr:uid="{7AB42364-43C7-4BCE-A404-93F39803B82F}"/>
    <cellStyle name="Normal 5 4 3 3" xfId="431" xr:uid="{00000000-0005-0000-0000-00003F020000}"/>
    <cellStyle name="Normal 5 4 3 3 2" xfId="1119" xr:uid="{F97CDF5F-6087-4643-93FC-95130F4D5A13}"/>
    <cellStyle name="Normal 5 4 3 4" xfId="807" xr:uid="{094DA850-02B9-456A-9965-2F90761DCA1D}"/>
    <cellStyle name="Normal 5 4 4" xfId="304" xr:uid="{00000000-0005-0000-0000-000040020000}"/>
    <cellStyle name="Normal 5 4 4 2" xfId="615" xr:uid="{00000000-0005-0000-0000-000041020000}"/>
    <cellStyle name="Normal 5 4 4 2 2" xfId="1303" xr:uid="{0B5B88E3-294D-4C51-A01D-DED585A4F4CD}"/>
    <cellStyle name="Normal 5 4 4 3" xfId="993" xr:uid="{81A3C03F-5405-415C-8CB1-F1C20876937B}"/>
    <cellStyle name="Normal 5 4 5" xfId="357" xr:uid="{00000000-0005-0000-0000-000042020000}"/>
    <cellStyle name="Normal 5 4 5 2" xfId="1045" xr:uid="{09DD9371-BED9-489E-B9DD-776D84872931}"/>
    <cellStyle name="Normal 5 4 6" xfId="727" xr:uid="{D9F2E8B1-EF1A-46FD-87A7-F41EB094FB45}"/>
    <cellStyle name="Normal 5 5" xfId="50" xr:uid="{00000000-0005-0000-0000-000043020000}"/>
    <cellStyle name="Normal 5 5 2" xfId="132" xr:uid="{00000000-0005-0000-0000-000044020000}"/>
    <cellStyle name="Normal 5 5 2 2" xfId="305" xr:uid="{00000000-0005-0000-0000-000045020000}"/>
    <cellStyle name="Normal 5 5 2 2 2" xfId="616" xr:uid="{00000000-0005-0000-0000-000046020000}"/>
    <cellStyle name="Normal 5 5 2 2 2 2" xfId="1304" xr:uid="{6A6820F8-D2A7-4F81-8E5C-B3E4648872CB}"/>
    <cellStyle name="Normal 5 5 2 2 3" xfId="994" xr:uid="{98FAA47F-6FB7-4A1B-B350-8D291F5AC952}"/>
    <cellStyle name="Normal 5 5 2 3" xfId="448" xr:uid="{00000000-0005-0000-0000-000047020000}"/>
    <cellStyle name="Normal 5 5 2 3 2" xfId="1136" xr:uid="{6DBBEC0C-D182-47B0-9930-CE72F871985B}"/>
    <cellStyle name="Normal 5 5 2 4" xfId="827" xr:uid="{965D055E-C897-4273-825F-E1FB922CD9D4}"/>
    <cellStyle name="Normal 5 5 3" xfId="306" xr:uid="{00000000-0005-0000-0000-000048020000}"/>
    <cellStyle name="Normal 5 5 3 2" xfId="617" xr:uid="{00000000-0005-0000-0000-000049020000}"/>
    <cellStyle name="Normal 5 5 3 2 2" xfId="1305" xr:uid="{97AE0161-34D0-405B-93C6-333E3A6948B3}"/>
    <cellStyle name="Normal 5 5 3 3" xfId="995" xr:uid="{4B495B76-92AC-4476-B65A-0B62D91D86E9}"/>
    <cellStyle name="Normal 5 5 4" xfId="374" xr:uid="{00000000-0005-0000-0000-00004A020000}"/>
    <cellStyle name="Normal 5 5 4 2" xfId="1062" xr:uid="{379C664C-328B-405B-86B0-F4C4DA0C482E}"/>
    <cellStyle name="Normal 5 5 5" xfId="747" xr:uid="{BEF910E8-9E77-4618-A11B-73DD6BBA551F}"/>
    <cellStyle name="Normal 5 6" xfId="95" xr:uid="{00000000-0005-0000-0000-00004B020000}"/>
    <cellStyle name="Normal 5 6 2" xfId="307" xr:uid="{00000000-0005-0000-0000-00004C020000}"/>
    <cellStyle name="Normal 5 6 2 2" xfId="618" xr:uid="{00000000-0005-0000-0000-00004D020000}"/>
    <cellStyle name="Normal 5 6 2 2 2" xfId="1306" xr:uid="{563E6291-82AA-4E6B-BB09-014C0CC6C3F5}"/>
    <cellStyle name="Normal 5 6 2 3" xfId="996" xr:uid="{1DF1ECE8-6AAA-464A-A69B-2AF5A55247DD}"/>
    <cellStyle name="Normal 5 6 3" xfId="415" xr:uid="{00000000-0005-0000-0000-00004E020000}"/>
    <cellStyle name="Normal 5 6 3 2" xfId="1103" xr:uid="{C6AE60DB-5C9B-4F3E-9B7C-50AFA0BA00D6}"/>
    <cellStyle name="Normal 5 6 4" xfId="790" xr:uid="{4A7F7993-8324-4857-9D89-2EBC8E7E7AD2}"/>
    <cellStyle name="Normal 5 7" xfId="308" xr:uid="{00000000-0005-0000-0000-00004F020000}"/>
    <cellStyle name="Normal 5 7 2" xfId="619" xr:uid="{00000000-0005-0000-0000-000050020000}"/>
    <cellStyle name="Normal 5 7 2 2" xfId="1307" xr:uid="{849E4F28-EF62-471E-A91E-CE30524EFE18}"/>
    <cellStyle name="Normal 5 7 3" xfId="997" xr:uid="{829645C9-79C2-444D-B966-C69336639428}"/>
    <cellStyle name="Normal 5 8" xfId="341" xr:uid="{00000000-0005-0000-0000-000051020000}"/>
    <cellStyle name="Normal 5 8 2" xfId="1029" xr:uid="{A464D62B-9D39-4269-BAE7-4316D95940CE}"/>
    <cellStyle name="Normal 5 9" xfId="710" xr:uid="{9BD2A7A6-1FF1-4F29-BE06-3CC9D1A4B801}"/>
    <cellStyle name="Normal 6" xfId="9" xr:uid="{00000000-0005-0000-0000-000052020000}"/>
    <cellStyle name="Normal 6 2" xfId="14" xr:uid="{00000000-0005-0000-0000-000053020000}"/>
    <cellStyle name="Normal 7" xfId="8" xr:uid="{00000000-0005-0000-0000-000054020000}"/>
    <cellStyle name="Normal 7 2" xfId="21" xr:uid="{00000000-0005-0000-0000-000055020000}"/>
    <cellStyle name="Normal 7 2 2" xfId="38" xr:uid="{00000000-0005-0000-0000-000056020000}"/>
    <cellStyle name="Normal 7 2 2 2" xfId="76" xr:uid="{00000000-0005-0000-0000-000057020000}"/>
    <cellStyle name="Normal 7 2 2 2 2" xfId="158" xr:uid="{00000000-0005-0000-0000-000058020000}"/>
    <cellStyle name="Normal 7 2 2 2 2 2" xfId="309" xr:uid="{00000000-0005-0000-0000-000059020000}"/>
    <cellStyle name="Normal 7 2 2 2 2 2 2" xfId="620" xr:uid="{00000000-0005-0000-0000-00005A020000}"/>
    <cellStyle name="Normal 7 2 2 2 2 2 2 2" xfId="1308" xr:uid="{353D0864-B42B-4530-AC90-206B5351D73A}"/>
    <cellStyle name="Normal 7 2 2 2 2 2 3" xfId="998" xr:uid="{301D69A7-C440-4A0F-BFEE-19B4B06FBF29}"/>
    <cellStyle name="Normal 7 2 2 2 2 3" xfId="473" xr:uid="{00000000-0005-0000-0000-00005B020000}"/>
    <cellStyle name="Normal 7 2 2 2 2 3 2" xfId="1161" xr:uid="{AD6D04F0-6751-4241-AD86-7A2C8D511821}"/>
    <cellStyle name="Normal 7 2 2 2 2 4" xfId="853" xr:uid="{E11F7593-713B-46E2-95ED-2540DF729947}"/>
    <cellStyle name="Normal 7 2 2 2 3" xfId="310" xr:uid="{00000000-0005-0000-0000-00005C020000}"/>
    <cellStyle name="Normal 7 2 2 2 3 2" xfId="621" xr:uid="{00000000-0005-0000-0000-00005D020000}"/>
    <cellStyle name="Normal 7 2 2 2 3 2 2" xfId="1309" xr:uid="{D65DE63E-5B6B-4546-86FB-CE13AE3CB28A}"/>
    <cellStyle name="Normal 7 2 2 2 3 3" xfId="999" xr:uid="{FE054698-90D0-4315-94CC-2046DB361CD0}"/>
    <cellStyle name="Normal 7 2 2 2 4" xfId="399" xr:uid="{00000000-0005-0000-0000-00005E020000}"/>
    <cellStyle name="Normal 7 2 2 2 4 2" xfId="1087" xr:uid="{4781E738-AB32-4CB0-8887-39B3D4B39194}"/>
    <cellStyle name="Normal 7 2 2 2 5" xfId="773" xr:uid="{5B58E439-3162-4ABD-B707-F5DAE47A925D}"/>
    <cellStyle name="Normal 7 2 2 3" xfId="121" xr:uid="{00000000-0005-0000-0000-00005F020000}"/>
    <cellStyle name="Normal 7 2 2 3 2" xfId="311" xr:uid="{00000000-0005-0000-0000-000060020000}"/>
    <cellStyle name="Normal 7 2 2 3 2 2" xfId="622" xr:uid="{00000000-0005-0000-0000-000061020000}"/>
    <cellStyle name="Normal 7 2 2 3 2 2 2" xfId="1310" xr:uid="{DD2752C7-6340-46E9-A745-F9429F141667}"/>
    <cellStyle name="Normal 7 2 2 3 2 3" xfId="1000" xr:uid="{87A8039B-7DF9-4DFB-94C0-AB3806559738}"/>
    <cellStyle name="Normal 7 2 2 3 3" xfId="440" xr:uid="{00000000-0005-0000-0000-000062020000}"/>
    <cellStyle name="Normal 7 2 2 3 3 2" xfId="1128" xr:uid="{949F68CE-5E1D-4F81-B113-0EF7CA8A52E7}"/>
    <cellStyle name="Normal 7 2 2 3 4" xfId="816" xr:uid="{3C4D5CEB-8AB4-4F20-9924-1385488DE08E}"/>
    <cellStyle name="Normal 7 2 2 4" xfId="312" xr:uid="{00000000-0005-0000-0000-000063020000}"/>
    <cellStyle name="Normal 7 2 2 4 2" xfId="623" xr:uid="{00000000-0005-0000-0000-000064020000}"/>
    <cellStyle name="Normal 7 2 2 4 2 2" xfId="1311" xr:uid="{2DEDA5DF-F9EE-40BB-BAFB-6F1DA48C086F}"/>
    <cellStyle name="Normal 7 2 2 4 3" xfId="1001" xr:uid="{46689F97-5EC3-4717-BEF5-5D5E47450493}"/>
    <cellStyle name="Normal 7 2 2 5" xfId="366" xr:uid="{00000000-0005-0000-0000-000065020000}"/>
    <cellStyle name="Normal 7 2 2 5 2" xfId="1054" xr:uid="{19A60256-8546-4083-A07F-4FF7F23C900F}"/>
    <cellStyle name="Normal 7 2 2 6" xfId="736" xr:uid="{CBACEF0C-645A-4F43-93B6-D11C32C8FD5D}"/>
    <cellStyle name="Normal 7 2 3" xfId="60" xr:uid="{00000000-0005-0000-0000-000066020000}"/>
    <cellStyle name="Normal 7 2 3 2" xfId="142" xr:uid="{00000000-0005-0000-0000-000067020000}"/>
    <cellStyle name="Normal 7 2 3 2 2" xfId="313" xr:uid="{00000000-0005-0000-0000-000068020000}"/>
    <cellStyle name="Normal 7 2 3 2 2 2" xfId="624" xr:uid="{00000000-0005-0000-0000-000069020000}"/>
    <cellStyle name="Normal 7 2 3 2 2 2 2" xfId="1312" xr:uid="{C4507E57-C410-4CC4-A3D5-A974FFC1F9D8}"/>
    <cellStyle name="Normal 7 2 3 2 2 3" xfId="1002" xr:uid="{421A561E-865A-4699-872C-D60E22D91E86}"/>
    <cellStyle name="Normal 7 2 3 2 3" xfId="457" xr:uid="{00000000-0005-0000-0000-00006A020000}"/>
    <cellStyle name="Normal 7 2 3 2 3 2" xfId="1145" xr:uid="{291D4E42-7861-4D1E-986A-0624A6E4DD94}"/>
    <cellStyle name="Normal 7 2 3 2 4" xfId="837" xr:uid="{B07ABAF0-EC4F-4DFE-A208-9383CC9155EE}"/>
    <cellStyle name="Normal 7 2 3 3" xfId="314" xr:uid="{00000000-0005-0000-0000-00006B020000}"/>
    <cellStyle name="Normal 7 2 3 3 2" xfId="625" xr:uid="{00000000-0005-0000-0000-00006C020000}"/>
    <cellStyle name="Normal 7 2 3 3 2 2" xfId="1313" xr:uid="{59DA074E-53BC-45A4-9813-7937CA43C527}"/>
    <cellStyle name="Normal 7 2 3 3 3" xfId="1003" xr:uid="{9DC00BB5-A232-4079-9DEC-433D6DA9E47E}"/>
    <cellStyle name="Normal 7 2 3 4" xfId="383" xr:uid="{00000000-0005-0000-0000-00006D020000}"/>
    <cellStyle name="Normal 7 2 3 4 2" xfId="1071" xr:uid="{C7FBDD28-DEFF-4365-835B-40DADBB48FE0}"/>
    <cellStyle name="Normal 7 2 3 5" xfId="757" xr:uid="{1D23B88A-CA6B-447F-BC41-A0DE2896ABB0}"/>
    <cellStyle name="Normal 7 2 4" xfId="105" xr:uid="{00000000-0005-0000-0000-00006E020000}"/>
    <cellStyle name="Normal 7 2 4 2" xfId="315" xr:uid="{00000000-0005-0000-0000-00006F020000}"/>
    <cellStyle name="Normal 7 2 4 2 2" xfId="626" xr:uid="{00000000-0005-0000-0000-000070020000}"/>
    <cellStyle name="Normal 7 2 4 2 2 2" xfId="1314" xr:uid="{50F3B487-DEEA-44AE-98AB-530375B9B67F}"/>
    <cellStyle name="Normal 7 2 4 2 3" xfId="1004" xr:uid="{DC965128-0F18-4BCF-B108-1777E3F94A41}"/>
    <cellStyle name="Normal 7 2 4 3" xfId="424" xr:uid="{00000000-0005-0000-0000-000071020000}"/>
    <cellStyle name="Normal 7 2 4 3 2" xfId="1112" xr:uid="{6DDBE771-402E-426F-82AD-0579C94A9D8D}"/>
    <cellStyle name="Normal 7 2 4 4" xfId="800" xr:uid="{C551A135-A1EF-4E0D-ADA9-75752CB3EAD8}"/>
    <cellStyle name="Normal 7 2 5" xfId="316" xr:uid="{00000000-0005-0000-0000-000072020000}"/>
    <cellStyle name="Normal 7 2 5 2" xfId="627" xr:uid="{00000000-0005-0000-0000-000073020000}"/>
    <cellStyle name="Normal 7 2 5 2 2" xfId="1315" xr:uid="{DCDAAD0C-8C73-4586-83E4-A7008F64793A}"/>
    <cellStyle name="Normal 7 2 5 3" xfId="1005" xr:uid="{2F8FAC28-1D72-41EC-987C-BF6CCEFB62AD}"/>
    <cellStyle name="Normal 7 2 6" xfId="350" xr:uid="{00000000-0005-0000-0000-000074020000}"/>
    <cellStyle name="Normal 7 2 6 2" xfId="1038" xr:uid="{D2352E58-23A9-4614-AFBA-83F36316EE41}"/>
    <cellStyle name="Normal 7 2 7" xfId="720" xr:uid="{6BC985C2-E3A1-4C9E-BFB2-217EE985C96B}"/>
    <cellStyle name="Normal 7 3" xfId="30" xr:uid="{00000000-0005-0000-0000-000075020000}"/>
    <cellStyle name="Normal 7 3 2" xfId="68" xr:uid="{00000000-0005-0000-0000-000076020000}"/>
    <cellStyle name="Normal 7 3 2 2" xfId="150" xr:uid="{00000000-0005-0000-0000-000077020000}"/>
    <cellStyle name="Normal 7 3 2 2 2" xfId="317" xr:uid="{00000000-0005-0000-0000-000078020000}"/>
    <cellStyle name="Normal 7 3 2 2 2 2" xfId="628" xr:uid="{00000000-0005-0000-0000-000079020000}"/>
    <cellStyle name="Normal 7 3 2 2 2 2 2" xfId="1316" xr:uid="{FBAABDA5-5482-4117-B3DB-765C1C929B67}"/>
    <cellStyle name="Normal 7 3 2 2 2 3" xfId="1006" xr:uid="{35E60BA2-C562-4246-95F1-D452CEB01E6F}"/>
    <cellStyle name="Normal 7 3 2 2 3" xfId="465" xr:uid="{00000000-0005-0000-0000-00007A020000}"/>
    <cellStyle name="Normal 7 3 2 2 3 2" xfId="1153" xr:uid="{8453663C-0835-4984-A817-BB4577675F2B}"/>
    <cellStyle name="Normal 7 3 2 2 4" xfId="845" xr:uid="{F0B16A3F-03DA-493C-BC56-6891D7F1226F}"/>
    <cellStyle name="Normal 7 3 2 3" xfId="318" xr:uid="{00000000-0005-0000-0000-00007B020000}"/>
    <cellStyle name="Normal 7 3 2 3 2" xfId="629" xr:uid="{00000000-0005-0000-0000-00007C020000}"/>
    <cellStyle name="Normal 7 3 2 3 2 2" xfId="1317" xr:uid="{E5D698C2-2FCB-4C83-A11D-4B686B3D208C}"/>
    <cellStyle name="Normal 7 3 2 3 3" xfId="1007" xr:uid="{5CCEA275-35B5-49C7-A89E-6A75179BEAF3}"/>
    <cellStyle name="Normal 7 3 2 4" xfId="391" xr:uid="{00000000-0005-0000-0000-00007D020000}"/>
    <cellStyle name="Normal 7 3 2 4 2" xfId="1079" xr:uid="{CA3A1086-2890-43DE-9D15-174407391EBB}"/>
    <cellStyle name="Normal 7 3 2 5" xfId="765" xr:uid="{BB170BE0-0713-44DB-ADC6-28CF6B1C282B}"/>
    <cellStyle name="Normal 7 3 3" xfId="113" xr:uid="{00000000-0005-0000-0000-00007E020000}"/>
    <cellStyle name="Normal 7 3 3 2" xfId="319" xr:uid="{00000000-0005-0000-0000-00007F020000}"/>
    <cellStyle name="Normal 7 3 3 2 2" xfId="630" xr:uid="{00000000-0005-0000-0000-000080020000}"/>
    <cellStyle name="Normal 7 3 3 2 2 2" xfId="1318" xr:uid="{2E8DAD9D-1C4C-44FC-A421-4A9209D875CA}"/>
    <cellStyle name="Normal 7 3 3 2 3" xfId="1008" xr:uid="{DFEEFE50-2AA9-4E46-8696-23666EE078CB}"/>
    <cellStyle name="Normal 7 3 3 3" xfId="432" xr:uid="{00000000-0005-0000-0000-000081020000}"/>
    <cellStyle name="Normal 7 3 3 3 2" xfId="1120" xr:uid="{142B11E3-6D2A-4AA2-AC99-74A58A8093E6}"/>
    <cellStyle name="Normal 7 3 3 4" xfId="808" xr:uid="{22A426B1-9238-4229-9CD5-0D275E6C41B2}"/>
    <cellStyle name="Normal 7 3 4" xfId="320" xr:uid="{00000000-0005-0000-0000-000082020000}"/>
    <cellStyle name="Normal 7 3 4 2" xfId="631" xr:uid="{00000000-0005-0000-0000-000083020000}"/>
    <cellStyle name="Normal 7 3 4 2 2" xfId="1319" xr:uid="{26818376-BADA-4104-95BE-372FE0BF3834}"/>
    <cellStyle name="Normal 7 3 4 3" xfId="1009" xr:uid="{29A9AB43-305D-404F-B36D-B86FCB67BBAE}"/>
    <cellStyle name="Normal 7 3 5" xfId="358" xr:uid="{00000000-0005-0000-0000-000084020000}"/>
    <cellStyle name="Normal 7 3 5 2" xfId="1046" xr:uid="{2490DDEA-9747-4305-8E2E-847EC325615E}"/>
    <cellStyle name="Normal 7 3 6" xfId="728" xr:uid="{7B1C62CF-3ADE-41F0-B335-A0A629206B92}"/>
    <cellStyle name="Normal 7 4" xfId="51" xr:uid="{00000000-0005-0000-0000-000085020000}"/>
    <cellStyle name="Normal 7 4 2" xfId="133" xr:uid="{00000000-0005-0000-0000-000086020000}"/>
    <cellStyle name="Normal 7 4 2 2" xfId="321" xr:uid="{00000000-0005-0000-0000-000087020000}"/>
    <cellStyle name="Normal 7 4 2 2 2" xfId="632" xr:uid="{00000000-0005-0000-0000-000088020000}"/>
    <cellStyle name="Normal 7 4 2 2 2 2" xfId="1320" xr:uid="{9DD87D5E-5567-49C0-B74F-790E32E5123E}"/>
    <cellStyle name="Normal 7 4 2 2 3" xfId="1010" xr:uid="{1E91F214-A807-426D-B22D-8E54DC4CFF62}"/>
    <cellStyle name="Normal 7 4 2 3" xfId="449" xr:uid="{00000000-0005-0000-0000-000089020000}"/>
    <cellStyle name="Normal 7 4 2 3 2" xfId="1137" xr:uid="{013B784F-471A-4D83-A728-7237D8E3B4FA}"/>
    <cellStyle name="Normal 7 4 2 4" xfId="828" xr:uid="{50B190C2-CA0F-4299-860B-EE2658AEB57E}"/>
    <cellStyle name="Normal 7 4 3" xfId="322" xr:uid="{00000000-0005-0000-0000-00008A020000}"/>
    <cellStyle name="Normal 7 4 3 2" xfId="633" xr:uid="{00000000-0005-0000-0000-00008B020000}"/>
    <cellStyle name="Normal 7 4 3 2 2" xfId="1321" xr:uid="{65319FD4-5F3A-484B-AAEA-35EC21367773}"/>
    <cellStyle name="Normal 7 4 3 3" xfId="1011" xr:uid="{8C936B67-F2C9-44DC-8A0F-738BE3CA7CAC}"/>
    <cellStyle name="Normal 7 4 4" xfId="375" xr:uid="{00000000-0005-0000-0000-00008C020000}"/>
    <cellStyle name="Normal 7 4 4 2" xfId="1063" xr:uid="{001FB1EC-F6DE-452A-B07A-311ED06AEBF6}"/>
    <cellStyle name="Normal 7 4 5" xfId="748" xr:uid="{B0D5F19F-2AEF-4A94-A570-E0419FD890C8}"/>
    <cellStyle name="Normal 7 5" xfId="96" xr:uid="{00000000-0005-0000-0000-00008D020000}"/>
    <cellStyle name="Normal 7 5 2" xfId="323" xr:uid="{00000000-0005-0000-0000-00008E020000}"/>
    <cellStyle name="Normal 7 5 2 2" xfId="634" xr:uid="{00000000-0005-0000-0000-00008F020000}"/>
    <cellStyle name="Normal 7 5 2 2 2" xfId="1322" xr:uid="{1EF063D3-3527-4518-B921-81536662D681}"/>
    <cellStyle name="Normal 7 5 2 3" xfId="1012" xr:uid="{48EFCF38-C3C1-4D54-ADB3-B33B4F9D80A0}"/>
    <cellStyle name="Normal 7 5 3" xfId="416" xr:uid="{00000000-0005-0000-0000-000090020000}"/>
    <cellStyle name="Normal 7 5 3 2" xfId="1104" xr:uid="{F58B05AA-7367-4EBD-B421-1324213830CE}"/>
    <cellStyle name="Normal 7 5 4" xfId="791" xr:uid="{3882BFA6-93EE-43F7-B1A8-C83AB801547E}"/>
    <cellStyle name="Normal 7 6" xfId="324" xr:uid="{00000000-0005-0000-0000-000091020000}"/>
    <cellStyle name="Normal 7 6 2" xfId="635" xr:uid="{00000000-0005-0000-0000-000092020000}"/>
    <cellStyle name="Normal 7 6 2 2" xfId="1323" xr:uid="{65141DED-D102-421D-A13D-1FC039245C95}"/>
    <cellStyle name="Normal 7 6 3" xfId="1013" xr:uid="{F40C9152-8927-4E93-AC2F-50EA72A68C8E}"/>
    <cellStyle name="Normal 7 7" xfId="342" xr:uid="{00000000-0005-0000-0000-000093020000}"/>
    <cellStyle name="Normal 7 7 2" xfId="1030" xr:uid="{9A2549DA-29C1-43A8-8CCF-C9DE3813B31C}"/>
    <cellStyle name="Normal 7 8" xfId="711" xr:uid="{38FF9859-54D2-49C9-B39C-925853D22981}"/>
    <cellStyle name="Normal 8" xfId="17" xr:uid="{00000000-0005-0000-0000-000094020000}"/>
    <cellStyle name="Normal 9" xfId="16" xr:uid="{00000000-0005-0000-0000-000095020000}"/>
    <cellStyle name="Normal 9 2" xfId="34" xr:uid="{00000000-0005-0000-0000-000096020000}"/>
    <cellStyle name="Normal 9 2 2" xfId="72" xr:uid="{00000000-0005-0000-0000-000097020000}"/>
    <cellStyle name="Normal 9 2 2 2" xfId="154" xr:uid="{00000000-0005-0000-0000-000098020000}"/>
    <cellStyle name="Normal 9 2 2 2 2" xfId="325" xr:uid="{00000000-0005-0000-0000-000099020000}"/>
    <cellStyle name="Normal 9 2 2 2 2 2" xfId="636" xr:uid="{00000000-0005-0000-0000-00009A020000}"/>
    <cellStyle name="Normal 9 2 2 2 2 2 2" xfId="1324" xr:uid="{57DDFE5D-6606-44BE-9FEB-7A3F861C7CA4}"/>
    <cellStyle name="Normal 9 2 2 2 2 3" xfId="1014" xr:uid="{1F66AC63-5C36-4552-8B04-AE0D5670DB56}"/>
    <cellStyle name="Normal 9 2 2 2 3" xfId="469" xr:uid="{00000000-0005-0000-0000-00009B020000}"/>
    <cellStyle name="Normal 9 2 2 2 3 2" xfId="1157" xr:uid="{F788B612-FCBA-4EBF-A49C-BE18380E73EB}"/>
    <cellStyle name="Normal 9 2 2 2 4" xfId="849" xr:uid="{27D01A48-1259-4AEA-B9ED-74CACA846B3B}"/>
    <cellStyle name="Normal 9 2 2 3" xfId="326" xr:uid="{00000000-0005-0000-0000-00009C020000}"/>
    <cellStyle name="Normal 9 2 2 3 2" xfId="637" xr:uid="{00000000-0005-0000-0000-00009D020000}"/>
    <cellStyle name="Normal 9 2 2 3 2 2" xfId="1325" xr:uid="{C57710DE-1C12-429A-9C1E-F252362D5799}"/>
    <cellStyle name="Normal 9 2 2 3 3" xfId="1015" xr:uid="{49EEDE99-9D11-4A44-A130-6DDDAE65D72D}"/>
    <cellStyle name="Normal 9 2 2 4" xfId="395" xr:uid="{00000000-0005-0000-0000-00009E020000}"/>
    <cellStyle name="Normal 9 2 2 4 2" xfId="1083" xr:uid="{D974803B-A845-483A-8940-CDA6F9B0090E}"/>
    <cellStyle name="Normal 9 2 2 5" xfId="769" xr:uid="{8E961ED9-70A5-46F7-A6DC-129C26EB02AA}"/>
    <cellStyle name="Normal 9 2 3" xfId="117" xr:uid="{00000000-0005-0000-0000-00009F020000}"/>
    <cellStyle name="Normal 9 2 3 2" xfId="327" xr:uid="{00000000-0005-0000-0000-0000A0020000}"/>
    <cellStyle name="Normal 9 2 3 2 2" xfId="638" xr:uid="{00000000-0005-0000-0000-0000A1020000}"/>
    <cellStyle name="Normal 9 2 3 2 2 2" xfId="1326" xr:uid="{97574D5E-C881-4F28-A015-BDEBE581A2BD}"/>
    <cellStyle name="Normal 9 2 3 2 3" xfId="1016" xr:uid="{AFB0B729-63B0-49E1-9CD2-1D4417B9EADD}"/>
    <cellStyle name="Normal 9 2 3 3" xfId="436" xr:uid="{00000000-0005-0000-0000-0000A2020000}"/>
    <cellStyle name="Normal 9 2 3 3 2" xfId="1124" xr:uid="{89021881-CE25-4112-890A-A63C6CC7B3E9}"/>
    <cellStyle name="Normal 9 2 3 4" xfId="812" xr:uid="{6C4D0871-3E98-491B-9A5F-8F9193F3B892}"/>
    <cellStyle name="Normal 9 2 4" xfId="328" xr:uid="{00000000-0005-0000-0000-0000A3020000}"/>
    <cellStyle name="Normal 9 2 4 2" xfId="639" xr:uid="{00000000-0005-0000-0000-0000A4020000}"/>
    <cellStyle name="Normal 9 2 4 2 2" xfId="1327" xr:uid="{270E3AAD-6757-4C82-920E-347B07201049}"/>
    <cellStyle name="Normal 9 2 4 3" xfId="1017" xr:uid="{A848D8FD-C84A-4768-B9B9-6F46221C9FCA}"/>
    <cellStyle name="Normal 9 2 5" xfId="362" xr:uid="{00000000-0005-0000-0000-0000A5020000}"/>
    <cellStyle name="Normal 9 2 5 2" xfId="1050" xr:uid="{2CA7C8E0-729A-4EB4-89BB-BA3F55C9B802}"/>
    <cellStyle name="Normal 9 2 6" xfId="732" xr:uid="{396020C3-A8F8-47BF-9C8E-36595BA03273}"/>
    <cellStyle name="Normal 9 3" xfId="56" xr:uid="{00000000-0005-0000-0000-0000A6020000}"/>
    <cellStyle name="Normal 9 3 2" xfId="138" xr:uid="{00000000-0005-0000-0000-0000A7020000}"/>
    <cellStyle name="Normal 9 3 2 2" xfId="329" xr:uid="{00000000-0005-0000-0000-0000A8020000}"/>
    <cellStyle name="Normal 9 3 2 2 2" xfId="640" xr:uid="{00000000-0005-0000-0000-0000A9020000}"/>
    <cellStyle name="Normal 9 3 2 2 2 2" xfId="1328" xr:uid="{CD9F21E6-8B4A-4F33-B0FD-2E14FD0020A3}"/>
    <cellStyle name="Normal 9 3 2 2 3" xfId="1018" xr:uid="{5DAB4BBB-3B9F-4B14-89A8-C0B7389BA6C1}"/>
    <cellStyle name="Normal 9 3 2 3" xfId="453" xr:uid="{00000000-0005-0000-0000-0000AA020000}"/>
    <cellStyle name="Normal 9 3 2 3 2" xfId="1141" xr:uid="{C96B1F61-79F6-4076-AB73-4DA43E046BFE}"/>
    <cellStyle name="Normal 9 3 2 4" xfId="833" xr:uid="{16A18964-4A64-4FD0-9985-AFB049E0CFE3}"/>
    <cellStyle name="Normal 9 3 3" xfId="330" xr:uid="{00000000-0005-0000-0000-0000AB020000}"/>
    <cellStyle name="Normal 9 3 3 2" xfId="641" xr:uid="{00000000-0005-0000-0000-0000AC020000}"/>
    <cellStyle name="Normal 9 3 3 2 2" xfId="1329" xr:uid="{B93DAF99-D0F9-4101-95C2-885AA84F633D}"/>
    <cellStyle name="Normal 9 3 3 3" xfId="1019" xr:uid="{0AA654F8-0B2A-48F3-856E-3F1874E7256A}"/>
    <cellStyle name="Normal 9 3 4" xfId="379" xr:uid="{00000000-0005-0000-0000-0000AD020000}"/>
    <cellStyle name="Normal 9 3 4 2" xfId="1067" xr:uid="{3D6E4E24-829A-4A25-9A15-6C3632895802}"/>
    <cellStyle name="Normal 9 3 5" xfId="753" xr:uid="{E97588E4-CD88-4F9B-ABA5-B0C2DFFFB19E}"/>
    <cellStyle name="Normal 9 4" xfId="101" xr:uid="{00000000-0005-0000-0000-0000AE020000}"/>
    <cellStyle name="Normal 9 4 2" xfId="331" xr:uid="{00000000-0005-0000-0000-0000AF020000}"/>
    <cellStyle name="Normal 9 4 2 2" xfId="642" xr:uid="{00000000-0005-0000-0000-0000B0020000}"/>
    <cellStyle name="Normal 9 4 2 2 2" xfId="1330" xr:uid="{A27D3879-5282-4FAB-BEB0-A4D332BC950D}"/>
    <cellStyle name="Normal 9 4 2 3" xfId="1020" xr:uid="{C9EF576F-A010-4625-8FA2-C6CCB0613C50}"/>
    <cellStyle name="Normal 9 4 3" xfId="420" xr:uid="{00000000-0005-0000-0000-0000B1020000}"/>
    <cellStyle name="Normal 9 4 3 2" xfId="1108" xr:uid="{B131D125-A604-4ED2-BEAA-82233B52F06A}"/>
    <cellStyle name="Normal 9 4 4" xfId="796" xr:uid="{5E363A87-6CC1-4FD3-909A-2DB86A29B23B}"/>
    <cellStyle name="Normal 9 5" xfId="332" xr:uid="{00000000-0005-0000-0000-0000B2020000}"/>
    <cellStyle name="Normal 9 5 2" xfId="643" xr:uid="{00000000-0005-0000-0000-0000B3020000}"/>
    <cellStyle name="Normal 9 5 2 2" xfId="1331" xr:uid="{15AC8221-96B6-4614-B4D0-A34979D17C4C}"/>
    <cellStyle name="Normal 9 5 3" xfId="1021" xr:uid="{AFAD985A-EBAE-4231-A32D-868A37B1189E}"/>
    <cellStyle name="Normal 9 6" xfId="346" xr:uid="{00000000-0005-0000-0000-0000B4020000}"/>
    <cellStyle name="Normal 9 6 2" xfId="1034" xr:uid="{F6715B09-3713-4B1B-81E3-F518615F773E}"/>
    <cellStyle name="Normal 9 7" xfId="716" xr:uid="{8A9229B4-CECA-49F6-ACEC-1571A27A34A0}"/>
    <cellStyle name="Note 2" xfId="333" xr:uid="{00000000-0005-0000-0000-0000B5020000}"/>
    <cellStyle name="Note 2 2" xfId="644" xr:uid="{00000000-0005-0000-0000-0000B6020000}"/>
    <cellStyle name="Note 2 2 2" xfId="1332" xr:uid="{43F20B28-65EB-404E-AC81-D1DD86CF8D4D}"/>
    <cellStyle name="Note 2 3" xfId="1022" xr:uid="{73D38067-2C68-40C8-9694-847064CDE1B6}"/>
    <cellStyle name="Note 3" xfId="697" xr:uid="{00000000-0005-0000-0000-0000B7020000}"/>
    <cellStyle name="Note 3 2" xfId="1353" xr:uid="{AC050262-FA5A-46F0-883D-421831B7711B}"/>
    <cellStyle name="Note 3 2 2" xfId="1421" xr:uid="{57B2EE0C-6121-43BC-B8C1-96252681BD84}"/>
    <cellStyle name="Note 3 3" xfId="1392" xr:uid="{D2531512-4D60-4EE4-B3B2-95040DEAF288}"/>
    <cellStyle name="Note 4" xfId="1425" xr:uid="{C1DC4AD4-5D10-41A2-99CC-FD090A0E0C42}"/>
    <cellStyle name="Note 5" xfId="1463" xr:uid="{5AAA7645-7C46-4F9D-80D1-9FCE1998EB42}"/>
    <cellStyle name="Output" xfId="665" builtinId="21" customBuiltin="1"/>
    <cellStyle name="Title" xfId="656" builtinId="15" customBuiltin="1"/>
    <cellStyle name="Total" xfId="671" builtinId="25" customBuiltin="1"/>
    <cellStyle name="Warning Text" xfId="669" builtinId="11" customBuiltin="1"/>
  </cellStyles>
  <dxfs count="0"/>
  <tableStyles count="0" defaultTableStyle="TableStyleMedium9" defaultPivotStyle="PivotStyleLight16"/>
  <colors>
    <mruColors>
      <color rgb="FFFFFF66"/>
      <color rgb="FFFF3300"/>
      <color rgb="FF0000FF"/>
      <color rgb="FFFF5050"/>
      <color rgb="FFDCEBF5"/>
      <color rgb="FF99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1943101</xdr:colOff>
      <xdr:row>1</xdr:row>
      <xdr:rowOff>123825</xdr:rowOff>
    </xdr:from>
    <xdr:to>
      <xdr:col>5</xdr:col>
      <xdr:colOff>131657</xdr:colOff>
      <xdr:row>5</xdr:row>
      <xdr:rowOff>27093</xdr:rowOff>
    </xdr:to>
    <xdr:pic>
      <xdr:nvPicPr>
        <xdr:cNvPr id="2" name="Picture 3" descr="Hi_res_Logo_small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rcRect/>
        <a:stretch>
          <a:fillRect/>
        </a:stretch>
      </xdr:blipFill>
      <xdr:spPr bwMode="auto">
        <a:xfrm>
          <a:off x="4969934" y="293158"/>
          <a:ext cx="1512781" cy="570018"/>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34862</xdr:colOff>
      <xdr:row>1</xdr:row>
      <xdr:rowOff>6225</xdr:rowOff>
    </xdr:from>
    <xdr:to>
      <xdr:col>2</xdr:col>
      <xdr:colOff>1625537</xdr:colOff>
      <xdr:row>3</xdr:row>
      <xdr:rowOff>238884</xdr:rowOff>
    </xdr:to>
    <xdr:pic>
      <xdr:nvPicPr>
        <xdr:cNvPr id="2" name="Picture 1" descr="Hi_res_Logo_small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a:srcRect/>
        <a:stretch>
          <a:fillRect/>
        </a:stretch>
      </xdr:blipFill>
      <xdr:spPr bwMode="auto">
        <a:xfrm>
          <a:off x="404656" y="163107"/>
          <a:ext cx="1590675" cy="557630"/>
        </a:xfrm>
        <a:prstGeom prst="rect">
          <a:avLst/>
        </a:prstGeom>
        <a:noFill/>
        <a:ln w="9525">
          <a:noFill/>
          <a:miter lim="800000"/>
          <a:headEnd/>
          <a:tailEnd/>
        </a:ln>
      </xdr:spPr>
    </xdr:pic>
    <xdr:clientData/>
  </xdr:twoCellAnchor>
  <xdr:twoCellAnchor editAs="oneCell">
    <xdr:from>
      <xdr:col>8</xdr:col>
      <xdr:colOff>0</xdr:colOff>
      <xdr:row>7</xdr:row>
      <xdr:rowOff>123825</xdr:rowOff>
    </xdr:from>
    <xdr:to>
      <xdr:col>8</xdr:col>
      <xdr:colOff>914400</xdr:colOff>
      <xdr:row>11</xdr:row>
      <xdr:rowOff>84169</xdr:rowOff>
    </xdr:to>
    <xdr:sp macro="" textlink="">
      <xdr:nvSpPr>
        <xdr:cNvPr id="67587" name="Object 3" hidden="1">
          <a:extLst>
            <a:ext uri="{63B3BB69-23CF-44E3-9099-C40C66FF867C}">
              <a14:compatExt xmlns:a14="http://schemas.microsoft.com/office/drawing/2010/main" spid="_x0000_s67587"/>
            </a:ext>
            <a:ext uri="{FF2B5EF4-FFF2-40B4-BE49-F238E27FC236}">
              <a16:creationId xmlns:a16="http://schemas.microsoft.com/office/drawing/2014/main" id="{00000000-0008-0000-0E00-0000030801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10583</xdr:colOff>
      <xdr:row>0</xdr:row>
      <xdr:rowOff>116417</xdr:rowOff>
    </xdr:from>
    <xdr:to>
      <xdr:col>2</xdr:col>
      <xdr:colOff>1604433</xdr:colOff>
      <xdr:row>3</xdr:row>
      <xdr:rowOff>133985</xdr:rowOff>
    </xdr:to>
    <xdr:pic>
      <xdr:nvPicPr>
        <xdr:cNvPr id="5" name="Picture 4" descr="Hi_res_Logo_small1">
          <a:extLst>
            <a:ext uri="{FF2B5EF4-FFF2-40B4-BE49-F238E27FC236}">
              <a16:creationId xmlns:a16="http://schemas.microsoft.com/office/drawing/2014/main" id="{00000000-0008-0000-0F00-000005000000}"/>
            </a:ext>
          </a:extLst>
        </xdr:cNvPr>
        <xdr:cNvPicPr/>
      </xdr:nvPicPr>
      <xdr:blipFill>
        <a:blip xmlns:r="http://schemas.openxmlformats.org/officeDocument/2006/relationships" r:embed="rId1"/>
        <a:srcRect/>
        <a:stretch>
          <a:fillRect/>
        </a:stretch>
      </xdr:blipFill>
      <xdr:spPr bwMode="auto">
        <a:xfrm>
          <a:off x="391583" y="116417"/>
          <a:ext cx="1593850" cy="56049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wilkeca\AppData\Local\Microsoft\Windows\INetCache\Content.Outlook\G75CFM6A\Rate%20SheetFE140782-%20FAK.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Rechenblatt"/>
      <sheetName val="Rechenblatt neu"/>
      <sheetName val="Lookup"/>
      <sheetName val="Rechenblatt Koper"/>
      <sheetName val="Rechenblatt Koper neu"/>
      <sheetName val="LookupK"/>
      <sheetName val="Far East+Japan"/>
      <sheetName val="Koper+Trieste"/>
      <sheetName val="Middle East"/>
      <sheetName val="Australia &amp; New Zealand"/>
      <sheetName val="Intra Europe"/>
      <sheetName val="Special Equipment"/>
      <sheetName val="Reefer "/>
      <sheetName val="pick up+Inland Tariff "/>
      <sheetName val="Surcharges-Terms"/>
      <sheetName val="GDPR"/>
    </sheetNames>
    <sheetDataSet>
      <sheetData sheetId="0" refreshError="1"/>
      <sheetData sheetId="1" refreshError="1"/>
      <sheetData sheetId="2" refreshError="1"/>
      <sheetData sheetId="3" refreshError="1"/>
      <sheetData sheetId="4" refreshError="1"/>
      <sheetData sheetId="5" refreshError="1"/>
      <sheetData sheetId="6" refreshError="1">
        <row r="1">
          <cell r="C1" t="str">
            <v>Base Port</v>
          </cell>
          <cell r="D1" t="str">
            <v>Port Group 1</v>
          </cell>
        </row>
        <row r="2">
          <cell r="C2" t="str">
            <v>Pusan, South Korea</v>
          </cell>
          <cell r="D2" t="str">
            <v>FEBP</v>
          </cell>
        </row>
        <row r="3">
          <cell r="C3" t="str">
            <v>Nansha, Guangzhou, Guangdong, China</v>
          </cell>
          <cell r="D3" t="str">
            <v>FEBP</v>
          </cell>
        </row>
        <row r="4">
          <cell r="C4" t="str">
            <v>Ningbo, Ningbo, Zhejiang, China</v>
          </cell>
          <cell r="D4" t="str">
            <v>FEBP</v>
          </cell>
        </row>
        <row r="5">
          <cell r="C5" t="str">
            <v>Port Klang, Selangor, Malaysia</v>
          </cell>
          <cell r="D5" t="str">
            <v>FEBP</v>
          </cell>
        </row>
        <row r="6">
          <cell r="C6" t="str">
            <v>Shanghai, China</v>
          </cell>
          <cell r="D6" t="str">
            <v>FEBP</v>
          </cell>
        </row>
        <row r="7">
          <cell r="C7" t="str">
            <v>Shekou, Shenzhen, Guangdong, China</v>
          </cell>
          <cell r="D7" t="str">
            <v>FEBP</v>
          </cell>
        </row>
        <row r="8">
          <cell r="C8" t="str">
            <v>Jeddah, Makkah, Saudi Arabia</v>
          </cell>
          <cell r="D8" t="str">
            <v>JED</v>
          </cell>
        </row>
        <row r="9">
          <cell r="C9" t="str">
            <v>Hong Kong, Hong Kong; Kaohsiung, Taiwan; Port Klang, Selangor, Malaysia; Singapore, Singapore</v>
          </cell>
          <cell r="D9" t="str">
            <v>FEBP</v>
          </cell>
        </row>
        <row r="10">
          <cell r="C10" t="str">
            <v>Hong Kong, Hong Kong; Nansha, Guangzhou, Guangdong, China</v>
          </cell>
          <cell r="D10" t="str">
            <v>FEBP</v>
          </cell>
        </row>
        <row r="11">
          <cell r="C11" t="str">
            <v>Hong Kong, Hong Kong; Port Klang, Selangor, Malaysia; Singapore, Singapore</v>
          </cell>
          <cell r="D11" t="str">
            <v>FEBP</v>
          </cell>
        </row>
        <row r="12">
          <cell r="C12" t="str">
            <v>Hong Kong, Hong Kong; Shekou, Shenzhen, Guangdong, China</v>
          </cell>
          <cell r="D12" t="str">
            <v>FEBP</v>
          </cell>
        </row>
        <row r="13">
          <cell r="C13" t="str">
            <v>Nansha, Guangzhou, Guangdong, China; Yantian, Shenzhen, Guangdong, China</v>
          </cell>
          <cell r="D13" t="str">
            <v>FEBP</v>
          </cell>
        </row>
        <row r="14">
          <cell r="C14" t="str">
            <v>Ningbo, Ningbo, Zhejiang, China; Shanghai, China</v>
          </cell>
          <cell r="D14" t="str">
            <v>FEBP</v>
          </cell>
        </row>
        <row r="15">
          <cell r="C15" t="str">
            <v>Port Klang, Selangor, Malaysia; Singapore, Singapore</v>
          </cell>
          <cell r="D15" t="str">
            <v>FEBP</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Jordi.Villanes.Erquinio@OOCL.com" TargetMode="External"/><Relationship Id="rId13" Type="http://schemas.openxmlformats.org/officeDocument/2006/relationships/hyperlink" Target="mailto:sales-baumann@OOCL.com" TargetMode="External"/><Relationship Id="rId3" Type="http://schemas.openxmlformats.org/officeDocument/2006/relationships/hyperlink" Target="mailto:Femke.Opitz@OOCL.com" TargetMode="External"/><Relationship Id="rId7" Type="http://schemas.openxmlformats.org/officeDocument/2006/relationships/hyperlink" Target="mailto:Franziska.Winkler@OOCL.com" TargetMode="External"/><Relationship Id="rId12" Type="http://schemas.openxmlformats.org/officeDocument/2006/relationships/hyperlink" Target="mailto:Andreas.Erdmann@OOCL.com" TargetMode="External"/><Relationship Id="rId17" Type="http://schemas.openxmlformats.org/officeDocument/2006/relationships/drawing" Target="../drawings/drawing1.xml"/><Relationship Id="rId2" Type="http://schemas.openxmlformats.org/officeDocument/2006/relationships/hyperlink" Target="mailto:Carolin.Albrecht@OOCL.com" TargetMode="External"/><Relationship Id="rId16" Type="http://schemas.openxmlformats.org/officeDocument/2006/relationships/printerSettings" Target="../printerSettings/printerSettings1.bin"/><Relationship Id="rId1" Type="http://schemas.openxmlformats.org/officeDocument/2006/relationships/hyperlink" Target="mailto:Marina.Gerwers@OOCL.com" TargetMode="External"/><Relationship Id="rId6" Type="http://schemas.openxmlformats.org/officeDocument/2006/relationships/hyperlink" Target="mailto:Kerstin.Grambow@OOCL.com" TargetMode="External"/><Relationship Id="rId11" Type="http://schemas.openxmlformats.org/officeDocument/2006/relationships/hyperlink" Target="mailto:Finn.Baumann@OOCL.com" TargetMode="External"/><Relationship Id="rId5" Type="http://schemas.openxmlformats.org/officeDocument/2006/relationships/hyperlink" Target="mailto:Franziska.Winkler@OOCL.com" TargetMode="External"/><Relationship Id="rId15" Type="http://schemas.openxmlformats.org/officeDocument/2006/relationships/hyperlink" Target="mailto:Carolin.Albrecht@OOCL.com" TargetMode="External"/><Relationship Id="rId10" Type="http://schemas.openxmlformats.org/officeDocument/2006/relationships/hyperlink" Target="mailto:Chiara.Hartwich@OOCL.com" TargetMode="External"/><Relationship Id="rId4" Type="http://schemas.openxmlformats.org/officeDocument/2006/relationships/hyperlink" Target="mailto:Carolin.Albrecht@OOCL.com" TargetMode="External"/><Relationship Id="rId9" Type="http://schemas.openxmlformats.org/officeDocument/2006/relationships/hyperlink" Target="mailto:Christian.Pick@OOCL.com" TargetMode="External"/><Relationship Id="rId14" Type="http://schemas.openxmlformats.org/officeDocument/2006/relationships/hyperlink" Target="mailto:sales-winkler@OOC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www.oocl.com/eng/resourcecenter/globalinfo/Pages/default.aspx" TargetMode="External"/><Relationship Id="rId1" Type="http://schemas.openxmlformats.org/officeDocument/2006/relationships/hyperlink" Target="http://www.oocl.com/eng/resourcecenter/globalinfo/Pages/default.aspx"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www.oocl.com/italy/eng/localinformation/ddfreetime/Pages/default.aspx" TargetMode="External"/><Relationship Id="rId1" Type="http://schemas.openxmlformats.org/officeDocument/2006/relationships/hyperlink" Target="https://www.oocl.com/slovenia/eng/localinformation/ddfreetime/Pages/default.aspx" TargetMode="Externa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www.oocl.com/eng/resourcecenter/globalinfo/Pages/default.aspx" TargetMode="External"/><Relationship Id="rId1" Type="http://schemas.openxmlformats.org/officeDocument/2006/relationships/hyperlink" Target="http://www.oocl.com/eng/resourcecenter/globalinfo/Pages/default.aspx" TargetMode="Externa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www.oocl.com/eng/resourcecenter/globalinfo/Pages/default.aspx" TargetMode="External"/><Relationship Id="rId1" Type="http://schemas.openxmlformats.org/officeDocument/2006/relationships/hyperlink" Target="http://www.oocl.com/eng/resourcecenter/globalinfo/Pages/default.aspx" TargetMode="Externa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www.oocl.com/eng/resourcecenter/globalinfo/Pages/default.aspx" TargetMode="External"/><Relationship Id="rId1" Type="http://schemas.openxmlformats.org/officeDocument/2006/relationships/hyperlink" Target="http://www.oocl.com/eng/resourcecenter/globalinfo/Pages/default.aspx"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www.oocl.com/india/eng/localinformation/localsurcharges/Pages/default.aspx?site=india&amp;lang=eng" TargetMode="External"/><Relationship Id="rId7" Type="http://schemas.openxmlformats.org/officeDocument/2006/relationships/printerSettings" Target="../printerSettings/printerSettings11.bin"/><Relationship Id="rId2" Type="http://schemas.openxmlformats.org/officeDocument/2006/relationships/hyperlink" Target="http://www.oocl.com/eng/resourcecenter/globalinfo/Pages/default.aspx" TargetMode="External"/><Relationship Id="rId1" Type="http://schemas.openxmlformats.org/officeDocument/2006/relationships/hyperlink" Target="http://www.oocl.com/eng/resourcecenter/globalinfo/Pages/default.aspx" TargetMode="External"/><Relationship Id="rId6" Type="http://schemas.openxmlformats.org/officeDocument/2006/relationships/hyperlink" Target="http://pkapp.pka.gov.my/dg/unno.php?unno=3462&amp;Search=Search" TargetMode="External"/><Relationship Id="rId5" Type="http://schemas.openxmlformats.org/officeDocument/2006/relationships/hyperlink" Target="https://www.portnet.com/DGWebPublic/com/pn2/dg/web/newdgchemicalpublic/restrEnquireController.jpf" TargetMode="External"/><Relationship Id="rId4" Type="http://schemas.openxmlformats.org/officeDocument/2006/relationships/hyperlink" Target="https://www.oocl.com/india/eng/localinformation/ddfreetime/Pages/default.aspx?site=india&amp;lang=eng" TargetMode="Externa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www.oocl.com/eng/resourcecenter/globalinfo/Pages/default.aspx" TargetMode="External"/><Relationship Id="rId1" Type="http://schemas.openxmlformats.org/officeDocument/2006/relationships/hyperlink" Target="http://www.oocl.com/eng/resourcecenter/globalinfo/Pages/default.aspx"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www.oocl.com/germany/eng/localinformation/localsurcharges/Pages/default.aspx?site=germany&amp;lang=eng"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8" Type="http://schemas.openxmlformats.org/officeDocument/2006/relationships/printerSettings" Target="../printerSettings/printerSettings15.bin"/><Relationship Id="rId3" Type="http://schemas.openxmlformats.org/officeDocument/2006/relationships/hyperlink" Target="http://www.oocl.com/eng/resourcecenter/globalinfo/Pages/default.aspx" TargetMode="External"/><Relationship Id="rId7" Type="http://schemas.openxmlformats.org/officeDocument/2006/relationships/hyperlink" Target="https://www.oocl.com/eng/ourservices/eservices/inlandtariffenquiry/termsandconditions/Documents/ODEZ_Inland_Terms_and_Conditions.pdf" TargetMode="External"/><Relationship Id="rId2" Type="http://schemas.openxmlformats.org/officeDocument/2006/relationships/hyperlink" Target="http://www.oocl.com/eng/ourservices/eservices/inlandtariffenquiry/Pages/default.aspx" TargetMode="External"/><Relationship Id="rId1" Type="http://schemas.openxmlformats.org/officeDocument/2006/relationships/hyperlink" Target="http://www.oocl.com/eng/ourservices/eservices/sailingschedule/Pages/default.aspx" TargetMode="External"/><Relationship Id="rId6" Type="http://schemas.openxmlformats.org/officeDocument/2006/relationships/hyperlink" Target="https://www.oocl.com/germany/eng/localinformation/localsurcharges/Pages/Pick-Up-and-Drop-Off-charges-German-hinterland.aspx" TargetMode="External"/><Relationship Id="rId5" Type="http://schemas.openxmlformats.org/officeDocument/2006/relationships/hyperlink" Target="https://www.oocl.com/germany/eng/localinformation/localsurcharges/Pages/Pick-Up-and-Drop-Off-charges-German-hinterland.aspx" TargetMode="External"/><Relationship Id="rId4" Type="http://schemas.openxmlformats.org/officeDocument/2006/relationships/hyperlink" Target="https://www.oocl.com/eng/ourservices/eservices/inlandtariffenquiry/termsandconditions/Documents/ODEZ_Inland_Terms_and_Conditions.pdf" TargetMode="External"/><Relationship Id="rId9" Type="http://schemas.openxmlformats.org/officeDocument/2006/relationships/drawing" Target="../drawings/drawing2.xml"/></Relationships>
</file>

<file path=xl/worksheets/_rels/sheet16.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hyperlink" Target="http://www.oocl.com/eng/resourcecenter/globalinfo/Pages/default.aspx" TargetMode="External"/><Relationship Id="rId7" Type="http://schemas.openxmlformats.org/officeDocument/2006/relationships/printerSettings" Target="../printerSettings/printerSettings16.bin"/><Relationship Id="rId2" Type="http://schemas.openxmlformats.org/officeDocument/2006/relationships/hyperlink" Target="http://www.oocl.com/eng/resourcecenter/globalinfo/Pages/default.aspx" TargetMode="External"/><Relationship Id="rId1" Type="http://schemas.openxmlformats.org/officeDocument/2006/relationships/hyperlink" Target="http://www.oocl.com/eng/resourcecenter/globalinfo/" TargetMode="External"/><Relationship Id="rId6" Type="http://schemas.openxmlformats.org/officeDocument/2006/relationships/hyperlink" Target="http://pkapp.pka.gov.my/dg/unno.php?unno=3462&amp;Search=Search" TargetMode="External"/><Relationship Id="rId5" Type="http://schemas.openxmlformats.org/officeDocument/2006/relationships/hyperlink" Target="http://www.oocl.com/germany/eng/localinformation/localsurcharges/Pages/default.aspx?site=germany&amp;lang=eng" TargetMode="External"/><Relationship Id="rId4" Type="http://schemas.openxmlformats.org/officeDocument/2006/relationships/hyperlink" Target="https://moc.oocl.com/wls_prs_rp/public/inlandTariff/search/display"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499984740745262"/>
    <pageSetUpPr fitToPage="1"/>
  </sheetPr>
  <dimension ref="A1:I92"/>
  <sheetViews>
    <sheetView showGridLines="0" zoomScale="90" zoomScaleNormal="90" workbookViewId="0"/>
  </sheetViews>
  <sheetFormatPr defaultColWidth="9.140625" defaultRowHeight="12.75"/>
  <cols>
    <col min="1" max="1" width="7.140625" style="2" customWidth="1"/>
    <col min="2" max="2" width="25.5703125" style="2" customWidth="1"/>
    <col min="3" max="3" width="16.7109375" style="2" customWidth="1"/>
    <col min="4" max="4" width="37.42578125" style="2" customWidth="1"/>
    <col min="5" max="5" width="12.5703125" style="2" customWidth="1"/>
    <col min="6" max="6" width="22.28515625" style="2" customWidth="1"/>
    <col min="7" max="7" width="17" style="2" customWidth="1"/>
    <col min="8" max="8" width="33.28515625" style="4" customWidth="1"/>
    <col min="9" max="9" width="7.140625" style="2" customWidth="1"/>
    <col min="10" max="16384" width="9.140625" style="2"/>
  </cols>
  <sheetData>
    <row r="1" spans="1:9" ht="13.5" thickBot="1">
      <c r="A1" s="424"/>
      <c r="B1" s="425"/>
      <c r="C1" s="425"/>
      <c r="D1" s="425"/>
      <c r="E1" s="425"/>
      <c r="F1" s="425"/>
      <c r="G1" s="425"/>
      <c r="H1" s="426"/>
      <c r="I1" s="427"/>
    </row>
    <row r="2" spans="1:9" ht="15" customHeight="1">
      <c r="A2" s="428"/>
      <c r="B2" s="437"/>
      <c r="C2" s="423"/>
      <c r="D2" s="423"/>
      <c r="E2" s="423"/>
      <c r="F2" s="423"/>
      <c r="G2" s="423"/>
      <c r="H2" s="427"/>
      <c r="I2" s="429"/>
    </row>
    <row r="3" spans="1:9">
      <c r="A3" s="430"/>
      <c r="B3" s="438"/>
      <c r="C3" s="1003"/>
      <c r="D3" s="1003"/>
      <c r="E3" s="1003"/>
      <c r="F3" s="1003"/>
      <c r="G3" s="1003"/>
      <c r="H3" s="429"/>
      <c r="I3" s="429"/>
    </row>
    <row r="4" spans="1:9">
      <c r="A4" s="430"/>
      <c r="B4" s="438"/>
      <c r="C4" s="1003"/>
      <c r="D4" s="1003"/>
      <c r="E4" s="1003"/>
      <c r="F4" s="1003"/>
      <c r="G4" s="1003"/>
      <c r="H4" s="429"/>
      <c r="I4" s="429"/>
    </row>
    <row r="5" spans="1:9">
      <c r="A5" s="430"/>
      <c r="B5" s="438"/>
      <c r="C5" s="1003"/>
      <c r="D5" s="1003"/>
      <c r="E5" s="1003"/>
      <c r="F5" s="1003"/>
      <c r="G5" s="1003"/>
      <c r="H5" s="429"/>
      <c r="I5" s="429"/>
    </row>
    <row r="6" spans="1:9">
      <c r="A6" s="431"/>
      <c r="B6" s="438"/>
      <c r="C6" s="1003"/>
      <c r="D6" s="1003"/>
      <c r="E6" s="1003"/>
      <c r="F6" s="1003"/>
      <c r="G6" s="1003"/>
      <c r="H6" s="429"/>
      <c r="I6" s="429"/>
    </row>
    <row r="7" spans="1:9" ht="15" customHeight="1">
      <c r="A7" s="431"/>
      <c r="B7" s="1064" t="s">
        <v>0</v>
      </c>
      <c r="C7" s="1065"/>
      <c r="D7" s="1065"/>
      <c r="E7" s="1065"/>
      <c r="F7" s="1065"/>
      <c r="G7" s="1065"/>
      <c r="H7" s="1066"/>
      <c r="I7" s="429"/>
    </row>
    <row r="8" spans="1:9" ht="13.35" customHeight="1">
      <c r="A8" s="431"/>
      <c r="B8" s="431"/>
      <c r="C8" s="1004"/>
      <c r="D8" s="1062" t="s">
        <v>1</v>
      </c>
      <c r="E8" s="1062"/>
      <c r="F8" s="1062"/>
      <c r="G8" s="1004"/>
      <c r="H8" s="1002"/>
      <c r="I8" s="429"/>
    </row>
    <row r="9" spans="1:9">
      <c r="A9" s="431"/>
      <c r="B9" s="1070" t="s">
        <v>2</v>
      </c>
      <c r="C9" s="1071"/>
      <c r="D9" s="1071"/>
      <c r="E9" s="1071"/>
      <c r="F9" s="1071"/>
      <c r="G9" s="1071"/>
      <c r="H9" s="1072"/>
      <c r="I9" s="429"/>
    </row>
    <row r="10" spans="1:9">
      <c r="A10" s="431"/>
      <c r="B10" s="1067" t="s">
        <v>3</v>
      </c>
      <c r="C10" s="1068"/>
      <c r="D10" s="1068"/>
      <c r="E10" s="1068"/>
      <c r="F10" s="1068"/>
      <c r="G10" s="1068"/>
      <c r="H10" s="1069"/>
      <c r="I10" s="429"/>
    </row>
    <row r="11" spans="1:9" ht="13.35" customHeight="1">
      <c r="A11" s="431"/>
      <c r="B11" s="1070" t="s">
        <v>4</v>
      </c>
      <c r="C11" s="1071"/>
      <c r="D11" s="1071"/>
      <c r="E11" s="1071"/>
      <c r="F11" s="1071"/>
      <c r="G11" s="1071"/>
      <c r="H11" s="1072"/>
      <c r="I11" s="429"/>
    </row>
    <row r="12" spans="1:9">
      <c r="A12" s="431"/>
      <c r="B12" s="1067" t="s">
        <v>5</v>
      </c>
      <c r="C12" s="1068"/>
      <c r="D12" s="1068"/>
      <c r="E12" s="1068"/>
      <c r="F12" s="1068"/>
      <c r="G12" s="1068"/>
      <c r="H12" s="1069"/>
      <c r="I12" s="429"/>
    </row>
    <row r="13" spans="1:9">
      <c r="A13" s="431"/>
      <c r="B13" s="1070" t="str">
        <f>B9</f>
        <v>valid as from 01.12.2025 - 31.01.2026</v>
      </c>
      <c r="C13" s="1071"/>
      <c r="D13" s="1071"/>
      <c r="E13" s="1071"/>
      <c r="F13" s="1071"/>
      <c r="G13" s="1071"/>
      <c r="H13" s="1072"/>
      <c r="I13" s="429"/>
    </row>
    <row r="14" spans="1:9" ht="13.5" thickBot="1">
      <c r="A14" s="431"/>
      <c r="B14" s="1079"/>
      <c r="C14" s="1080"/>
      <c r="D14" s="1080"/>
      <c r="E14" s="1080"/>
      <c r="F14" s="1080"/>
      <c r="G14" s="1080"/>
      <c r="H14" s="1081"/>
      <c r="I14" s="429"/>
    </row>
    <row r="15" spans="1:9">
      <c r="A15" s="428"/>
      <c r="H15" s="2"/>
      <c r="I15" s="429"/>
    </row>
    <row r="16" spans="1:9">
      <c r="A16" s="428"/>
      <c r="B16" s="897"/>
      <c r="C16" s="897"/>
      <c r="D16" s="897"/>
      <c r="E16" s="897"/>
      <c r="F16" s="897"/>
      <c r="G16" s="897"/>
      <c r="H16" s="2"/>
      <c r="I16" s="429"/>
    </row>
    <row r="17" spans="1:9">
      <c r="A17" s="428"/>
      <c r="B17" s="1083" t="s">
        <v>6</v>
      </c>
      <c r="C17" s="1083"/>
      <c r="D17" s="1083"/>
      <c r="E17" s="1083"/>
      <c r="F17" s="1083"/>
      <c r="G17" s="1083"/>
      <c r="H17" s="1083"/>
      <c r="I17" s="429"/>
    </row>
    <row r="18" spans="1:9" ht="17.25" customHeight="1">
      <c r="A18" s="428"/>
      <c r="B18" s="897"/>
      <c r="C18" s="897"/>
      <c r="D18" s="897"/>
      <c r="E18" s="897"/>
      <c r="F18" s="897"/>
      <c r="G18" s="897"/>
      <c r="H18" s="2"/>
      <c r="I18" s="429"/>
    </row>
    <row r="19" spans="1:9" ht="17.25" customHeight="1">
      <c r="A19" s="430"/>
      <c r="B19" s="1073" t="s">
        <v>7</v>
      </c>
      <c r="C19" s="1073"/>
      <c r="D19" s="1073"/>
      <c r="E19" s="1073"/>
      <c r="F19" s="1073"/>
      <c r="G19" s="1073"/>
      <c r="H19" s="1073"/>
      <c r="I19" s="429"/>
    </row>
    <row r="20" spans="1:9" ht="17.25" customHeight="1">
      <c r="A20" s="430"/>
      <c r="B20" s="1074" t="s">
        <v>8</v>
      </c>
      <c r="C20" s="1074"/>
      <c r="D20" s="1074"/>
      <c r="E20" s="1074"/>
      <c r="F20" s="1074"/>
      <c r="G20" s="1074"/>
      <c r="H20" s="1074"/>
      <c r="I20" s="429"/>
    </row>
    <row r="21" spans="1:9" ht="17.25" customHeight="1">
      <c r="A21" s="430"/>
      <c r="B21" s="1074"/>
      <c r="C21" s="1074"/>
      <c r="D21" s="1074"/>
      <c r="E21" s="1074"/>
      <c r="F21" s="1074"/>
      <c r="G21" s="1074"/>
      <c r="H21" s="2"/>
      <c r="I21" s="429"/>
    </row>
    <row r="22" spans="1:9" ht="17.25" customHeight="1">
      <c r="A22" s="430"/>
      <c r="B22" s="1075" t="s">
        <v>9</v>
      </c>
      <c r="C22" s="1075"/>
      <c r="D22" s="1075"/>
      <c r="E22" s="1075"/>
      <c r="F22" s="1075"/>
      <c r="G22" s="1075"/>
      <c r="H22" s="1075"/>
      <c r="I22" s="429"/>
    </row>
    <row r="23" spans="1:9" ht="17.25" customHeight="1">
      <c r="A23" s="430"/>
      <c r="B23" s="1075" t="s">
        <v>10</v>
      </c>
      <c r="C23" s="1075"/>
      <c r="D23" s="1075"/>
      <c r="E23" s="1075"/>
      <c r="F23" s="1075"/>
      <c r="G23" s="1075"/>
      <c r="H23" s="1075"/>
      <c r="I23" s="429"/>
    </row>
    <row r="24" spans="1:9" ht="17.25" customHeight="1">
      <c r="A24" s="430"/>
      <c r="B24" s="4"/>
      <c r="C24" s="4"/>
      <c r="D24" s="4"/>
      <c r="E24" s="4"/>
      <c r="F24" s="4"/>
      <c r="G24" s="4"/>
      <c r="H24" s="2"/>
      <c r="I24" s="429"/>
    </row>
    <row r="25" spans="1:9" ht="17.25" customHeight="1">
      <c r="A25" s="430"/>
      <c r="B25" s="898" t="s">
        <v>11</v>
      </c>
      <c r="C25" s="898"/>
      <c r="D25" s="898"/>
      <c r="E25" s="898"/>
      <c r="F25" s="898"/>
      <c r="G25" s="898"/>
      <c r="H25" s="898"/>
      <c r="I25" s="429"/>
    </row>
    <row r="26" spans="1:9" ht="18" customHeight="1">
      <c r="A26" s="430"/>
      <c r="B26" s="1084" t="s">
        <v>12</v>
      </c>
      <c r="C26" s="1084"/>
      <c r="D26" s="1084"/>
      <c r="E26" s="1084"/>
      <c r="F26" s="1084"/>
      <c r="G26" s="1084"/>
      <c r="H26" s="1084"/>
      <c r="I26" s="1082"/>
    </row>
    <row r="27" spans="1:9" ht="17.25" customHeight="1">
      <c r="A27" s="430"/>
      <c r="B27" s="899" t="s">
        <v>13</v>
      </c>
      <c r="C27" s="899" t="s">
        <v>14</v>
      </c>
      <c r="D27" s="899" t="s">
        <v>15</v>
      </c>
      <c r="E27" s="900" t="s">
        <v>16</v>
      </c>
      <c r="F27" s="899" t="s">
        <v>17</v>
      </c>
      <c r="G27" s="899" t="s">
        <v>18</v>
      </c>
      <c r="H27" s="899" t="s">
        <v>19</v>
      </c>
      <c r="I27" s="1082"/>
    </row>
    <row r="28" spans="1:9" ht="17.25" customHeight="1">
      <c r="A28" s="430"/>
      <c r="B28" s="901" t="s">
        <v>20</v>
      </c>
      <c r="C28" s="902" t="s">
        <v>21</v>
      </c>
      <c r="D28" s="901" t="s">
        <v>22</v>
      </c>
      <c r="E28" s="903" t="s">
        <v>23</v>
      </c>
      <c r="F28" s="901" t="s">
        <v>24</v>
      </c>
      <c r="G28" s="901" t="s">
        <v>21</v>
      </c>
      <c r="H28" s="904" t="s">
        <v>24</v>
      </c>
      <c r="I28" s="1082"/>
    </row>
    <row r="29" spans="1:9" ht="17.25" customHeight="1">
      <c r="A29" s="430"/>
      <c r="B29" s="901" t="s">
        <v>25</v>
      </c>
      <c r="C29" s="905" t="s">
        <v>24</v>
      </c>
      <c r="D29" s="901" t="s">
        <v>21</v>
      </c>
      <c r="E29" s="903" t="s">
        <v>26</v>
      </c>
      <c r="F29" s="901" t="s">
        <v>22</v>
      </c>
      <c r="G29" s="901" t="s">
        <v>22</v>
      </c>
      <c r="H29" s="904" t="s">
        <v>21</v>
      </c>
      <c r="I29" s="1082"/>
    </row>
    <row r="30" spans="1:9" ht="17.25" customHeight="1">
      <c r="A30" s="430"/>
      <c r="B30" s="901"/>
      <c r="C30" s="905" t="s">
        <v>22</v>
      </c>
      <c r="D30" s="901" t="s">
        <v>20</v>
      </c>
      <c r="E30" s="901"/>
      <c r="F30" s="906" t="s">
        <v>21</v>
      </c>
      <c r="G30" s="901"/>
      <c r="H30" s="904" t="s">
        <v>22</v>
      </c>
      <c r="I30" s="1082"/>
    </row>
    <row r="31" spans="1:9" ht="17.25" customHeight="1">
      <c r="A31" s="430"/>
      <c r="B31" s="527"/>
      <c r="C31" s="527"/>
      <c r="D31" s="527"/>
      <c r="E31" s="527"/>
      <c r="F31" s="527"/>
      <c r="G31" s="527"/>
      <c r="H31" s="528"/>
      <c r="I31" s="429"/>
    </row>
    <row r="32" spans="1:9" ht="15" customHeight="1">
      <c r="A32" s="430"/>
      <c r="B32" s="907" t="s">
        <v>27</v>
      </c>
      <c r="C32" s="907" t="s">
        <v>28</v>
      </c>
      <c r="D32" s="907" t="s">
        <v>29</v>
      </c>
      <c r="E32" s="907" t="s">
        <v>29</v>
      </c>
      <c r="F32" s="907" t="s">
        <v>30</v>
      </c>
      <c r="G32" s="907" t="s">
        <v>31</v>
      </c>
      <c r="H32" s="907" t="s">
        <v>32</v>
      </c>
      <c r="I32" s="429"/>
    </row>
    <row r="33" spans="1:9" ht="15" customHeight="1">
      <c r="A33" s="430"/>
      <c r="B33" s="907" t="s">
        <v>28</v>
      </c>
      <c r="C33" s="907" t="s">
        <v>33</v>
      </c>
      <c r="D33" s="907" t="s">
        <v>28</v>
      </c>
      <c r="E33" s="907" t="s">
        <v>34</v>
      </c>
      <c r="F33" s="907" t="s">
        <v>29</v>
      </c>
      <c r="G33" s="907" t="s">
        <v>32</v>
      </c>
      <c r="H33" s="907" t="s">
        <v>33</v>
      </c>
      <c r="I33" s="429"/>
    </row>
    <row r="34" spans="1:9" ht="15" customHeight="1">
      <c r="A34" s="430"/>
      <c r="B34" s="907" t="s">
        <v>34</v>
      </c>
      <c r="C34" s="907" t="s">
        <v>35</v>
      </c>
      <c r="D34" s="907" t="s">
        <v>36</v>
      </c>
      <c r="E34" s="907" t="s">
        <v>37</v>
      </c>
      <c r="F34" s="907" t="s">
        <v>28</v>
      </c>
      <c r="G34" s="907" t="s">
        <v>38</v>
      </c>
      <c r="H34" s="907" t="s">
        <v>34</v>
      </c>
      <c r="I34" s="429"/>
    </row>
    <row r="35" spans="1:9" ht="15" customHeight="1">
      <c r="A35" s="430"/>
      <c r="B35" s="907" t="s">
        <v>36</v>
      </c>
      <c r="C35" s="907" t="s">
        <v>39</v>
      </c>
      <c r="D35" s="907" t="s">
        <v>40</v>
      </c>
      <c r="E35" s="907" t="s">
        <v>28</v>
      </c>
      <c r="F35" s="907" t="s">
        <v>34</v>
      </c>
      <c r="G35" s="907" t="s">
        <v>39</v>
      </c>
      <c r="H35" s="907" t="s">
        <v>28</v>
      </c>
      <c r="I35" s="429"/>
    </row>
    <row r="36" spans="1:9" ht="15" customHeight="1">
      <c r="A36" s="430"/>
      <c r="B36" s="907" t="s">
        <v>30</v>
      </c>
      <c r="C36" s="907" t="s">
        <v>34</v>
      </c>
      <c r="D36" s="907" t="s">
        <v>30</v>
      </c>
      <c r="E36" s="907"/>
      <c r="F36" s="907"/>
      <c r="G36" s="907" t="s">
        <v>28</v>
      </c>
      <c r="H36" s="907" t="s">
        <v>30</v>
      </c>
      <c r="I36" s="429"/>
    </row>
    <row r="37" spans="1:9" ht="15" customHeight="1">
      <c r="A37" s="430"/>
      <c r="B37" s="907" t="s">
        <v>39</v>
      </c>
      <c r="C37" s="908"/>
      <c r="D37" s="909"/>
      <c r="E37" s="907"/>
      <c r="F37" s="907"/>
      <c r="G37" s="907" t="s">
        <v>34</v>
      </c>
      <c r="H37" s="907"/>
      <c r="I37" s="429"/>
    </row>
    <row r="38" spans="1:9" ht="15" customHeight="1">
      <c r="A38" s="430"/>
      <c r="B38" s="910"/>
      <c r="C38" s="907"/>
      <c r="D38" s="907"/>
      <c r="E38" s="907"/>
      <c r="F38" s="907"/>
      <c r="G38" s="907" t="s">
        <v>41</v>
      </c>
      <c r="H38" s="907"/>
      <c r="I38" s="429"/>
    </row>
    <row r="39" spans="1:9" ht="15" customHeight="1">
      <c r="A39" s="430"/>
      <c r="B39" s="910"/>
      <c r="C39" s="907"/>
      <c r="D39" s="911"/>
      <c r="E39" s="907"/>
      <c r="F39" s="912"/>
      <c r="G39" s="907" t="s">
        <v>30</v>
      </c>
      <c r="H39" s="907"/>
      <c r="I39" s="429"/>
    </row>
    <row r="40" spans="1:9" ht="17.25" customHeight="1">
      <c r="A40" s="430"/>
      <c r="B40" s="913"/>
      <c r="C40" s="902"/>
      <c r="D40" s="911"/>
      <c r="E40" s="907"/>
      <c r="F40" s="912"/>
      <c r="G40" s="907"/>
      <c r="H40" s="907"/>
      <c r="I40" s="429"/>
    </row>
    <row r="41" spans="1:9">
      <c r="A41" s="430"/>
      <c r="B41" s="913"/>
      <c r="C41" s="902"/>
      <c r="D41" s="900"/>
      <c r="E41" s="914"/>
      <c r="F41" s="912"/>
      <c r="G41" s="915"/>
      <c r="H41" s="907"/>
      <c r="I41" s="429"/>
    </row>
    <row r="42" spans="1:9" ht="17.25" customHeight="1" thickBot="1">
      <c r="A42" s="430"/>
      <c r="B42" s="529"/>
      <c r="C42" s="529"/>
      <c r="D42" s="529"/>
      <c r="E42" s="529"/>
      <c r="F42" s="529"/>
      <c r="G42" s="529"/>
      <c r="H42" s="907"/>
      <c r="I42" s="429"/>
    </row>
    <row r="43" spans="1:9" ht="17.25" customHeight="1" thickBot="1">
      <c r="A43" s="430"/>
      <c r="B43" s="1076" t="s">
        <v>42</v>
      </c>
      <c r="C43" s="1077"/>
      <c r="D43" s="1077"/>
      <c r="E43" s="1077"/>
      <c r="F43" s="1077"/>
      <c r="G43" s="1077"/>
      <c r="H43" s="1078"/>
      <c r="I43" s="429"/>
    </row>
    <row r="44" spans="1:9" ht="17.25" customHeight="1" thickBot="1">
      <c r="A44" s="430"/>
      <c r="B44" s="916"/>
      <c r="C44" s="916"/>
      <c r="D44" s="916"/>
      <c r="E44" s="916"/>
      <c r="F44" s="530"/>
      <c r="G44" s="916"/>
      <c r="H44" s="917"/>
      <c r="I44" s="429"/>
    </row>
    <row r="45" spans="1:9" ht="17.25" customHeight="1" thickBot="1">
      <c r="A45" s="430"/>
      <c r="B45" s="1076" t="s">
        <v>43</v>
      </c>
      <c r="C45" s="1077"/>
      <c r="D45" s="1077"/>
      <c r="E45" s="1077"/>
      <c r="F45" s="1077"/>
      <c r="G45" s="1077"/>
      <c r="H45" s="1078"/>
      <c r="I45" s="429"/>
    </row>
    <row r="46" spans="1:9" s="11" customFormat="1" ht="17.25" customHeight="1" thickBot="1">
      <c r="A46" s="432"/>
      <c r="B46" s="918"/>
      <c r="C46" s="918"/>
      <c r="D46" s="918"/>
      <c r="E46" s="918"/>
      <c r="F46" s="918"/>
      <c r="G46" s="918"/>
      <c r="H46" s="896"/>
      <c r="I46" s="433"/>
    </row>
    <row r="47" spans="1:9" s="11" customFormat="1" ht="17.25" customHeight="1" thickBot="1">
      <c r="A47" s="432"/>
      <c r="B47" s="1076" t="s">
        <v>44</v>
      </c>
      <c r="C47" s="1077"/>
      <c r="D47" s="1078"/>
      <c r="E47" s="531"/>
      <c r="F47" s="1076" t="s">
        <v>45</v>
      </c>
      <c r="G47" s="1077"/>
      <c r="H47" s="1078"/>
      <c r="I47" s="433"/>
    </row>
    <row r="48" spans="1:9" s="11" customFormat="1" ht="17.25" customHeight="1">
      <c r="A48" s="432"/>
      <c r="B48" s="919" t="s">
        <v>46</v>
      </c>
      <c r="C48" s="920" t="s">
        <v>47</v>
      </c>
      <c r="D48" s="921" t="s">
        <v>48</v>
      </c>
      <c r="E48" s="531"/>
      <c r="F48" s="919" t="s">
        <v>46</v>
      </c>
      <c r="G48" s="920" t="s">
        <v>47</v>
      </c>
      <c r="H48" s="921" t="s">
        <v>48</v>
      </c>
      <c r="I48" s="433"/>
    </row>
    <row r="49" spans="1:9" s="187" customFormat="1" ht="17.25" customHeight="1">
      <c r="A49" s="532"/>
      <c r="B49" s="964" t="s">
        <v>49</v>
      </c>
      <c r="C49" s="965" t="s">
        <v>50</v>
      </c>
      <c r="D49" s="964" t="s">
        <v>51</v>
      </c>
      <c r="E49" s="966"/>
      <c r="F49" s="964" t="s">
        <v>52</v>
      </c>
      <c r="G49" s="965" t="s">
        <v>53</v>
      </c>
      <c r="H49" s="964" t="s">
        <v>54</v>
      </c>
      <c r="I49" s="533"/>
    </row>
    <row r="50" spans="1:9" s="187" customFormat="1" ht="17.25" customHeight="1">
      <c r="A50" s="532"/>
      <c r="B50" s="964" t="s">
        <v>55</v>
      </c>
      <c r="C50" s="965" t="s">
        <v>56</v>
      </c>
      <c r="D50" s="964" t="s">
        <v>57</v>
      </c>
      <c r="E50" s="966"/>
      <c r="F50" s="964" t="s">
        <v>58</v>
      </c>
      <c r="G50" s="965" t="s">
        <v>59</v>
      </c>
      <c r="H50" s="964" t="s">
        <v>60</v>
      </c>
      <c r="I50" s="533"/>
    </row>
    <row r="51" spans="1:9" s="187" customFormat="1" ht="17.25" customHeight="1">
      <c r="A51" s="532"/>
      <c r="B51" s="964" t="s">
        <v>61</v>
      </c>
      <c r="C51" s="965" t="s">
        <v>62</v>
      </c>
      <c r="D51" s="964" t="s">
        <v>63</v>
      </c>
      <c r="E51" s="966"/>
      <c r="F51" s="964" t="s">
        <v>64</v>
      </c>
      <c r="G51" s="965" t="s">
        <v>65</v>
      </c>
      <c r="H51" s="964" t="s">
        <v>66</v>
      </c>
      <c r="I51" s="533"/>
    </row>
    <row r="52" spans="1:9" s="187" customFormat="1" ht="17.25" customHeight="1">
      <c r="A52" s="532"/>
      <c r="B52" s="964" t="s">
        <v>67</v>
      </c>
      <c r="C52" s="965" t="s">
        <v>68</v>
      </c>
      <c r="D52" s="964" t="s">
        <v>69</v>
      </c>
      <c r="E52" s="966"/>
      <c r="F52" s="964" t="s">
        <v>70</v>
      </c>
      <c r="G52" s="965" t="s">
        <v>71</v>
      </c>
      <c r="H52" s="964" t="s">
        <v>72</v>
      </c>
      <c r="I52" s="533"/>
    </row>
    <row r="53" spans="1:9" s="187" customFormat="1" ht="16.5" customHeight="1">
      <c r="A53" s="532"/>
      <c r="B53" s="967" t="s">
        <v>73</v>
      </c>
      <c r="C53" s="965" t="s">
        <v>74</v>
      </c>
      <c r="D53" s="965" t="s">
        <v>75</v>
      </c>
      <c r="E53" s="966"/>
      <c r="F53" s="964" t="s">
        <v>76</v>
      </c>
      <c r="G53" s="965" t="s">
        <v>77</v>
      </c>
      <c r="H53" s="964" t="s">
        <v>78</v>
      </c>
      <c r="I53" s="533"/>
    </row>
    <row r="54" spans="1:9" s="187" customFormat="1" ht="17.25" customHeight="1">
      <c r="A54" s="532"/>
      <c r="B54" s="964" t="s">
        <v>79</v>
      </c>
      <c r="C54" s="965" t="s">
        <v>80</v>
      </c>
      <c r="D54" s="964" t="s">
        <v>81</v>
      </c>
      <c r="E54" s="966"/>
      <c r="F54" s="964" t="s">
        <v>82</v>
      </c>
      <c r="G54" s="965" t="s">
        <v>83</v>
      </c>
      <c r="H54" s="964" t="s">
        <v>84</v>
      </c>
      <c r="I54" s="533"/>
    </row>
    <row r="55" spans="1:9" s="187" customFormat="1" ht="17.25" customHeight="1">
      <c r="A55" s="532"/>
      <c r="B55" s="964" t="s">
        <v>85</v>
      </c>
      <c r="C55" s="965" t="s">
        <v>86</v>
      </c>
      <c r="D55" s="964" t="s">
        <v>87</v>
      </c>
      <c r="E55" s="966"/>
      <c r="F55" s="965" t="s">
        <v>88</v>
      </c>
      <c r="G55" s="968" t="s">
        <v>89</v>
      </c>
      <c r="H55" s="964" t="s">
        <v>90</v>
      </c>
      <c r="I55" s="533"/>
    </row>
    <row r="56" spans="1:9" s="187" customFormat="1" ht="17.25" customHeight="1">
      <c r="A56" s="532"/>
      <c r="B56" s="964" t="s">
        <v>91</v>
      </c>
      <c r="C56" s="965" t="s">
        <v>92</v>
      </c>
      <c r="D56" s="964" t="s">
        <v>93</v>
      </c>
      <c r="E56" s="966"/>
      <c r="F56" s="965" t="s">
        <v>94</v>
      </c>
      <c r="G56" s="968" t="s">
        <v>95</v>
      </c>
      <c r="H56" s="964" t="s">
        <v>96</v>
      </c>
      <c r="I56" s="533"/>
    </row>
    <row r="57" spans="1:9" s="187" customFormat="1" ht="17.25" customHeight="1">
      <c r="A57" s="532"/>
      <c r="B57" s="964" t="s">
        <v>97</v>
      </c>
      <c r="C57" s="965" t="s">
        <v>98</v>
      </c>
      <c r="D57" s="965" t="s">
        <v>99</v>
      </c>
      <c r="E57" s="966"/>
      <c r="F57" s="965" t="s">
        <v>100</v>
      </c>
      <c r="G57" s="968" t="s">
        <v>101</v>
      </c>
      <c r="H57" s="964" t="s">
        <v>102</v>
      </c>
      <c r="I57" s="533"/>
    </row>
    <row r="58" spans="1:9" s="187" customFormat="1" ht="17.25" customHeight="1">
      <c r="A58" s="532"/>
      <c r="B58" s="964" t="s">
        <v>103</v>
      </c>
      <c r="C58" s="965" t="s">
        <v>104</v>
      </c>
      <c r="D58" s="964" t="s">
        <v>105</v>
      </c>
      <c r="E58" s="966"/>
      <c r="F58" s="964" t="s">
        <v>106</v>
      </c>
      <c r="G58" s="965" t="s">
        <v>107</v>
      </c>
      <c r="H58" s="964" t="s">
        <v>108</v>
      </c>
      <c r="I58" s="533"/>
    </row>
    <row r="59" spans="1:9" s="187" customFormat="1" ht="17.25" customHeight="1">
      <c r="A59" s="532"/>
      <c r="B59" s="964" t="s">
        <v>109</v>
      </c>
      <c r="C59" s="965" t="s">
        <v>110</v>
      </c>
      <c r="D59" s="964" t="s">
        <v>111</v>
      </c>
      <c r="E59" s="966"/>
      <c r="F59" s="964" t="s">
        <v>112</v>
      </c>
      <c r="G59" s="965" t="s">
        <v>113</v>
      </c>
      <c r="H59" s="964" t="s">
        <v>114</v>
      </c>
      <c r="I59" s="533"/>
    </row>
    <row r="60" spans="1:9" s="187" customFormat="1" ht="17.25" customHeight="1">
      <c r="A60" s="532"/>
      <c r="B60" s="964" t="s">
        <v>115</v>
      </c>
      <c r="C60" s="965" t="s">
        <v>116</v>
      </c>
      <c r="D60" s="964" t="s">
        <v>117</v>
      </c>
      <c r="E60" s="966"/>
      <c r="I60" s="533"/>
    </row>
    <row r="61" spans="1:9" s="187" customFormat="1" ht="17.25" customHeight="1">
      <c r="A61" s="532"/>
      <c r="B61" s="244"/>
      <c r="C61" s="922"/>
      <c r="D61" s="531"/>
      <c r="E61" s="531"/>
      <c r="I61" s="533"/>
    </row>
    <row r="62" spans="1:9" s="187" customFormat="1" ht="17.25" customHeight="1" thickBot="1">
      <c r="A62" s="532"/>
      <c r="B62" s="244"/>
      <c r="C62" s="922"/>
      <c r="D62" s="531"/>
      <c r="E62" s="531"/>
      <c r="I62" s="533"/>
    </row>
    <row r="63" spans="1:9" s="187" customFormat="1" ht="17.25" customHeight="1" thickBot="1">
      <c r="A63" s="532"/>
      <c r="B63" s="1076" t="s">
        <v>118</v>
      </c>
      <c r="C63" s="1077"/>
      <c r="D63" s="1078"/>
      <c r="E63" s="531"/>
      <c r="F63" s="1076" t="s">
        <v>119</v>
      </c>
      <c r="G63" s="1077"/>
      <c r="H63" s="1078"/>
      <c r="I63" s="533"/>
    </row>
    <row r="64" spans="1:9" ht="17.25" customHeight="1">
      <c r="A64" s="434"/>
      <c r="B64" s="187"/>
      <c r="C64" s="187"/>
      <c r="D64" s="187"/>
      <c r="E64" s="531"/>
      <c r="F64" s="187"/>
      <c r="G64" s="187"/>
      <c r="H64" s="187"/>
      <c r="I64" s="429"/>
    </row>
    <row r="65" spans="1:9" ht="17.25" customHeight="1">
      <c r="A65" s="431"/>
      <c r="B65" s="1063" t="s">
        <v>120</v>
      </c>
      <c r="C65" s="1063"/>
      <c r="D65" s="1063"/>
      <c r="E65" s="531"/>
      <c r="F65" s="1063" t="s">
        <v>121</v>
      </c>
      <c r="G65" s="1063"/>
      <c r="H65" s="1063"/>
      <c r="I65" s="429"/>
    </row>
    <row r="66" spans="1:9" ht="17.25" customHeight="1">
      <c r="A66" s="431"/>
      <c r="H66" s="2"/>
      <c r="I66" s="429"/>
    </row>
    <row r="67" spans="1:9" ht="17.25" customHeight="1" thickBot="1">
      <c r="A67" s="435"/>
      <c r="B67" s="386"/>
      <c r="C67" s="386"/>
      <c r="D67" s="386"/>
      <c r="E67" s="386"/>
      <c r="F67" s="386"/>
      <c r="G67" s="386"/>
      <c r="H67" s="386"/>
      <c r="I67" s="436"/>
    </row>
    <row r="68" spans="1:9" ht="17.25" customHeight="1">
      <c r="H68" s="2"/>
    </row>
    <row r="69" spans="1:9" ht="17.25" customHeight="1">
      <c r="H69" s="2"/>
    </row>
    <row r="70" spans="1:9" ht="17.25" customHeight="1">
      <c r="H70" s="2"/>
    </row>
    <row r="71" spans="1:9" ht="17.25" customHeight="1">
      <c r="H71" s="2"/>
    </row>
    <row r="72" spans="1:9" ht="17.25" customHeight="1">
      <c r="H72" s="2"/>
    </row>
    <row r="73" spans="1:9">
      <c r="H73" s="2"/>
    </row>
    <row r="74" spans="1:9" ht="17.25" customHeight="1">
      <c r="H74" s="2"/>
    </row>
    <row r="75" spans="1:9" ht="17.25" customHeight="1">
      <c r="H75" s="2"/>
    </row>
    <row r="76" spans="1:9" ht="17.25" customHeight="1">
      <c r="H76" s="2"/>
    </row>
    <row r="77" spans="1:9" ht="17.25" customHeight="1">
      <c r="H77" s="2"/>
    </row>
    <row r="78" spans="1:9" ht="17.25" customHeight="1">
      <c r="H78" s="2"/>
    </row>
    <row r="79" spans="1:9" ht="17.25" customHeight="1">
      <c r="H79" s="2"/>
    </row>
    <row r="80" spans="1:9" ht="17.25" customHeight="1">
      <c r="H80" s="2"/>
    </row>
    <row r="81" s="2" customFormat="1" ht="17.25" customHeight="1"/>
    <row r="82" s="2" customFormat="1" ht="17.25" customHeight="1"/>
    <row r="83" s="2" customFormat="1" ht="17.25" customHeight="1"/>
    <row r="84" s="2" customFormat="1" ht="17.25" customHeight="1"/>
    <row r="85" s="2" customFormat="1" ht="17.25" customHeight="1"/>
    <row r="86" s="2" customFormat="1"/>
    <row r="87" s="2" customFormat="1" ht="17.25" customHeight="1"/>
    <row r="88" s="2" customFormat="1" ht="17.25" customHeight="1"/>
    <row r="89" s="2" customFormat="1" ht="17.25" customHeight="1"/>
    <row r="90" s="2" customFormat="1" ht="17.25" customHeight="1"/>
    <row r="91" s="2" customFormat="1" ht="17.25" customHeight="1"/>
    <row r="92" s="2" customFormat="1" ht="17.25" customHeight="1"/>
  </sheetData>
  <mergeCells count="24">
    <mergeCell ref="B13:H13"/>
    <mergeCell ref="F63:H63"/>
    <mergeCell ref="B45:H45"/>
    <mergeCell ref="B14:H14"/>
    <mergeCell ref="I26:I30"/>
    <mergeCell ref="B17:H17"/>
    <mergeCell ref="B21:G21"/>
    <mergeCell ref="B26:H26"/>
    <mergeCell ref="D8:F8"/>
    <mergeCell ref="B65:D65"/>
    <mergeCell ref="F65:H65"/>
    <mergeCell ref="B7:H7"/>
    <mergeCell ref="B10:H10"/>
    <mergeCell ref="B11:H11"/>
    <mergeCell ref="B12:H12"/>
    <mergeCell ref="B19:H19"/>
    <mergeCell ref="B20:H20"/>
    <mergeCell ref="B22:H22"/>
    <mergeCell ref="B23:H23"/>
    <mergeCell ref="B43:H43"/>
    <mergeCell ref="B47:D47"/>
    <mergeCell ref="F47:H47"/>
    <mergeCell ref="B63:D63"/>
    <mergeCell ref="B9:H9"/>
  </mergeCells>
  <hyperlinks>
    <hyperlink ref="H55" r:id="rId1" xr:uid="{4FC615D5-80AB-4B00-B049-FCFEE86A020A}"/>
    <hyperlink ref="H52" r:id="rId2" display="Carolin.Albrecht@OOCL.com" xr:uid="{DD134DEF-449A-4518-8F73-7806859C3826}"/>
    <hyperlink ref="H50" r:id="rId3" xr:uid="{D89DE64E-AF05-4378-BD48-056B8BE04AAA}"/>
    <hyperlink ref="D60" r:id="rId4" display="Carolin.Albrecht@OOCL.com" xr:uid="{5535036B-A203-4ECF-84AF-CBDAF2A951CE}"/>
    <hyperlink ref="D59" r:id="rId5" display="Franziska.Winkler@OOCL.com" xr:uid="{FB45E053-D71B-4340-A57A-A2B50D5763E0}"/>
    <hyperlink ref="D58" r:id="rId6" xr:uid="{4E78A700-E99C-4F2C-A0E5-2A127B826086}"/>
    <hyperlink ref="D55" r:id="rId7" xr:uid="{14D2C8D9-40E4-416A-9BF2-631B08870C26}"/>
    <hyperlink ref="D57" r:id="rId8" xr:uid="{6C602ED8-A8D6-4F5A-9BE1-329598CE16A7}"/>
    <hyperlink ref="D53" r:id="rId9" xr:uid="{DE091EB0-4DAE-4974-AF3E-73D7658E9B9B}"/>
    <hyperlink ref="D52" r:id="rId10" xr:uid="{C45BA69F-2FD1-400A-9506-2B0A9F959D4E}"/>
    <hyperlink ref="D54" r:id="rId11" xr:uid="{B90B8395-5C4A-43D4-88C7-2A0C4DE65DF6}"/>
    <hyperlink ref="D50" r:id="rId12" xr:uid="{8EDE4923-4C5F-4FCF-8E4F-4F0AFEAFBB96}"/>
    <hyperlink ref="D49" r:id="rId13" xr:uid="{F25A93DE-E59D-4B67-85EB-F5486ED7694E}"/>
    <hyperlink ref="D56" r:id="rId14" xr:uid="{BE597A14-086C-4384-8582-E874A8EA9A30}"/>
    <hyperlink ref="D51" r:id="rId15" xr:uid="{C616D5D6-B761-4A0F-AF97-4B7AA0A16677}"/>
  </hyperlinks>
  <pageMargins left="0.75" right="0.21" top="1" bottom="1" header="0.5" footer="0.5"/>
  <pageSetup paperSize="9" scale="69" orientation="portrait" r:id="rId16"/>
  <headerFooter alignWithMargins="0"/>
  <drawing r:id="rId1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1:F70"/>
  <sheetViews>
    <sheetView workbookViewId="0">
      <selection activeCell="E50" sqref="E50:E70"/>
    </sheetView>
  </sheetViews>
  <sheetFormatPr defaultColWidth="9.140625" defaultRowHeight="12.75"/>
  <cols>
    <col min="1" max="1" width="9.140625" style="9"/>
    <col min="2" max="2" width="9.5703125" style="9" bestFit="1" customWidth="1"/>
    <col min="3" max="3" width="105.42578125" style="9" customWidth="1"/>
    <col min="4" max="4" width="12.140625" style="9" bestFit="1" customWidth="1"/>
    <col min="5" max="5" width="14.28515625" style="9" bestFit="1" customWidth="1"/>
    <col min="6" max="16384" width="9.140625" style="9"/>
  </cols>
  <sheetData>
    <row r="1" spans="2:5" ht="15">
      <c r="B1" s="141" t="s">
        <v>122</v>
      </c>
      <c r="C1" s="142" t="s">
        <v>123</v>
      </c>
      <c r="D1" s="142" t="s">
        <v>124</v>
      </c>
      <c r="E1" s="142" t="s">
        <v>125</v>
      </c>
    </row>
    <row r="2" spans="2:5">
      <c r="B2" s="143" t="str">
        <f t="shared" ref="B2:B44" si="0">D2</f>
        <v>DAM</v>
      </c>
      <c r="C2" s="144" t="s">
        <v>126</v>
      </c>
      <c r="D2" s="144" t="s">
        <v>127</v>
      </c>
      <c r="E2" s="144" t="s">
        <v>128</v>
      </c>
    </row>
    <row r="3" spans="2:5">
      <c r="B3" s="143" t="str">
        <f t="shared" si="0"/>
        <v>FEBP</v>
      </c>
      <c r="C3" s="144" t="s">
        <v>129</v>
      </c>
      <c r="D3" s="144" t="s">
        <v>130</v>
      </c>
      <c r="E3" s="144" t="s">
        <v>131</v>
      </c>
    </row>
    <row r="4" spans="2:5">
      <c r="B4" s="143" t="str">
        <f t="shared" si="0"/>
        <v>FEBP</v>
      </c>
      <c r="C4" s="144" t="s">
        <v>132</v>
      </c>
      <c r="D4" s="144" t="s">
        <v>130</v>
      </c>
      <c r="E4" s="144" t="s">
        <v>133</v>
      </c>
    </row>
    <row r="5" spans="2:5">
      <c r="B5" s="143" t="str">
        <f t="shared" si="0"/>
        <v>FEBP</v>
      </c>
      <c r="C5" s="144" t="s">
        <v>134</v>
      </c>
      <c r="D5" s="144" t="s">
        <v>130</v>
      </c>
      <c r="E5" s="144" t="s">
        <v>131</v>
      </c>
    </row>
    <row r="6" spans="2:5">
      <c r="B6" s="143" t="str">
        <f t="shared" si="0"/>
        <v>FEBP</v>
      </c>
      <c r="C6" s="144" t="s">
        <v>135</v>
      </c>
      <c r="D6" s="144" t="s">
        <v>130</v>
      </c>
      <c r="E6" s="144" t="s">
        <v>131</v>
      </c>
    </row>
    <row r="7" spans="2:5">
      <c r="B7" s="143" t="str">
        <f t="shared" si="0"/>
        <v>FEBP</v>
      </c>
      <c r="C7" s="144" t="s">
        <v>136</v>
      </c>
      <c r="D7" s="144" t="s">
        <v>130</v>
      </c>
      <c r="E7" s="144" t="s">
        <v>131</v>
      </c>
    </row>
    <row r="8" spans="2:5">
      <c r="B8" s="143" t="str">
        <f t="shared" si="0"/>
        <v>FEBP</v>
      </c>
      <c r="C8" s="144" t="s">
        <v>137</v>
      </c>
      <c r="D8" s="144" t="s">
        <v>130</v>
      </c>
      <c r="E8" s="144" t="s">
        <v>133</v>
      </c>
    </row>
    <row r="9" spans="2:5">
      <c r="B9" s="143" t="str">
        <f t="shared" si="0"/>
        <v>SIN/PKG</v>
      </c>
      <c r="C9" s="144" t="s">
        <v>138</v>
      </c>
      <c r="D9" s="144" t="s">
        <v>139</v>
      </c>
      <c r="E9" s="144" t="s">
        <v>131</v>
      </c>
    </row>
    <row r="10" spans="2:5">
      <c r="B10" s="143" t="str">
        <f t="shared" si="0"/>
        <v>FEBP</v>
      </c>
      <c r="C10" s="144" t="s">
        <v>140</v>
      </c>
      <c r="D10" s="144" t="s">
        <v>130</v>
      </c>
      <c r="E10" s="144" t="s">
        <v>133</v>
      </c>
    </row>
    <row r="11" spans="2:5">
      <c r="B11" s="143" t="str">
        <f t="shared" si="0"/>
        <v>FEBP</v>
      </c>
      <c r="C11" s="144" t="s">
        <v>141</v>
      </c>
      <c r="D11" s="144" t="s">
        <v>130</v>
      </c>
      <c r="E11" s="144" t="s">
        <v>133</v>
      </c>
    </row>
    <row r="12" spans="2:5">
      <c r="B12" s="143" t="str">
        <f t="shared" si="0"/>
        <v>SIN/PKG</v>
      </c>
      <c r="C12" s="144" t="s">
        <v>142</v>
      </c>
      <c r="D12" s="144" t="s">
        <v>139</v>
      </c>
      <c r="E12" s="144" t="s">
        <v>131</v>
      </c>
    </row>
    <row r="13" spans="2:5">
      <c r="B13" s="143" t="str">
        <f t="shared" si="0"/>
        <v>FEBP</v>
      </c>
      <c r="C13" s="144" t="s">
        <v>143</v>
      </c>
      <c r="D13" s="144" t="s">
        <v>130</v>
      </c>
      <c r="E13" s="144" t="s">
        <v>131</v>
      </c>
    </row>
    <row r="14" spans="2:5">
      <c r="B14" s="143" t="str">
        <f t="shared" si="0"/>
        <v>FEBP</v>
      </c>
      <c r="C14" s="144" t="s">
        <v>144</v>
      </c>
      <c r="D14" s="144" t="s">
        <v>130</v>
      </c>
      <c r="E14" s="144" t="s">
        <v>133</v>
      </c>
    </row>
    <row r="15" spans="2:5">
      <c r="B15" s="143" t="str">
        <f t="shared" si="0"/>
        <v>FEBP</v>
      </c>
      <c r="C15" s="151" t="s">
        <v>145</v>
      </c>
      <c r="D15" s="144" t="s">
        <v>130</v>
      </c>
      <c r="E15" s="144" t="s">
        <v>133</v>
      </c>
    </row>
    <row r="16" spans="2:5">
      <c r="B16" s="143" t="str">
        <f t="shared" si="0"/>
        <v>FEBP</v>
      </c>
      <c r="C16" s="144" t="s">
        <v>146</v>
      </c>
      <c r="D16" s="144" t="s">
        <v>130</v>
      </c>
      <c r="E16" s="144" t="s">
        <v>131</v>
      </c>
    </row>
    <row r="17" spans="2:6">
      <c r="B17" s="143" t="str">
        <f t="shared" si="0"/>
        <v>HCM</v>
      </c>
      <c r="C17" s="144" t="s">
        <v>147</v>
      </c>
      <c r="D17" s="144" t="s">
        <v>148</v>
      </c>
      <c r="E17" s="144" t="s">
        <v>131</v>
      </c>
    </row>
    <row r="18" spans="2:6">
      <c r="B18" s="143" t="str">
        <f t="shared" si="0"/>
        <v>JEA</v>
      </c>
      <c r="C18" s="144" t="s">
        <v>149</v>
      </c>
      <c r="D18" s="144" t="s">
        <v>150</v>
      </c>
      <c r="E18" s="144" t="s">
        <v>128</v>
      </c>
    </row>
    <row r="19" spans="2:6">
      <c r="B19" s="143" t="str">
        <f t="shared" si="0"/>
        <v>JED</v>
      </c>
      <c r="C19" s="144" t="s">
        <v>151</v>
      </c>
      <c r="D19" s="144" t="s">
        <v>152</v>
      </c>
      <c r="E19" s="144" t="s">
        <v>128</v>
      </c>
    </row>
    <row r="20" spans="2:6">
      <c r="B20" s="143" t="s">
        <v>130</v>
      </c>
      <c r="C20" s="144" t="s">
        <v>153</v>
      </c>
      <c r="D20" s="144" t="s">
        <v>154</v>
      </c>
      <c r="E20" s="144" t="s">
        <v>131</v>
      </c>
    </row>
    <row r="21" spans="2:6">
      <c r="B21" s="143" t="str">
        <f t="shared" si="0"/>
        <v>JPBP</v>
      </c>
      <c r="C21" s="144" t="s">
        <v>155</v>
      </c>
      <c r="D21" s="144" t="s">
        <v>156</v>
      </c>
      <c r="E21" s="144" t="s">
        <v>131</v>
      </c>
    </row>
    <row r="22" spans="2:6">
      <c r="B22" s="143" t="str">
        <f t="shared" si="0"/>
        <v>JPBP</v>
      </c>
      <c r="C22" s="144" t="s">
        <v>157</v>
      </c>
      <c r="D22" s="144" t="s">
        <v>156</v>
      </c>
      <c r="E22" s="144" t="s">
        <v>131</v>
      </c>
    </row>
    <row r="23" spans="2:6">
      <c r="B23" s="143" t="str">
        <f t="shared" si="0"/>
        <v>JPBP</v>
      </c>
      <c r="C23" s="144" t="s">
        <v>158</v>
      </c>
      <c r="D23" s="144" t="s">
        <v>156</v>
      </c>
      <c r="E23" s="144" t="s">
        <v>131</v>
      </c>
    </row>
    <row r="24" spans="2:6">
      <c r="B24" s="143" t="str">
        <f t="shared" si="0"/>
        <v>FEBP</v>
      </c>
      <c r="C24" s="144" t="s">
        <v>159</v>
      </c>
      <c r="D24" s="144" t="s">
        <v>130</v>
      </c>
      <c r="E24" s="144" t="s">
        <v>131</v>
      </c>
    </row>
    <row r="25" spans="2:6">
      <c r="B25" s="143"/>
      <c r="C25" s="144"/>
      <c r="D25" s="144"/>
      <c r="E25" s="144" t="s">
        <v>131</v>
      </c>
    </row>
    <row r="26" spans="2:6" ht="20.25">
      <c r="B26" s="143" t="str">
        <f t="shared" si="0"/>
        <v>SIN/PKG</v>
      </c>
      <c r="C26" s="149" t="s">
        <v>160</v>
      </c>
      <c r="D26" s="144" t="s">
        <v>139</v>
      </c>
      <c r="E26" s="144" t="s">
        <v>161</v>
      </c>
      <c r="F26" s="146" t="s">
        <v>162</v>
      </c>
    </row>
    <row r="27" spans="2:6">
      <c r="B27" s="143" t="str">
        <f t="shared" si="0"/>
        <v>FEBP</v>
      </c>
      <c r="C27" s="150" t="s">
        <v>163</v>
      </c>
      <c r="D27" s="144" t="s">
        <v>130</v>
      </c>
      <c r="E27" s="144" t="s">
        <v>161</v>
      </c>
    </row>
    <row r="28" spans="2:6">
      <c r="B28" s="143" t="str">
        <f t="shared" si="0"/>
        <v>FEBP</v>
      </c>
      <c r="C28" s="150" t="s">
        <v>164</v>
      </c>
      <c r="D28" s="144" t="s">
        <v>130</v>
      </c>
      <c r="E28" s="144" t="s">
        <v>161</v>
      </c>
    </row>
    <row r="29" spans="2:6">
      <c r="B29" s="143" t="str">
        <f t="shared" si="0"/>
        <v>FEBP</v>
      </c>
      <c r="C29" s="150" t="s">
        <v>165</v>
      </c>
      <c r="D29" s="144" t="s">
        <v>130</v>
      </c>
      <c r="E29" s="144" t="s">
        <v>161</v>
      </c>
    </row>
    <row r="30" spans="2:6">
      <c r="B30" s="143" t="str">
        <f t="shared" si="0"/>
        <v>FEBP</v>
      </c>
      <c r="C30" s="150" t="s">
        <v>166</v>
      </c>
      <c r="D30" s="144" t="s">
        <v>130</v>
      </c>
      <c r="E30" s="144" t="s">
        <v>161</v>
      </c>
    </row>
    <row r="31" spans="2:6">
      <c r="B31" s="143" t="str">
        <f t="shared" si="0"/>
        <v>FEBP</v>
      </c>
      <c r="C31" s="150" t="s">
        <v>167</v>
      </c>
      <c r="D31" s="144" t="s">
        <v>130</v>
      </c>
      <c r="E31" s="144" t="s">
        <v>161</v>
      </c>
    </row>
    <row r="32" spans="2:6">
      <c r="B32" s="143" t="str">
        <f t="shared" si="0"/>
        <v>FEBP</v>
      </c>
      <c r="C32" s="149" t="s">
        <v>168</v>
      </c>
      <c r="D32" s="144" t="s">
        <v>130</v>
      </c>
      <c r="E32" s="144" t="s">
        <v>161</v>
      </c>
    </row>
    <row r="33" spans="2:5">
      <c r="B33" s="143" t="str">
        <f t="shared" si="0"/>
        <v>FEBP</v>
      </c>
      <c r="C33" s="150" t="s">
        <v>169</v>
      </c>
      <c r="D33" s="144" t="s">
        <v>130</v>
      </c>
      <c r="E33" s="144" t="s">
        <v>161</v>
      </c>
    </row>
    <row r="34" spans="2:5">
      <c r="B34" s="143" t="str">
        <f t="shared" si="0"/>
        <v>FEBP</v>
      </c>
      <c r="C34" s="150" t="s">
        <v>170</v>
      </c>
      <c r="D34" s="144" t="s">
        <v>130</v>
      </c>
      <c r="E34" s="144" t="s">
        <v>161</v>
      </c>
    </row>
    <row r="35" spans="2:5">
      <c r="B35" s="143" t="str">
        <f t="shared" si="0"/>
        <v>FEBP</v>
      </c>
      <c r="C35" s="149" t="s">
        <v>171</v>
      </c>
      <c r="D35" s="144" t="s">
        <v>130</v>
      </c>
      <c r="E35" s="144" t="s">
        <v>161</v>
      </c>
    </row>
    <row r="36" spans="2:5">
      <c r="B36" s="143" t="str">
        <f t="shared" si="0"/>
        <v>FEBP</v>
      </c>
      <c r="C36" s="150" t="s">
        <v>172</v>
      </c>
      <c r="D36" s="144" t="s">
        <v>130</v>
      </c>
      <c r="E36" s="144" t="s">
        <v>161</v>
      </c>
    </row>
    <row r="37" spans="2:5">
      <c r="B37" s="143" t="str">
        <f t="shared" si="0"/>
        <v>FEBP</v>
      </c>
      <c r="C37" s="150" t="s">
        <v>173</v>
      </c>
      <c r="D37" s="144" t="s">
        <v>130</v>
      </c>
      <c r="E37" s="144" t="s">
        <v>161</v>
      </c>
    </row>
    <row r="38" spans="2:5">
      <c r="B38" s="143" t="str">
        <f t="shared" si="0"/>
        <v>FEBP</v>
      </c>
      <c r="C38" s="145" t="s">
        <v>174</v>
      </c>
      <c r="D38" s="144" t="s">
        <v>130</v>
      </c>
      <c r="E38" s="144" t="s">
        <v>161</v>
      </c>
    </row>
    <row r="39" spans="2:5">
      <c r="B39" s="143" t="str">
        <f t="shared" si="0"/>
        <v>FEBP</v>
      </c>
      <c r="C39" s="145" t="s">
        <v>175</v>
      </c>
      <c r="D39" s="144" t="s">
        <v>130</v>
      </c>
      <c r="E39" s="144" t="s">
        <v>161</v>
      </c>
    </row>
    <row r="40" spans="2:5">
      <c r="B40" s="143" t="str">
        <f t="shared" si="0"/>
        <v>FEBP</v>
      </c>
      <c r="C40" s="145" t="s">
        <v>176</v>
      </c>
      <c r="D40" s="144" t="s">
        <v>130</v>
      </c>
      <c r="E40" s="144" t="s">
        <v>161</v>
      </c>
    </row>
    <row r="41" spans="2:5">
      <c r="B41" s="143" t="str">
        <f t="shared" si="0"/>
        <v>FEBP</v>
      </c>
      <c r="C41" s="149" t="s">
        <v>177</v>
      </c>
      <c r="D41" s="144" t="s">
        <v>130</v>
      </c>
      <c r="E41" s="144" t="s">
        <v>161</v>
      </c>
    </row>
    <row r="42" spans="2:5">
      <c r="B42" s="143" t="str">
        <f t="shared" si="0"/>
        <v>FEBP</v>
      </c>
      <c r="C42" s="149" t="s">
        <v>178</v>
      </c>
      <c r="D42" s="144" t="s">
        <v>130</v>
      </c>
      <c r="E42" s="144" t="s">
        <v>161</v>
      </c>
    </row>
    <row r="43" spans="2:5">
      <c r="B43" s="143" t="str">
        <f t="shared" si="0"/>
        <v>FEBP</v>
      </c>
      <c r="C43" s="150" t="s">
        <v>179</v>
      </c>
      <c r="D43" s="144" t="s">
        <v>130</v>
      </c>
      <c r="E43" s="144" t="s">
        <v>161</v>
      </c>
    </row>
    <row r="44" spans="2:5">
      <c r="B44" s="143" t="str">
        <f t="shared" si="0"/>
        <v>Abu Dhabi</v>
      </c>
      <c r="C44" s="264" t="s">
        <v>180</v>
      </c>
      <c r="D44" s="9" t="s">
        <v>181</v>
      </c>
      <c r="E44" s="144" t="s">
        <v>128</v>
      </c>
    </row>
    <row r="45" spans="2:5" ht="14.25">
      <c r="B45" s="9" t="s">
        <v>156</v>
      </c>
      <c r="C45" s="346" t="s">
        <v>182</v>
      </c>
      <c r="D45" s="9" t="s">
        <v>156</v>
      </c>
      <c r="E45" s="9" t="s">
        <v>131</v>
      </c>
    </row>
    <row r="46" spans="2:5" ht="14.25">
      <c r="B46" s="9" t="s">
        <v>130</v>
      </c>
      <c r="C46" s="346" t="s">
        <v>183</v>
      </c>
      <c r="D46" s="9" t="s">
        <v>130</v>
      </c>
      <c r="E46" s="9" t="s">
        <v>131</v>
      </c>
    </row>
    <row r="47" spans="2:5">
      <c r="B47" s="9" t="s">
        <v>130</v>
      </c>
      <c r="C47" t="s">
        <v>184</v>
      </c>
      <c r="D47" s="9" t="s">
        <v>130</v>
      </c>
      <c r="E47" s="144" t="s">
        <v>161</v>
      </c>
    </row>
    <row r="48" spans="2:5">
      <c r="B48" s="9" t="s">
        <v>130</v>
      </c>
      <c r="C48" s="9" t="s">
        <v>185</v>
      </c>
      <c r="D48" s="9" t="s">
        <v>130</v>
      </c>
      <c r="E48" s="144" t="s">
        <v>161</v>
      </c>
    </row>
    <row r="49" spans="2:5">
      <c r="B49" s="9" t="s">
        <v>156</v>
      </c>
      <c r="C49" s="9" t="s">
        <v>186</v>
      </c>
      <c r="D49" s="9" t="s">
        <v>156</v>
      </c>
      <c r="E49" s="9" t="s">
        <v>131</v>
      </c>
    </row>
    <row r="50" spans="2:5">
      <c r="B50" s="9" t="s">
        <v>130</v>
      </c>
      <c r="C50" s="32" t="s">
        <v>187</v>
      </c>
      <c r="D50" s="9" t="s">
        <v>130</v>
      </c>
      <c r="E50" s="9" t="s">
        <v>131</v>
      </c>
    </row>
    <row r="51" spans="2:5">
      <c r="B51" s="9" t="s">
        <v>130</v>
      </c>
      <c r="C51" s="32" t="s">
        <v>187</v>
      </c>
      <c r="D51" s="9" t="s">
        <v>130</v>
      </c>
      <c r="E51" s="9" t="s">
        <v>131</v>
      </c>
    </row>
    <row r="52" spans="2:5">
      <c r="B52" s="9" t="s">
        <v>130</v>
      </c>
      <c r="C52" s="439" t="s">
        <v>188</v>
      </c>
      <c r="D52" s="9" t="s">
        <v>130</v>
      </c>
      <c r="E52" s="9" t="s">
        <v>131</v>
      </c>
    </row>
    <row r="53" spans="2:5">
      <c r="B53" s="9" t="s">
        <v>130</v>
      </c>
      <c r="C53" s="32" t="s">
        <v>187</v>
      </c>
      <c r="D53" s="9" t="s">
        <v>130</v>
      </c>
      <c r="E53" s="9" t="s">
        <v>131</v>
      </c>
    </row>
    <row r="54" spans="2:5">
      <c r="B54" s="9" t="s">
        <v>130</v>
      </c>
      <c r="C54" s="32" t="s">
        <v>187</v>
      </c>
      <c r="D54" s="9" t="s">
        <v>130</v>
      </c>
      <c r="E54" s="9" t="s">
        <v>131</v>
      </c>
    </row>
    <row r="55" spans="2:5">
      <c r="B55" s="9" t="s">
        <v>130</v>
      </c>
      <c r="C55" s="32" t="s">
        <v>187</v>
      </c>
      <c r="D55" s="9" t="s">
        <v>130</v>
      </c>
      <c r="E55" s="9" t="s">
        <v>131</v>
      </c>
    </row>
    <row r="56" spans="2:5">
      <c r="B56" s="9" t="s">
        <v>130</v>
      </c>
      <c r="C56" s="32" t="s">
        <v>189</v>
      </c>
      <c r="D56" s="9" t="s">
        <v>130</v>
      </c>
      <c r="E56" s="9" t="s">
        <v>131</v>
      </c>
    </row>
    <row r="57" spans="2:5">
      <c r="B57" s="9" t="s">
        <v>130</v>
      </c>
      <c r="C57" s="32" t="s">
        <v>189</v>
      </c>
      <c r="D57" s="9" t="s">
        <v>130</v>
      </c>
      <c r="E57" s="9" t="s">
        <v>131</v>
      </c>
    </row>
    <row r="58" spans="2:5">
      <c r="B58" s="9" t="s">
        <v>130</v>
      </c>
      <c r="C58" s="32" t="s">
        <v>188</v>
      </c>
      <c r="D58" s="9" t="s">
        <v>130</v>
      </c>
      <c r="E58" s="9" t="s">
        <v>131</v>
      </c>
    </row>
    <row r="59" spans="2:5">
      <c r="B59" s="9" t="s">
        <v>130</v>
      </c>
      <c r="C59" s="32" t="s">
        <v>187</v>
      </c>
      <c r="D59" s="9" t="s">
        <v>130</v>
      </c>
      <c r="E59" s="9" t="s">
        <v>131</v>
      </c>
    </row>
    <row r="60" spans="2:5">
      <c r="B60" s="9" t="s">
        <v>130</v>
      </c>
      <c r="C60" s="32" t="s">
        <v>187</v>
      </c>
      <c r="D60" s="9" t="s">
        <v>130</v>
      </c>
      <c r="E60" s="9" t="s">
        <v>131</v>
      </c>
    </row>
    <row r="61" spans="2:5">
      <c r="B61" s="9" t="s">
        <v>130</v>
      </c>
      <c r="C61" s="32" t="s">
        <v>190</v>
      </c>
      <c r="D61" s="9" t="s">
        <v>130</v>
      </c>
      <c r="E61" s="9" t="s">
        <v>131</v>
      </c>
    </row>
    <row r="62" spans="2:5">
      <c r="B62" s="9" t="s">
        <v>130</v>
      </c>
      <c r="C62" s="32" t="s">
        <v>187</v>
      </c>
      <c r="D62" s="9" t="s">
        <v>130</v>
      </c>
      <c r="E62" s="9" t="s">
        <v>131</v>
      </c>
    </row>
    <row r="63" spans="2:5">
      <c r="B63" s="9" t="s">
        <v>130</v>
      </c>
      <c r="C63" s="32" t="s">
        <v>187</v>
      </c>
      <c r="D63" s="9" t="s">
        <v>130</v>
      </c>
      <c r="E63" s="9" t="s">
        <v>131</v>
      </c>
    </row>
    <row r="64" spans="2:5">
      <c r="B64" s="9" t="s">
        <v>130</v>
      </c>
      <c r="C64" s="32" t="s">
        <v>187</v>
      </c>
      <c r="D64" s="9" t="s">
        <v>130</v>
      </c>
      <c r="E64" s="9" t="s">
        <v>131</v>
      </c>
    </row>
    <row r="65" spans="2:5">
      <c r="B65" s="9" t="s">
        <v>130</v>
      </c>
      <c r="C65" s="32" t="s">
        <v>189</v>
      </c>
      <c r="D65" s="9" t="s">
        <v>130</v>
      </c>
      <c r="E65" s="9" t="s">
        <v>131</v>
      </c>
    </row>
    <row r="66" spans="2:5">
      <c r="B66" s="9" t="s">
        <v>130</v>
      </c>
      <c r="C66" s="439" t="s">
        <v>189</v>
      </c>
      <c r="D66" s="9" t="s">
        <v>130</v>
      </c>
      <c r="E66" s="9" t="s">
        <v>131</v>
      </c>
    </row>
    <row r="67" spans="2:5">
      <c r="B67" s="9" t="s">
        <v>130</v>
      </c>
      <c r="C67" s="32" t="s">
        <v>190</v>
      </c>
      <c r="D67" s="9" t="s">
        <v>130</v>
      </c>
      <c r="E67" s="9" t="s">
        <v>131</v>
      </c>
    </row>
    <row r="68" spans="2:5">
      <c r="B68" s="9" t="s">
        <v>130</v>
      </c>
      <c r="C68" s="32" t="s">
        <v>190</v>
      </c>
      <c r="D68" s="9" t="s">
        <v>130</v>
      </c>
      <c r="E68" s="9" t="s">
        <v>131</v>
      </c>
    </row>
    <row r="69" spans="2:5">
      <c r="B69" s="9" t="s">
        <v>130</v>
      </c>
      <c r="C69" s="32" t="s">
        <v>189</v>
      </c>
      <c r="D69" s="9" t="s">
        <v>130</v>
      </c>
      <c r="E69" s="9" t="s">
        <v>131</v>
      </c>
    </row>
    <row r="70" spans="2:5">
      <c r="B70" s="9" t="s">
        <v>130</v>
      </c>
      <c r="C70" s="977" t="s">
        <v>191</v>
      </c>
      <c r="D70" s="9" t="s">
        <v>130</v>
      </c>
      <c r="E70" s="9" t="s">
        <v>131</v>
      </c>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00000"/>
  </sheetPr>
  <dimension ref="A1:M227"/>
  <sheetViews>
    <sheetView zoomScale="80" zoomScaleNormal="80" workbookViewId="0">
      <selection activeCell="A24" sqref="A24:XFD24"/>
    </sheetView>
  </sheetViews>
  <sheetFormatPr defaultColWidth="9.140625" defaultRowHeight="12.75"/>
  <cols>
    <col min="1" max="1" width="18.5703125" style="9" bestFit="1" customWidth="1"/>
    <col min="2" max="2" width="43.85546875" style="9" customWidth="1"/>
    <col min="3" max="3" width="13.140625" style="9" customWidth="1"/>
    <col min="4" max="4" width="29.85546875" style="9" customWidth="1"/>
    <col min="5" max="5" width="9.140625" style="9"/>
    <col min="6" max="6" width="14.140625" style="9" customWidth="1"/>
    <col min="7" max="7" width="64" style="119" customWidth="1"/>
    <col min="8" max="10" width="10.85546875" style="109" customWidth="1"/>
    <col min="11" max="11" width="11.28515625" style="109" customWidth="1"/>
    <col min="12" max="13" width="11.28515625" style="9" customWidth="1"/>
    <col min="14" max="16384" width="9.140625" style="9"/>
  </cols>
  <sheetData>
    <row r="1" spans="1:13" ht="15.75" thickBot="1">
      <c r="B1" s="140" t="s">
        <v>192</v>
      </c>
      <c r="C1" s="139"/>
      <c r="D1" s="139"/>
      <c r="E1" s="139"/>
    </row>
    <row r="2" spans="1:13">
      <c r="B2" s="138" t="s">
        <v>193</v>
      </c>
      <c r="C2" s="137" t="s">
        <v>194</v>
      </c>
      <c r="D2" s="137" t="s">
        <v>195</v>
      </c>
      <c r="E2" s="136" t="s">
        <v>196</v>
      </c>
      <c r="J2" s="298" t="s">
        <v>197</v>
      </c>
      <c r="K2" s="298"/>
      <c r="L2" s="299"/>
    </row>
    <row r="3" spans="1:13" ht="15">
      <c r="B3" s="133" t="s">
        <v>130</v>
      </c>
      <c r="C3" s="135">
        <v>25</v>
      </c>
      <c r="D3" s="135">
        <v>25</v>
      </c>
      <c r="E3" s="135">
        <v>25</v>
      </c>
      <c r="G3" s="134" t="s">
        <v>198</v>
      </c>
    </row>
    <row r="4" spans="1:13" ht="15">
      <c r="B4" s="133" t="s">
        <v>127</v>
      </c>
      <c r="C4" s="132">
        <v>925</v>
      </c>
      <c r="D4" s="131">
        <v>1125</v>
      </c>
      <c r="E4" s="131">
        <v>1125</v>
      </c>
      <c r="G4" s="130"/>
      <c r="J4" s="298" t="s">
        <v>199</v>
      </c>
      <c r="K4" s="298"/>
      <c r="L4" s="299"/>
    </row>
    <row r="5" spans="1:13" ht="15.75" thickBot="1">
      <c r="B5" s="354" t="s">
        <v>152</v>
      </c>
      <c r="C5" s="135"/>
      <c r="D5" s="147"/>
      <c r="E5" s="135"/>
    </row>
    <row r="6" spans="1:13" ht="15.75" thickBot="1">
      <c r="B6" s="356" t="s">
        <v>150</v>
      </c>
      <c r="C6" s="135">
        <v>575</v>
      </c>
      <c r="D6" s="147">
        <v>575</v>
      </c>
      <c r="E6" s="135">
        <v>575</v>
      </c>
      <c r="J6" s="298" t="s">
        <v>200</v>
      </c>
      <c r="K6" s="109" t="s">
        <v>201</v>
      </c>
    </row>
    <row r="7" spans="1:13" ht="15">
      <c r="B7" s="355" t="s">
        <v>148</v>
      </c>
      <c r="C7" s="135">
        <v>175</v>
      </c>
      <c r="D7" s="135">
        <v>300</v>
      </c>
      <c r="E7" s="135">
        <v>300</v>
      </c>
      <c r="K7" s="109" t="s">
        <v>202</v>
      </c>
    </row>
    <row r="8" spans="1:13" ht="15.75" thickBot="1">
      <c r="B8" s="129" t="s">
        <v>154</v>
      </c>
      <c r="C8" s="135">
        <v>300</v>
      </c>
      <c r="D8" s="147">
        <v>425</v>
      </c>
      <c r="E8" s="135">
        <v>425</v>
      </c>
      <c r="J8" s="298" t="s">
        <v>203</v>
      </c>
      <c r="K8" s="109" t="s">
        <v>204</v>
      </c>
    </row>
    <row r="9" spans="1:13" ht="15.75" thickBot="1">
      <c r="B9" s="129" t="s">
        <v>139</v>
      </c>
      <c r="C9" s="135">
        <f>FEBP20</f>
        <v>25</v>
      </c>
      <c r="D9" s="147">
        <f>FEBP40</f>
        <v>25</v>
      </c>
      <c r="E9" s="135">
        <f>D9</f>
        <v>25</v>
      </c>
      <c r="J9" s="298" t="s">
        <v>205</v>
      </c>
      <c r="K9" s="109" t="s">
        <v>204</v>
      </c>
    </row>
    <row r="10" spans="1:13" ht="15.75" thickBot="1">
      <c r="B10" s="129" t="s">
        <v>206</v>
      </c>
      <c r="C10" s="135">
        <v>400</v>
      </c>
      <c r="D10" s="147">
        <v>400</v>
      </c>
      <c r="E10" s="135">
        <v>400</v>
      </c>
    </row>
    <row r="11" spans="1:13" ht="15.75" thickBot="1">
      <c r="B11" s="128" t="s">
        <v>156</v>
      </c>
      <c r="C11" s="135">
        <v>400</v>
      </c>
      <c r="D11" s="147">
        <v>400</v>
      </c>
      <c r="E11" s="135">
        <v>400</v>
      </c>
    </row>
    <row r="12" spans="1:13" ht="15.75" thickBot="1">
      <c r="B12" s="356" t="s">
        <v>181</v>
      </c>
      <c r="C12" s="135">
        <v>575</v>
      </c>
      <c r="D12" s="147">
        <v>575</v>
      </c>
      <c r="E12" s="135">
        <v>575</v>
      </c>
      <c r="J12" s="298" t="s">
        <v>207</v>
      </c>
      <c r="K12" s="109" t="s">
        <v>208</v>
      </c>
    </row>
    <row r="13" spans="1:13">
      <c r="B13"/>
      <c r="K13" s="109" t="s">
        <v>209</v>
      </c>
    </row>
    <row r="14" spans="1:13">
      <c r="B14"/>
    </row>
    <row r="15" spans="1:13">
      <c r="B15" s="124" t="s">
        <v>210</v>
      </c>
      <c r="K15" s="127"/>
      <c r="L15" s="127"/>
      <c r="M15" s="127"/>
    </row>
    <row r="16" spans="1:13">
      <c r="A16" s="8" t="s">
        <v>211</v>
      </c>
      <c r="G16" s="126" t="s">
        <v>212</v>
      </c>
      <c r="H16" s="36" t="s">
        <v>213</v>
      </c>
      <c r="I16" s="36" t="s">
        <v>214</v>
      </c>
      <c r="J16" s="36" t="s">
        <v>215</v>
      </c>
      <c r="K16" s="125" t="s">
        <v>216</v>
      </c>
      <c r="L16" s="36" t="s">
        <v>217</v>
      </c>
      <c r="M16" s="36" t="s">
        <v>218</v>
      </c>
    </row>
    <row r="17" spans="1:13" ht="15">
      <c r="A17" s="8" t="s">
        <v>219</v>
      </c>
      <c r="B17" s="1085" t="s">
        <v>220</v>
      </c>
      <c r="C17" s="1086"/>
      <c r="D17" s="1086"/>
      <c r="E17" s="1086"/>
      <c r="F17" s="1086"/>
      <c r="G17" s="1086"/>
      <c r="H17" s="1086"/>
      <c r="I17" s="1086"/>
      <c r="J17" s="1086"/>
      <c r="K17" s="1086"/>
      <c r="L17" s="1086"/>
      <c r="M17" s="1087"/>
    </row>
    <row r="18" spans="1:13">
      <c r="A18" s="122" t="str">
        <f>VLOOKUP(G18,Lookup!C:D,2,0)</f>
        <v>JEA</v>
      </c>
      <c r="B18" s="32" t="s">
        <v>221</v>
      </c>
      <c r="C18" s="32" t="s">
        <v>222</v>
      </c>
      <c r="D18" s="124"/>
      <c r="E18" s="124"/>
      <c r="F18" s="123"/>
      <c r="G18" s="32" t="s">
        <v>149</v>
      </c>
      <c r="H18" s="32">
        <v>300</v>
      </c>
      <c r="I18" s="32">
        <v>450</v>
      </c>
      <c r="J18" s="32">
        <v>450</v>
      </c>
      <c r="K18" s="120">
        <f t="shared" ref="K18:K28" si="0">IF(H18&lt;&gt;"",VLOOKUP($A18,$B$3:$E$12,2,FALSE)+H18,"--")</f>
        <v>875</v>
      </c>
      <c r="L18" s="120">
        <f t="shared" ref="L18:L28" si="1">IF(I18&lt;&gt;"",VLOOKUP($A18,$B$3:$E$12,3,FALSE)+I18,"--")</f>
        <v>1025</v>
      </c>
      <c r="M18" s="120">
        <f t="shared" ref="M18:M28" si="2">L18</f>
        <v>1025</v>
      </c>
    </row>
    <row r="19" spans="1:13">
      <c r="A19" s="122" t="str">
        <f>VLOOKUP(G19,Lookup!C:D,2,0)</f>
        <v>JEA</v>
      </c>
      <c r="B19" s="32" t="s">
        <v>223</v>
      </c>
      <c r="C19" s="32" t="s">
        <v>222</v>
      </c>
      <c r="D19" s="124"/>
      <c r="E19" s="124"/>
      <c r="F19" s="121"/>
      <c r="G19" s="32" t="s">
        <v>149</v>
      </c>
      <c r="H19" s="32">
        <v>250</v>
      </c>
      <c r="I19" s="32">
        <v>350</v>
      </c>
      <c r="J19" s="32">
        <v>350</v>
      </c>
      <c r="K19" s="120">
        <f t="shared" si="0"/>
        <v>825</v>
      </c>
      <c r="L19" s="120">
        <f t="shared" si="1"/>
        <v>925</v>
      </c>
      <c r="M19" s="120">
        <f t="shared" si="2"/>
        <v>925</v>
      </c>
    </row>
    <row r="20" spans="1:13">
      <c r="A20" s="122" t="s">
        <v>150</v>
      </c>
      <c r="B20" s="32" t="s">
        <v>224</v>
      </c>
      <c r="C20" s="32" t="s">
        <v>222</v>
      </c>
      <c r="D20" s="979"/>
      <c r="E20" s="979"/>
      <c r="F20" s="980"/>
      <c r="G20" s="32" t="s">
        <v>149</v>
      </c>
      <c r="H20" s="32">
        <v>325</v>
      </c>
      <c r="I20" s="32">
        <v>575</v>
      </c>
      <c r="J20" s="32">
        <v>575</v>
      </c>
      <c r="K20" s="120">
        <f t="shared" si="0"/>
        <v>900</v>
      </c>
      <c r="L20" s="120">
        <f t="shared" si="1"/>
        <v>1150</v>
      </c>
      <c r="M20" s="120">
        <f t="shared" si="2"/>
        <v>1150</v>
      </c>
    </row>
    <row r="21" spans="1:13">
      <c r="A21" s="122" t="s">
        <v>127</v>
      </c>
      <c r="B21" s="387" t="s">
        <v>225</v>
      </c>
      <c r="C21" s="387" t="s">
        <v>222</v>
      </c>
      <c r="D21" s="388"/>
      <c r="E21" s="388"/>
      <c r="F21" s="388"/>
      <c r="G21" s="387" t="s">
        <v>126</v>
      </c>
      <c r="H21" s="387">
        <v>250</v>
      </c>
      <c r="I21" s="387">
        <v>450</v>
      </c>
      <c r="J21" s="387">
        <v>450</v>
      </c>
      <c r="K21" s="120">
        <f t="shared" si="0"/>
        <v>1175</v>
      </c>
      <c r="L21" s="120">
        <f t="shared" si="1"/>
        <v>1575</v>
      </c>
      <c r="M21" s="120">
        <f t="shared" si="2"/>
        <v>1575</v>
      </c>
    </row>
    <row r="22" spans="1:13">
      <c r="A22" s="122" t="str">
        <f>VLOOKUP(G22,Lookup!C:D,2,0)</f>
        <v>JEA</v>
      </c>
      <c r="B22" s="387" t="s">
        <v>126</v>
      </c>
      <c r="C22" s="387" t="s">
        <v>222</v>
      </c>
      <c r="D22" s="387"/>
      <c r="E22" s="387"/>
      <c r="F22" s="387"/>
      <c r="G22" s="387" t="s">
        <v>149</v>
      </c>
      <c r="H22" s="387">
        <v>350</v>
      </c>
      <c r="I22" s="387">
        <v>550</v>
      </c>
      <c r="J22" s="387">
        <v>550</v>
      </c>
      <c r="K22" s="120">
        <f t="shared" si="0"/>
        <v>925</v>
      </c>
      <c r="L22" s="120">
        <f t="shared" si="1"/>
        <v>1125</v>
      </c>
      <c r="M22" s="120">
        <f t="shared" si="2"/>
        <v>1125</v>
      </c>
    </row>
    <row r="23" spans="1:13" s="187" customFormat="1">
      <c r="A23" s="192" t="str">
        <f>VLOOKUP(G23,Lookup!C:D,2,0)</f>
        <v>JEA</v>
      </c>
      <c r="B23" s="32" t="s">
        <v>226</v>
      </c>
      <c r="C23" s="277" t="s">
        <v>222</v>
      </c>
      <c r="D23" s="278"/>
      <c r="E23" s="278"/>
      <c r="F23" s="278"/>
      <c r="G23" s="32" t="s">
        <v>149</v>
      </c>
      <c r="H23" s="32">
        <v>375</v>
      </c>
      <c r="I23" s="32">
        <v>475</v>
      </c>
      <c r="J23" s="32">
        <v>475</v>
      </c>
      <c r="K23" s="120">
        <f t="shared" si="0"/>
        <v>950</v>
      </c>
      <c r="L23" s="120">
        <f t="shared" si="1"/>
        <v>1050</v>
      </c>
      <c r="M23" s="120">
        <f t="shared" si="2"/>
        <v>1050</v>
      </c>
    </row>
    <row r="24" spans="1:13">
      <c r="A24" s="192" t="str">
        <f>VLOOKUP(G24,Lookup!C:D,2,0)</f>
        <v>JEA</v>
      </c>
      <c r="B24" s="32" t="s">
        <v>227</v>
      </c>
      <c r="C24" s="277" t="s">
        <v>222</v>
      </c>
      <c r="D24" s="124"/>
      <c r="E24" s="124"/>
      <c r="F24" s="124"/>
      <c r="G24" s="32" t="s">
        <v>149</v>
      </c>
      <c r="H24" s="32">
        <v>325</v>
      </c>
      <c r="I24" s="32">
        <v>575</v>
      </c>
      <c r="J24" s="32">
        <v>575</v>
      </c>
      <c r="K24" s="120">
        <f t="shared" si="0"/>
        <v>900</v>
      </c>
      <c r="L24" s="120">
        <f t="shared" si="1"/>
        <v>1150</v>
      </c>
      <c r="M24" s="120">
        <f t="shared" si="2"/>
        <v>1150</v>
      </c>
    </row>
    <row r="25" spans="1:13">
      <c r="A25" s="192" t="str">
        <f>VLOOKUP(G25,Lookup!C:D,2,0)</f>
        <v>JEA</v>
      </c>
      <c r="B25" s="32" t="s">
        <v>228</v>
      </c>
      <c r="C25" s="277" t="s">
        <v>222</v>
      </c>
      <c r="D25" s="124"/>
      <c r="E25" s="124"/>
      <c r="F25" s="124"/>
      <c r="G25" s="32" t="s">
        <v>149</v>
      </c>
      <c r="H25" s="32">
        <v>150</v>
      </c>
      <c r="I25" s="32">
        <v>275</v>
      </c>
      <c r="J25" s="32">
        <v>275</v>
      </c>
      <c r="K25" s="120">
        <f t="shared" si="0"/>
        <v>725</v>
      </c>
      <c r="L25" s="120">
        <f t="shared" si="1"/>
        <v>850</v>
      </c>
      <c r="M25" s="120">
        <f t="shared" si="2"/>
        <v>850</v>
      </c>
    </row>
    <row r="26" spans="1:13">
      <c r="A26" s="192" t="str">
        <f>VLOOKUP(G26,Lookup!C:D,2,0)</f>
        <v>JEA</v>
      </c>
      <c r="B26" s="32" t="s">
        <v>229</v>
      </c>
      <c r="C26" s="277" t="s">
        <v>222</v>
      </c>
      <c r="D26" s="124"/>
      <c r="E26" s="124"/>
      <c r="F26" s="124"/>
      <c r="G26" s="32" t="s">
        <v>149</v>
      </c>
      <c r="H26" s="32">
        <v>325</v>
      </c>
      <c r="I26" s="32">
        <v>550</v>
      </c>
      <c r="J26" s="32">
        <v>550</v>
      </c>
      <c r="K26" s="120">
        <f t="shared" si="0"/>
        <v>900</v>
      </c>
      <c r="L26" s="120">
        <f t="shared" si="1"/>
        <v>1125</v>
      </c>
      <c r="M26" s="120">
        <f t="shared" si="2"/>
        <v>1125</v>
      </c>
    </row>
    <row r="27" spans="1:13">
      <c r="A27" s="192" t="str">
        <f>VLOOKUP(G27,Lookup!C:D,2,0)</f>
        <v>JEA</v>
      </c>
      <c r="B27" s="32" t="s">
        <v>230</v>
      </c>
      <c r="C27" s="389" t="s">
        <v>222</v>
      </c>
      <c r="D27" s="390"/>
      <c r="E27" s="390"/>
      <c r="F27" s="390"/>
      <c r="G27" s="32" t="s">
        <v>149</v>
      </c>
      <c r="H27" s="32">
        <v>250</v>
      </c>
      <c r="I27" s="32">
        <v>350</v>
      </c>
      <c r="J27" s="32">
        <v>350</v>
      </c>
      <c r="K27" s="120">
        <f t="shared" si="0"/>
        <v>825</v>
      </c>
      <c r="L27" s="120">
        <f t="shared" si="1"/>
        <v>925</v>
      </c>
      <c r="M27" s="120">
        <f t="shared" si="2"/>
        <v>925</v>
      </c>
    </row>
    <row r="28" spans="1:13">
      <c r="A28" s="192" t="str">
        <f>VLOOKUP(G28,Lookup!C:D,2,0)</f>
        <v>JEA</v>
      </c>
      <c r="B28" s="32" t="s">
        <v>231</v>
      </c>
      <c r="C28" s="124" t="s">
        <v>222</v>
      </c>
      <c r="D28" s="124"/>
      <c r="E28" s="124"/>
      <c r="F28" s="124"/>
      <c r="G28" s="32" t="s">
        <v>149</v>
      </c>
      <c r="H28" s="32">
        <v>350</v>
      </c>
      <c r="I28" s="32">
        <v>600</v>
      </c>
      <c r="J28" s="32">
        <v>600</v>
      </c>
      <c r="K28" s="120">
        <f t="shared" si="0"/>
        <v>925</v>
      </c>
      <c r="L28" s="120">
        <f t="shared" si="1"/>
        <v>1175</v>
      </c>
      <c r="M28" s="120">
        <f t="shared" si="2"/>
        <v>1175</v>
      </c>
    </row>
    <row r="31" spans="1:13" ht="15">
      <c r="B31" s="1085" t="s">
        <v>232</v>
      </c>
      <c r="C31" s="1086"/>
      <c r="D31" s="1086"/>
      <c r="E31" s="1086"/>
      <c r="F31" s="1086"/>
      <c r="G31" s="1086"/>
      <c r="H31" s="1086"/>
      <c r="I31" s="1086"/>
      <c r="J31" s="1086"/>
      <c r="K31" s="1086"/>
      <c r="L31" s="1086"/>
      <c r="M31" s="1087"/>
    </row>
    <row r="32" spans="1:13">
      <c r="A32" s="8" t="s">
        <v>233</v>
      </c>
      <c r="B32" s="8" t="s">
        <v>234</v>
      </c>
      <c r="C32" s="8" t="s">
        <v>235</v>
      </c>
      <c r="D32" s="8" t="s">
        <v>236</v>
      </c>
      <c r="G32" s="126" t="s">
        <v>212</v>
      </c>
      <c r="H32" s="36" t="s">
        <v>213</v>
      </c>
      <c r="I32" s="36" t="s">
        <v>214</v>
      </c>
      <c r="J32" s="36" t="s">
        <v>215</v>
      </c>
      <c r="K32" s="125" t="s">
        <v>216</v>
      </c>
      <c r="L32" s="36" t="s">
        <v>217</v>
      </c>
      <c r="M32" s="36" t="s">
        <v>218</v>
      </c>
    </row>
    <row r="33" spans="1:13" s="146" customFormat="1" ht="14.25">
      <c r="A33" s="391" t="str">
        <f>VLOOKUP(G33,Lookup!C:D,2,0)</f>
        <v>JPBP</v>
      </c>
      <c r="B33" s="32" t="s">
        <v>237</v>
      </c>
      <c r="C33" s="969" t="s">
        <v>222</v>
      </c>
      <c r="D33" s="32" t="s">
        <v>238</v>
      </c>
      <c r="E33" s="439" t="s">
        <v>239</v>
      </c>
      <c r="F33" s="971"/>
      <c r="G33" s="32" t="s">
        <v>155</v>
      </c>
      <c r="H33" s="894" t="s">
        <v>240</v>
      </c>
      <c r="I33" s="894" t="s">
        <v>241</v>
      </c>
      <c r="J33" s="894" t="s">
        <v>241</v>
      </c>
      <c r="K33" s="345">
        <f>IF(H33&lt;&gt;"",VLOOKUP($A33,$B$3:$E$12,2,FALSE)+H33,"--")</f>
        <v>950</v>
      </c>
      <c r="L33" s="345">
        <f t="shared" ref="L33" si="3">IF(I33&lt;&gt;"",VLOOKUP($A33,$B$3:$E$11,3,FALSE)+I33,"--")</f>
        <v>1150</v>
      </c>
      <c r="M33" s="345">
        <f t="shared" ref="M33" si="4">IF(J33&lt;&gt;"",VLOOKUP($A33,$B$3:$E$11,4,FALSE)+J33,"--")</f>
        <v>1150</v>
      </c>
    </row>
    <row r="34" spans="1:13" s="146" customFormat="1" ht="14.25">
      <c r="A34" s="391" t="str">
        <f>VLOOKUP(G34,Lookup!C:D,2,0)</f>
        <v>FEBP</v>
      </c>
      <c r="B34" s="32" t="s">
        <v>242</v>
      </c>
      <c r="C34" s="969" t="s">
        <v>222</v>
      </c>
      <c r="D34" s="32" t="s">
        <v>141</v>
      </c>
      <c r="E34" s="439" t="s">
        <v>239</v>
      </c>
      <c r="F34" s="971"/>
      <c r="G34" s="32" t="s">
        <v>141</v>
      </c>
      <c r="H34" s="894" t="s">
        <v>243</v>
      </c>
      <c r="I34" s="894" t="s">
        <v>244</v>
      </c>
      <c r="J34" s="894" t="s">
        <v>244</v>
      </c>
      <c r="K34" s="345">
        <f t="shared" ref="K34:K94" si="5">IF(H34&lt;&gt;"",VLOOKUP($A34,$B$3:$E$12,2,FALSE)+H34,"--")</f>
        <v>200</v>
      </c>
      <c r="L34" s="345">
        <f t="shared" ref="L34:L94" si="6">IF(I34&lt;&gt;"",VLOOKUP($A34,$B$3:$E$11,3,FALSE)+I34,"--")</f>
        <v>325</v>
      </c>
      <c r="M34" s="345">
        <f t="shared" ref="M34:M94" si="7">IF(J34&lt;&gt;"",VLOOKUP($A34,$B$3:$E$11,4,FALSE)+J34,"--")</f>
        <v>325</v>
      </c>
    </row>
    <row r="35" spans="1:13" s="146" customFormat="1" ht="14.25">
      <c r="A35" s="391" t="str">
        <f>VLOOKUP(G35,Lookup!C:D,2,0)</f>
        <v>FEBP</v>
      </c>
      <c r="B35" s="32" t="s">
        <v>245</v>
      </c>
      <c r="C35" s="969" t="s">
        <v>222</v>
      </c>
      <c r="D35" s="32" t="s">
        <v>141</v>
      </c>
      <c r="E35" s="439" t="s">
        <v>239</v>
      </c>
      <c r="F35" s="971"/>
      <c r="G35" s="32" t="s">
        <v>141</v>
      </c>
      <c r="H35" s="894" t="s">
        <v>246</v>
      </c>
      <c r="I35" s="894" t="s">
        <v>244</v>
      </c>
      <c r="J35" s="894" t="s">
        <v>244</v>
      </c>
      <c r="K35" s="345">
        <f t="shared" si="5"/>
        <v>225</v>
      </c>
      <c r="L35" s="345">
        <f t="shared" si="6"/>
        <v>325</v>
      </c>
      <c r="M35" s="345">
        <f t="shared" si="7"/>
        <v>325</v>
      </c>
    </row>
    <row r="36" spans="1:13" s="146" customFormat="1" ht="14.25">
      <c r="A36" s="391" t="str">
        <f>VLOOKUP(G36,Lookup!C:D,2,0)</f>
        <v>SIN/PKG</v>
      </c>
      <c r="B36" s="32" t="s">
        <v>247</v>
      </c>
      <c r="C36" s="969" t="s">
        <v>222</v>
      </c>
      <c r="D36" s="32" t="s">
        <v>142</v>
      </c>
      <c r="E36" s="439" t="s">
        <v>239</v>
      </c>
      <c r="F36" s="971"/>
      <c r="G36" s="32" t="s">
        <v>142</v>
      </c>
      <c r="H36" s="894" t="s">
        <v>248</v>
      </c>
      <c r="I36" s="894" t="s">
        <v>249</v>
      </c>
      <c r="J36" s="894" t="s">
        <v>249</v>
      </c>
      <c r="K36" s="345">
        <f t="shared" si="5"/>
        <v>450</v>
      </c>
      <c r="L36" s="345">
        <f t="shared" si="6"/>
        <v>725</v>
      </c>
      <c r="M36" s="345">
        <f t="shared" si="7"/>
        <v>725</v>
      </c>
    </row>
    <row r="37" spans="1:13" s="146" customFormat="1" ht="14.25">
      <c r="A37" s="391" t="str">
        <f>VLOOKUP(G37,Lookup!C:D,2,0)</f>
        <v>SIN/PKG</v>
      </c>
      <c r="B37" s="32" t="s">
        <v>250</v>
      </c>
      <c r="C37" s="969" t="s">
        <v>222</v>
      </c>
      <c r="D37" s="32" t="s">
        <v>160</v>
      </c>
      <c r="E37" s="439" t="s">
        <v>239</v>
      </c>
      <c r="F37" s="971"/>
      <c r="G37" s="32" t="s">
        <v>160</v>
      </c>
      <c r="H37" s="894" t="s">
        <v>251</v>
      </c>
      <c r="I37" s="894" t="s">
        <v>252</v>
      </c>
      <c r="J37" s="894" t="s">
        <v>252</v>
      </c>
      <c r="K37" s="345">
        <f t="shared" si="5"/>
        <v>250</v>
      </c>
      <c r="L37" s="345">
        <f t="shared" si="6"/>
        <v>375</v>
      </c>
      <c r="M37" s="345">
        <f t="shared" si="7"/>
        <v>375</v>
      </c>
    </row>
    <row r="38" spans="1:13" s="146" customFormat="1" ht="14.25">
      <c r="A38" s="391" t="str">
        <f>VLOOKUP(G38,Lookup!C:D,2,0)</f>
        <v>FEBP</v>
      </c>
      <c r="B38" s="32" t="s">
        <v>253</v>
      </c>
      <c r="C38" s="969" t="s">
        <v>222</v>
      </c>
      <c r="D38" s="32" t="s">
        <v>134</v>
      </c>
      <c r="E38" s="439" t="s">
        <v>239</v>
      </c>
      <c r="F38" s="971"/>
      <c r="G38" s="439" t="s">
        <v>134</v>
      </c>
      <c r="H38" s="894" t="s">
        <v>252</v>
      </c>
      <c r="I38" s="894" t="s">
        <v>240</v>
      </c>
      <c r="J38" s="894" t="s">
        <v>240</v>
      </c>
      <c r="K38" s="345">
        <f t="shared" si="5"/>
        <v>375</v>
      </c>
      <c r="L38" s="345">
        <f t="shared" si="6"/>
        <v>575</v>
      </c>
      <c r="M38" s="345">
        <f t="shared" si="7"/>
        <v>575</v>
      </c>
    </row>
    <row r="39" spans="1:13" s="146" customFormat="1" ht="14.25">
      <c r="A39" s="391" t="str">
        <f>VLOOKUP(G39,Lookup!C:D,2,0)</f>
        <v>FEBP</v>
      </c>
      <c r="B39" s="32" t="s">
        <v>254</v>
      </c>
      <c r="C39" s="969" t="s">
        <v>222</v>
      </c>
      <c r="D39" s="32" t="s">
        <v>134</v>
      </c>
      <c r="E39" s="439" t="s">
        <v>239</v>
      </c>
      <c r="F39" s="971"/>
      <c r="G39" s="439" t="s">
        <v>173</v>
      </c>
      <c r="H39" s="894" t="s">
        <v>255</v>
      </c>
      <c r="I39" s="894" t="s">
        <v>251</v>
      </c>
      <c r="J39" s="894" t="s">
        <v>251</v>
      </c>
      <c r="K39" s="345">
        <f t="shared" si="5"/>
        <v>150</v>
      </c>
      <c r="L39" s="345">
        <f t="shared" si="6"/>
        <v>250</v>
      </c>
      <c r="M39" s="345">
        <f t="shared" si="7"/>
        <v>250</v>
      </c>
    </row>
    <row r="40" spans="1:13" s="146" customFormat="1" ht="14.25">
      <c r="A40" s="391" t="str">
        <f>VLOOKUP(G40,Lookup!C:D,2,0)</f>
        <v>SIN/PKG</v>
      </c>
      <c r="B40" s="32" t="s">
        <v>256</v>
      </c>
      <c r="C40" s="969" t="s">
        <v>222</v>
      </c>
      <c r="D40" s="32" t="s">
        <v>160</v>
      </c>
      <c r="E40" s="439" t="s">
        <v>239</v>
      </c>
      <c r="F40" s="971"/>
      <c r="G40" s="32" t="s">
        <v>160</v>
      </c>
      <c r="H40" s="894" t="s">
        <v>244</v>
      </c>
      <c r="I40" s="894" t="s">
        <v>257</v>
      </c>
      <c r="J40" s="894" t="s">
        <v>257</v>
      </c>
      <c r="K40" s="345">
        <f t="shared" si="5"/>
        <v>325</v>
      </c>
      <c r="L40" s="345">
        <f t="shared" si="6"/>
        <v>500</v>
      </c>
      <c r="M40" s="345">
        <f t="shared" si="7"/>
        <v>500</v>
      </c>
    </row>
    <row r="41" spans="1:13" s="146" customFormat="1" ht="14.25">
      <c r="A41" s="391" t="str">
        <f>VLOOKUP(G41,Lookup!C:D,2,0)</f>
        <v>SIN/PKG</v>
      </c>
      <c r="B41" s="32" t="s">
        <v>258</v>
      </c>
      <c r="C41" s="969" t="s">
        <v>222</v>
      </c>
      <c r="D41" s="32" t="s">
        <v>138</v>
      </c>
      <c r="E41" s="439" t="s">
        <v>239</v>
      </c>
      <c r="F41" s="971"/>
      <c r="G41" s="32" t="s">
        <v>138</v>
      </c>
      <c r="H41" s="894" t="s">
        <v>241</v>
      </c>
      <c r="I41" s="894" t="s">
        <v>259</v>
      </c>
      <c r="J41" s="894" t="s">
        <v>259</v>
      </c>
      <c r="K41" s="345">
        <f t="shared" si="5"/>
        <v>775</v>
      </c>
      <c r="L41" s="345">
        <f t="shared" si="6"/>
        <v>1375</v>
      </c>
      <c r="M41" s="345">
        <f t="shared" si="7"/>
        <v>1375</v>
      </c>
    </row>
    <row r="42" spans="1:13" s="146" customFormat="1" ht="14.25">
      <c r="A42" s="391" t="s">
        <v>130</v>
      </c>
      <c r="B42" s="32" t="s">
        <v>258</v>
      </c>
      <c r="C42" s="969" t="s">
        <v>222</v>
      </c>
      <c r="D42" s="32" t="s">
        <v>142</v>
      </c>
      <c r="E42" s="439" t="s">
        <v>239</v>
      </c>
      <c r="F42" s="971"/>
      <c r="G42" s="32" t="s">
        <v>142</v>
      </c>
      <c r="H42" s="894" t="s">
        <v>260</v>
      </c>
      <c r="I42" s="894" t="s">
        <v>261</v>
      </c>
      <c r="J42" s="894" t="s">
        <v>261</v>
      </c>
      <c r="K42" s="345">
        <f t="shared" si="5"/>
        <v>1075</v>
      </c>
      <c r="L42" s="345">
        <f t="shared" si="6"/>
        <v>1875</v>
      </c>
      <c r="M42" s="345">
        <f t="shared" si="7"/>
        <v>1875</v>
      </c>
    </row>
    <row r="43" spans="1:13" s="146" customFormat="1" ht="14.25">
      <c r="A43" s="391" t="str">
        <f>VLOOKUP(G43,Lookup!C:D,2,0)</f>
        <v>FEBP</v>
      </c>
      <c r="B43" s="32" t="s">
        <v>129</v>
      </c>
      <c r="C43" s="969" t="s">
        <v>222</v>
      </c>
      <c r="D43" s="32" t="s">
        <v>137</v>
      </c>
      <c r="E43" s="439" t="s">
        <v>239</v>
      </c>
      <c r="F43" s="971"/>
      <c r="G43" s="32" t="s">
        <v>137</v>
      </c>
      <c r="H43" s="894" t="s">
        <v>262</v>
      </c>
      <c r="I43" s="894" t="s">
        <v>263</v>
      </c>
      <c r="J43" s="894" t="s">
        <v>263</v>
      </c>
      <c r="K43" s="345">
        <f t="shared" si="5"/>
        <v>70</v>
      </c>
      <c r="L43" s="345">
        <f t="shared" si="6"/>
        <v>90</v>
      </c>
      <c r="M43" s="345">
        <f t="shared" si="7"/>
        <v>90</v>
      </c>
    </row>
    <row r="44" spans="1:13" s="146" customFormat="1" ht="15">
      <c r="A44" s="391" t="str">
        <f>VLOOKUP(G44,Lookup!C:D,2,0)</f>
        <v>FEBP</v>
      </c>
      <c r="B44" s="970" t="s">
        <v>264</v>
      </c>
      <c r="C44" s="969" t="s">
        <v>222</v>
      </c>
      <c r="D44" s="32" t="s">
        <v>159</v>
      </c>
      <c r="E44" s="439" t="s">
        <v>239</v>
      </c>
      <c r="F44" s="971"/>
      <c r="G44" s="970" t="s">
        <v>159</v>
      </c>
      <c r="H44" s="974" t="s">
        <v>265</v>
      </c>
      <c r="I44" s="974" t="s">
        <v>266</v>
      </c>
      <c r="J44" s="974" t="s">
        <v>266</v>
      </c>
      <c r="K44" s="345">
        <f t="shared" si="5"/>
        <v>475</v>
      </c>
      <c r="L44" s="345">
        <f t="shared" si="6"/>
        <v>800</v>
      </c>
      <c r="M44" s="345">
        <f t="shared" si="7"/>
        <v>800</v>
      </c>
    </row>
    <row r="45" spans="1:13" s="146" customFormat="1" ht="14.25">
      <c r="A45" s="391" t="str">
        <f>VLOOKUP(G45,Lookup!C:D,2,0)</f>
        <v>FEBP</v>
      </c>
      <c r="B45" s="32" t="s">
        <v>267</v>
      </c>
      <c r="C45" s="969" t="s">
        <v>222</v>
      </c>
      <c r="D45" s="32" t="s">
        <v>141</v>
      </c>
      <c r="E45" s="439" t="s">
        <v>239</v>
      </c>
      <c r="F45" s="971"/>
      <c r="G45" s="32" t="s">
        <v>141</v>
      </c>
      <c r="H45" s="894" t="s">
        <v>268</v>
      </c>
      <c r="I45" s="894" t="s">
        <v>249</v>
      </c>
      <c r="J45" s="894" t="s">
        <v>249</v>
      </c>
      <c r="K45" s="345">
        <f t="shared" si="5"/>
        <v>400</v>
      </c>
      <c r="L45" s="345">
        <f t="shared" si="6"/>
        <v>725</v>
      </c>
      <c r="M45" s="345">
        <f t="shared" si="7"/>
        <v>725</v>
      </c>
    </row>
    <row r="46" spans="1:13" s="146" customFormat="1" ht="14.25">
      <c r="A46" s="391" t="str">
        <f>VLOOKUP(G46,Lookup!C:D,2,0)</f>
        <v>FEBP</v>
      </c>
      <c r="B46" s="32" t="s">
        <v>269</v>
      </c>
      <c r="C46" s="969" t="s">
        <v>222</v>
      </c>
      <c r="D46" s="32" t="s">
        <v>141</v>
      </c>
      <c r="E46" s="439" t="s">
        <v>239</v>
      </c>
      <c r="F46" s="971"/>
      <c r="G46" s="32" t="s">
        <v>141</v>
      </c>
      <c r="H46" s="894" t="s">
        <v>270</v>
      </c>
      <c r="I46" s="894" t="s">
        <v>240</v>
      </c>
      <c r="J46" s="894" t="s">
        <v>240</v>
      </c>
      <c r="K46" s="345">
        <f t="shared" si="5"/>
        <v>350</v>
      </c>
      <c r="L46" s="345">
        <f t="shared" si="6"/>
        <v>575</v>
      </c>
      <c r="M46" s="345">
        <f t="shared" si="7"/>
        <v>575</v>
      </c>
    </row>
    <row r="47" spans="1:13" s="146" customFormat="1" ht="14.25">
      <c r="A47" s="391" t="str">
        <f>VLOOKUP(G47,Lookup!C:D,2,0)</f>
        <v>FEBP</v>
      </c>
      <c r="B47" s="32" t="s">
        <v>271</v>
      </c>
      <c r="C47" s="969" t="s">
        <v>222</v>
      </c>
      <c r="D47" s="32" t="s">
        <v>141</v>
      </c>
      <c r="E47" s="439" t="s">
        <v>239</v>
      </c>
      <c r="F47" s="971"/>
      <c r="G47" s="32" t="s">
        <v>141</v>
      </c>
      <c r="H47" s="894" t="s">
        <v>243</v>
      </c>
      <c r="I47" s="894" t="s">
        <v>272</v>
      </c>
      <c r="J47" s="894" t="s">
        <v>272</v>
      </c>
      <c r="K47" s="345">
        <f t="shared" si="5"/>
        <v>200</v>
      </c>
      <c r="L47" s="345">
        <f t="shared" si="6"/>
        <v>300</v>
      </c>
      <c r="M47" s="345">
        <f t="shared" si="7"/>
        <v>300</v>
      </c>
    </row>
    <row r="48" spans="1:13" s="146" customFormat="1" ht="14.25">
      <c r="A48" s="391" t="str">
        <f>VLOOKUP(G48,Lookup!C:D,2,0)</f>
        <v>FEBP</v>
      </c>
      <c r="B48" s="32" t="s">
        <v>273</v>
      </c>
      <c r="C48" s="969" t="s">
        <v>222</v>
      </c>
      <c r="D48" s="32" t="s">
        <v>141</v>
      </c>
      <c r="E48" s="439" t="s">
        <v>239</v>
      </c>
      <c r="F48" s="971"/>
      <c r="G48" s="32" t="s">
        <v>141</v>
      </c>
      <c r="H48" s="894" t="s">
        <v>243</v>
      </c>
      <c r="I48" s="894" t="s">
        <v>244</v>
      </c>
      <c r="J48" s="894" t="s">
        <v>244</v>
      </c>
      <c r="K48" s="345">
        <f t="shared" si="5"/>
        <v>200</v>
      </c>
      <c r="L48" s="345">
        <f t="shared" si="6"/>
        <v>325</v>
      </c>
      <c r="M48" s="345">
        <f t="shared" si="7"/>
        <v>325</v>
      </c>
    </row>
    <row r="49" spans="1:13" s="146" customFormat="1" ht="14.25">
      <c r="A49" s="391" t="str">
        <f>VLOOKUP(G49,Lookup!C:D,2,0)</f>
        <v>FEBP</v>
      </c>
      <c r="B49" s="32" t="s">
        <v>274</v>
      </c>
      <c r="C49" s="969" t="s">
        <v>222</v>
      </c>
      <c r="D49" s="32" t="s">
        <v>141</v>
      </c>
      <c r="E49" s="439" t="s">
        <v>239</v>
      </c>
      <c r="F49" s="971"/>
      <c r="G49" s="32" t="s">
        <v>141</v>
      </c>
      <c r="H49" s="894" t="s">
        <v>275</v>
      </c>
      <c r="I49" s="894" t="s">
        <v>276</v>
      </c>
      <c r="J49" s="894" t="s">
        <v>276</v>
      </c>
      <c r="K49" s="345">
        <f t="shared" si="5"/>
        <v>1275</v>
      </c>
      <c r="L49" s="345">
        <f t="shared" si="6"/>
        <v>1625</v>
      </c>
      <c r="M49" s="345">
        <f t="shared" si="7"/>
        <v>1625</v>
      </c>
    </row>
    <row r="50" spans="1:13" s="146" customFormat="1" ht="14.25">
      <c r="A50" s="391" t="str">
        <f>VLOOKUP(G50,Lookup!C:D,2,0)</f>
        <v>FEBP</v>
      </c>
      <c r="B50" s="32" t="s">
        <v>277</v>
      </c>
      <c r="C50" s="969" t="s">
        <v>222</v>
      </c>
      <c r="D50" s="32" t="s">
        <v>141</v>
      </c>
      <c r="E50" s="439" t="s">
        <v>239</v>
      </c>
      <c r="F50" s="971"/>
      <c r="G50" s="32" t="s">
        <v>141</v>
      </c>
      <c r="H50" s="894" t="s">
        <v>278</v>
      </c>
      <c r="I50" s="894" t="s">
        <v>279</v>
      </c>
      <c r="J50" s="894" t="s">
        <v>279</v>
      </c>
      <c r="K50" s="345">
        <f t="shared" si="5"/>
        <v>425</v>
      </c>
      <c r="L50" s="345">
        <f t="shared" si="6"/>
        <v>750</v>
      </c>
      <c r="M50" s="345">
        <f t="shared" si="7"/>
        <v>750</v>
      </c>
    </row>
    <row r="51" spans="1:13" s="146" customFormat="1" ht="14.25">
      <c r="A51" s="391" t="str">
        <f>VLOOKUP(G51,Lookup!C:D,2,0)</f>
        <v>SIN/PKG</v>
      </c>
      <c r="B51" s="32" t="s">
        <v>280</v>
      </c>
      <c r="C51" s="969" t="s">
        <v>222</v>
      </c>
      <c r="D51" s="32" t="s">
        <v>142</v>
      </c>
      <c r="E51" s="439" t="s">
        <v>239</v>
      </c>
      <c r="F51" s="971"/>
      <c r="G51" s="32" t="s">
        <v>142</v>
      </c>
      <c r="H51" s="894" t="s">
        <v>281</v>
      </c>
      <c r="I51" s="894" t="s">
        <v>282</v>
      </c>
      <c r="J51" s="894" t="s">
        <v>282</v>
      </c>
      <c r="K51" s="345">
        <f t="shared" si="5"/>
        <v>900</v>
      </c>
      <c r="L51" s="345">
        <f t="shared" si="6"/>
        <v>1575</v>
      </c>
      <c r="M51" s="345">
        <f t="shared" si="7"/>
        <v>1575</v>
      </c>
    </row>
    <row r="52" spans="1:13" s="146" customFormat="1" ht="14.25">
      <c r="A52" s="391" t="str">
        <f>VLOOKUP(G52,Lookup!C:D,2,0)</f>
        <v>FEBP</v>
      </c>
      <c r="B52" s="32" t="s">
        <v>283</v>
      </c>
      <c r="C52" s="969" t="s">
        <v>222</v>
      </c>
      <c r="D52" s="32" t="s">
        <v>141</v>
      </c>
      <c r="E52" s="439" t="s">
        <v>239</v>
      </c>
      <c r="F52" s="971"/>
      <c r="G52" s="32" t="s">
        <v>141</v>
      </c>
      <c r="H52" s="894" t="s">
        <v>251</v>
      </c>
      <c r="I52" s="894" t="s">
        <v>252</v>
      </c>
      <c r="J52" s="894" t="s">
        <v>252</v>
      </c>
      <c r="K52" s="345">
        <f t="shared" si="5"/>
        <v>250</v>
      </c>
      <c r="L52" s="345">
        <f t="shared" si="6"/>
        <v>375</v>
      </c>
      <c r="M52" s="345">
        <f t="shared" si="7"/>
        <v>375</v>
      </c>
    </row>
    <row r="53" spans="1:13" s="146" customFormat="1" ht="14.25">
      <c r="A53" s="391" t="str">
        <f>VLOOKUP(G53,Lookup!C:D,2,0)</f>
        <v>SIN/PKG</v>
      </c>
      <c r="B53" s="32" t="s">
        <v>284</v>
      </c>
      <c r="C53" s="969" t="s">
        <v>222</v>
      </c>
      <c r="D53" s="32" t="s">
        <v>142</v>
      </c>
      <c r="E53" s="439" t="s">
        <v>239</v>
      </c>
      <c r="F53" s="971"/>
      <c r="G53" s="32" t="s">
        <v>142</v>
      </c>
      <c r="H53" s="894" t="s">
        <v>285</v>
      </c>
      <c r="I53" s="894" t="s">
        <v>286</v>
      </c>
      <c r="J53" s="894" t="s">
        <v>286</v>
      </c>
      <c r="K53" s="345">
        <f t="shared" si="5"/>
        <v>975</v>
      </c>
      <c r="L53" s="345">
        <f t="shared" si="6"/>
        <v>1775</v>
      </c>
      <c r="M53" s="345">
        <f t="shared" si="7"/>
        <v>1775</v>
      </c>
    </row>
    <row r="54" spans="1:13" s="146" customFormat="1" ht="14.25">
      <c r="A54" s="391" t="str">
        <f>VLOOKUP(G54,Lookup!C:D,2,0)</f>
        <v>FEBP</v>
      </c>
      <c r="B54" s="32" t="s">
        <v>287</v>
      </c>
      <c r="C54" s="969" t="s">
        <v>222</v>
      </c>
      <c r="D54" s="32" t="s">
        <v>170</v>
      </c>
      <c r="E54" s="439" t="s">
        <v>239</v>
      </c>
      <c r="F54" s="971"/>
      <c r="G54" s="32" t="s">
        <v>187</v>
      </c>
      <c r="H54" s="894" t="s">
        <v>246</v>
      </c>
      <c r="I54" s="894" t="s">
        <v>270</v>
      </c>
      <c r="J54" s="894" t="s">
        <v>270</v>
      </c>
      <c r="K54" s="345">
        <f t="shared" si="5"/>
        <v>225</v>
      </c>
      <c r="L54" s="345">
        <f t="shared" si="6"/>
        <v>350</v>
      </c>
      <c r="M54" s="345">
        <f t="shared" si="7"/>
        <v>350</v>
      </c>
    </row>
    <row r="55" spans="1:13" s="146" customFormat="1" ht="14.25">
      <c r="A55" s="391" t="str">
        <f>VLOOKUP(G55,Lookup!C:D,2,0)</f>
        <v>FEBP</v>
      </c>
      <c r="B55" s="32" t="s">
        <v>288</v>
      </c>
      <c r="C55" s="969" t="s">
        <v>222</v>
      </c>
      <c r="D55" s="32" t="s">
        <v>134</v>
      </c>
      <c r="E55" s="439" t="s">
        <v>239</v>
      </c>
      <c r="F55" s="971"/>
      <c r="G55" s="439" t="s">
        <v>173</v>
      </c>
      <c r="H55" s="894" t="s">
        <v>289</v>
      </c>
      <c r="I55" s="894" t="s">
        <v>244</v>
      </c>
      <c r="J55" s="894" t="s">
        <v>244</v>
      </c>
      <c r="K55" s="345">
        <f t="shared" si="5"/>
        <v>175</v>
      </c>
      <c r="L55" s="345">
        <f t="shared" si="6"/>
        <v>325</v>
      </c>
      <c r="M55" s="345">
        <f t="shared" si="7"/>
        <v>325</v>
      </c>
    </row>
    <row r="56" spans="1:13" s="146" customFormat="1" ht="14.25">
      <c r="A56" s="391" t="str">
        <f>VLOOKUP(G56,Lookup!C:D,2,0)</f>
        <v>FEBP</v>
      </c>
      <c r="B56" s="32" t="s">
        <v>290</v>
      </c>
      <c r="C56" s="969" t="s">
        <v>222</v>
      </c>
      <c r="D56" s="32" t="s">
        <v>146</v>
      </c>
      <c r="E56" s="439" t="s">
        <v>239</v>
      </c>
      <c r="F56" s="971"/>
      <c r="G56" s="32" t="s">
        <v>146</v>
      </c>
      <c r="H56" s="894" t="s">
        <v>291</v>
      </c>
      <c r="I56" s="894" t="s">
        <v>292</v>
      </c>
      <c r="J56" s="894" t="s">
        <v>292</v>
      </c>
      <c r="K56" s="345">
        <f t="shared" si="5"/>
        <v>405</v>
      </c>
      <c r="L56" s="345">
        <f t="shared" si="6"/>
        <v>710</v>
      </c>
      <c r="M56" s="345">
        <f t="shared" si="7"/>
        <v>710</v>
      </c>
    </row>
    <row r="57" spans="1:13" s="146" customFormat="1" ht="14.25">
      <c r="A57" s="391" t="str">
        <f>VLOOKUP(G57,Lookup!C:D,2,0)</f>
        <v>FEBP</v>
      </c>
      <c r="B57" s="32" t="s">
        <v>293</v>
      </c>
      <c r="C57" s="969" t="s">
        <v>222</v>
      </c>
      <c r="D57" s="32" t="s">
        <v>170</v>
      </c>
      <c r="E57" s="439" t="s">
        <v>239</v>
      </c>
      <c r="F57" s="971"/>
      <c r="G57" s="32" t="s">
        <v>187</v>
      </c>
      <c r="H57" s="894" t="s">
        <v>289</v>
      </c>
      <c r="I57" s="894" t="s">
        <v>272</v>
      </c>
      <c r="J57" s="894" t="s">
        <v>272</v>
      </c>
      <c r="K57" s="345">
        <f t="shared" si="5"/>
        <v>175</v>
      </c>
      <c r="L57" s="345">
        <f t="shared" si="6"/>
        <v>300</v>
      </c>
      <c r="M57" s="345">
        <f t="shared" si="7"/>
        <v>300</v>
      </c>
    </row>
    <row r="58" spans="1:13" s="146" customFormat="1" ht="14.25">
      <c r="A58" s="391" t="str">
        <f>VLOOKUP(G58,Lookup!C:D,2,0)</f>
        <v>JPBP</v>
      </c>
      <c r="B58" s="32" t="s">
        <v>294</v>
      </c>
      <c r="C58" s="969" t="s">
        <v>222</v>
      </c>
      <c r="D58" s="32" t="s">
        <v>155</v>
      </c>
      <c r="E58" s="439" t="s">
        <v>239</v>
      </c>
      <c r="F58" s="971"/>
      <c r="G58" s="32" t="s">
        <v>155</v>
      </c>
      <c r="H58" s="894" t="s">
        <v>295</v>
      </c>
      <c r="I58" s="894" t="s">
        <v>249</v>
      </c>
      <c r="J58" s="894" t="s">
        <v>249</v>
      </c>
      <c r="K58" s="345">
        <f t="shared" si="5"/>
        <v>900</v>
      </c>
      <c r="L58" s="345">
        <f t="shared" si="6"/>
        <v>1100</v>
      </c>
      <c r="M58" s="345">
        <f t="shared" si="7"/>
        <v>1100</v>
      </c>
    </row>
    <row r="59" spans="1:13" s="146" customFormat="1" ht="14.25">
      <c r="A59" s="391" t="str">
        <f>VLOOKUP(G59,Lookup!C:D,2,0)</f>
        <v>FEBP</v>
      </c>
      <c r="B59" s="32" t="s">
        <v>296</v>
      </c>
      <c r="C59" s="969" t="s">
        <v>222</v>
      </c>
      <c r="D59" s="32" t="s">
        <v>159</v>
      </c>
      <c r="E59" s="439" t="s">
        <v>239</v>
      </c>
      <c r="F59" s="971"/>
      <c r="G59" s="32" t="s">
        <v>159</v>
      </c>
      <c r="H59" s="894" t="s">
        <v>255</v>
      </c>
      <c r="I59" s="894" t="s">
        <v>297</v>
      </c>
      <c r="J59" s="894" t="s">
        <v>297</v>
      </c>
      <c r="K59" s="345">
        <f t="shared" si="5"/>
        <v>150</v>
      </c>
      <c r="L59" s="345">
        <f t="shared" si="6"/>
        <v>275</v>
      </c>
      <c r="M59" s="345">
        <f t="shared" si="7"/>
        <v>275</v>
      </c>
    </row>
    <row r="60" spans="1:13" s="146" customFormat="1" ht="14.25">
      <c r="A60" s="391" t="str">
        <f>VLOOKUP(G60,Lookup!C:D,2,0)</f>
        <v>FEBP</v>
      </c>
      <c r="B60" s="32" t="s">
        <v>296</v>
      </c>
      <c r="C60" s="969" t="s">
        <v>222</v>
      </c>
      <c r="D60" s="32" t="s">
        <v>137</v>
      </c>
      <c r="E60" s="439" t="s">
        <v>239</v>
      </c>
      <c r="F60" s="971"/>
      <c r="G60" s="32" t="s">
        <v>137</v>
      </c>
      <c r="H60" s="894" t="s">
        <v>251</v>
      </c>
      <c r="I60" s="894" t="s">
        <v>278</v>
      </c>
      <c r="J60" s="894" t="s">
        <v>278</v>
      </c>
      <c r="K60" s="345">
        <f t="shared" si="5"/>
        <v>250</v>
      </c>
      <c r="L60" s="345">
        <f t="shared" si="6"/>
        <v>425</v>
      </c>
      <c r="M60" s="345">
        <f t="shared" si="7"/>
        <v>425</v>
      </c>
    </row>
    <row r="61" spans="1:13" s="146" customFormat="1" ht="14.25">
      <c r="A61" s="391" t="str">
        <f>VLOOKUP(G61,Lookup!C:D,2,0)</f>
        <v>FEBP</v>
      </c>
      <c r="B61" s="32" t="s">
        <v>298</v>
      </c>
      <c r="C61" s="969" t="s">
        <v>222</v>
      </c>
      <c r="D61" s="32" t="s">
        <v>178</v>
      </c>
      <c r="E61" s="439" t="s">
        <v>239</v>
      </c>
      <c r="F61" s="971"/>
      <c r="G61" s="32" t="s">
        <v>178</v>
      </c>
      <c r="H61" s="894" t="s">
        <v>246</v>
      </c>
      <c r="I61" s="894" t="s">
        <v>252</v>
      </c>
      <c r="J61" s="894" t="s">
        <v>252</v>
      </c>
      <c r="K61" s="345">
        <f t="shared" si="5"/>
        <v>225</v>
      </c>
      <c r="L61" s="345">
        <f t="shared" si="6"/>
        <v>375</v>
      </c>
      <c r="M61" s="345">
        <f t="shared" si="7"/>
        <v>375</v>
      </c>
    </row>
    <row r="62" spans="1:13" s="146" customFormat="1" ht="14.25">
      <c r="A62" s="391" t="str">
        <f>VLOOKUP(G62,Lookup!C:D,2,0)</f>
        <v>FEBP</v>
      </c>
      <c r="B62" s="32" t="s">
        <v>298</v>
      </c>
      <c r="C62" s="969" t="s">
        <v>222</v>
      </c>
      <c r="D62" s="32" t="s">
        <v>159</v>
      </c>
      <c r="E62" s="439" t="s">
        <v>239</v>
      </c>
      <c r="F62" s="971"/>
      <c r="G62" s="32" t="s">
        <v>159</v>
      </c>
      <c r="H62" s="894" t="s">
        <v>272</v>
      </c>
      <c r="I62" s="894" t="s">
        <v>248</v>
      </c>
      <c r="J62" s="894" t="s">
        <v>248</v>
      </c>
      <c r="K62" s="345">
        <f t="shared" si="5"/>
        <v>300</v>
      </c>
      <c r="L62" s="345">
        <f t="shared" si="6"/>
        <v>450</v>
      </c>
      <c r="M62" s="345">
        <f t="shared" si="7"/>
        <v>450</v>
      </c>
    </row>
    <row r="63" spans="1:13" s="146" customFormat="1" ht="14.25">
      <c r="A63" s="391" t="str">
        <f>VLOOKUP(G63,Lookup!C:D,2,0)</f>
        <v>FEBP</v>
      </c>
      <c r="B63" s="32" t="s">
        <v>299</v>
      </c>
      <c r="C63" s="969" t="s">
        <v>222</v>
      </c>
      <c r="D63" s="32" t="s">
        <v>134</v>
      </c>
      <c r="E63" s="439" t="s">
        <v>239</v>
      </c>
      <c r="F63" s="971"/>
      <c r="G63" s="439" t="s">
        <v>173</v>
      </c>
      <c r="H63" s="894" t="s">
        <v>251</v>
      </c>
      <c r="I63" s="894" t="s">
        <v>252</v>
      </c>
      <c r="J63" s="894" t="s">
        <v>252</v>
      </c>
      <c r="K63" s="345">
        <f t="shared" si="5"/>
        <v>250</v>
      </c>
      <c r="L63" s="345">
        <f t="shared" si="6"/>
        <v>375</v>
      </c>
      <c r="M63" s="345">
        <f t="shared" si="7"/>
        <v>375</v>
      </c>
    </row>
    <row r="64" spans="1:13" s="146" customFormat="1" ht="14.25">
      <c r="A64" s="391" t="str">
        <f>VLOOKUP(G64,Lookup!C:D,2,0)</f>
        <v>FEBP</v>
      </c>
      <c r="B64" s="32" t="s">
        <v>299</v>
      </c>
      <c r="C64" s="969" t="s">
        <v>222</v>
      </c>
      <c r="D64" s="32" t="s">
        <v>146</v>
      </c>
      <c r="E64" s="439" t="s">
        <v>239</v>
      </c>
      <c r="F64" s="971"/>
      <c r="G64" s="32" t="s">
        <v>146</v>
      </c>
      <c r="H64" s="894" t="s">
        <v>244</v>
      </c>
      <c r="I64" s="894" t="s">
        <v>265</v>
      </c>
      <c r="J64" s="894" t="s">
        <v>265</v>
      </c>
      <c r="K64" s="345">
        <f t="shared" si="5"/>
        <v>325</v>
      </c>
      <c r="L64" s="345">
        <f t="shared" si="6"/>
        <v>475</v>
      </c>
      <c r="M64" s="345">
        <f t="shared" si="7"/>
        <v>475</v>
      </c>
    </row>
    <row r="65" spans="1:13" s="146" customFormat="1" ht="14.25">
      <c r="A65" s="391" t="str">
        <f>VLOOKUP(G65,Lookup!C:D,2,0)</f>
        <v>FEBP</v>
      </c>
      <c r="B65" s="32" t="s">
        <v>300</v>
      </c>
      <c r="C65" s="969" t="s">
        <v>222</v>
      </c>
      <c r="D65" s="32" t="s">
        <v>134</v>
      </c>
      <c r="E65" s="439" t="s">
        <v>239</v>
      </c>
      <c r="F65" s="971"/>
      <c r="G65" s="439" t="s">
        <v>134</v>
      </c>
      <c r="H65" s="894" t="s">
        <v>289</v>
      </c>
      <c r="I65" s="894" t="s">
        <v>272</v>
      </c>
      <c r="J65" s="894" t="s">
        <v>272</v>
      </c>
      <c r="K65" s="345">
        <f t="shared" si="5"/>
        <v>175</v>
      </c>
      <c r="L65" s="345">
        <f t="shared" si="6"/>
        <v>300</v>
      </c>
      <c r="M65" s="345">
        <f t="shared" si="7"/>
        <v>300</v>
      </c>
    </row>
    <row r="66" spans="1:13" s="146" customFormat="1" ht="14.25">
      <c r="A66" s="391" t="str">
        <f>VLOOKUP(G66,Lookup!C:D,2,0)</f>
        <v>FEBP</v>
      </c>
      <c r="B66" s="32" t="s">
        <v>300</v>
      </c>
      <c r="C66" s="969" t="s">
        <v>222</v>
      </c>
      <c r="D66" s="32" t="s">
        <v>146</v>
      </c>
      <c r="E66" s="439" t="s">
        <v>239</v>
      </c>
      <c r="F66" s="971"/>
      <c r="G66" s="32" t="s">
        <v>146</v>
      </c>
      <c r="H66" s="894" t="s">
        <v>297</v>
      </c>
      <c r="I66" s="894" t="s">
        <v>268</v>
      </c>
      <c r="J66" s="894" t="s">
        <v>268</v>
      </c>
      <c r="K66" s="345">
        <f t="shared" si="5"/>
        <v>275</v>
      </c>
      <c r="L66" s="345">
        <f t="shared" si="6"/>
        <v>400</v>
      </c>
      <c r="M66" s="345">
        <f t="shared" si="7"/>
        <v>400</v>
      </c>
    </row>
    <row r="67" spans="1:13" s="146" customFormat="1" ht="14.25">
      <c r="A67" s="391" t="str">
        <f>VLOOKUP(G67,Lookup!C:D,2,0)</f>
        <v>FEBP</v>
      </c>
      <c r="B67" s="32" t="s">
        <v>301</v>
      </c>
      <c r="C67" s="969" t="s">
        <v>222</v>
      </c>
      <c r="D67" s="32" t="s">
        <v>134</v>
      </c>
      <c r="E67" s="439" t="s">
        <v>239</v>
      </c>
      <c r="F67" s="971"/>
      <c r="G67" s="439" t="s">
        <v>173</v>
      </c>
      <c r="H67" s="894" t="s">
        <v>289</v>
      </c>
      <c r="I67" s="894" t="s">
        <v>244</v>
      </c>
      <c r="J67" s="894" t="s">
        <v>244</v>
      </c>
      <c r="K67" s="345">
        <f t="shared" si="5"/>
        <v>175</v>
      </c>
      <c r="L67" s="345">
        <f t="shared" si="6"/>
        <v>325</v>
      </c>
      <c r="M67" s="345">
        <f t="shared" si="7"/>
        <v>325</v>
      </c>
    </row>
    <row r="68" spans="1:13" s="146" customFormat="1" ht="14.25">
      <c r="A68" s="391" t="str">
        <f>VLOOKUP(G68,Lookup!C:D,2,0)</f>
        <v>FEBP</v>
      </c>
      <c r="B68" s="32" t="s">
        <v>301</v>
      </c>
      <c r="C68" s="969" t="s">
        <v>222</v>
      </c>
      <c r="D68" s="32" t="s">
        <v>146</v>
      </c>
      <c r="E68" s="439" t="s">
        <v>239</v>
      </c>
      <c r="F68" s="971"/>
      <c r="G68" s="439" t="s">
        <v>188</v>
      </c>
      <c r="H68" s="894" t="s">
        <v>251</v>
      </c>
      <c r="I68" s="894" t="s">
        <v>270</v>
      </c>
      <c r="J68" s="894" t="s">
        <v>270</v>
      </c>
      <c r="K68" s="345">
        <f t="shared" si="5"/>
        <v>250</v>
      </c>
      <c r="L68" s="345">
        <f t="shared" si="6"/>
        <v>350</v>
      </c>
      <c r="M68" s="345">
        <f t="shared" si="7"/>
        <v>350</v>
      </c>
    </row>
    <row r="69" spans="1:13" s="146" customFormat="1" ht="14.25">
      <c r="A69" s="391" t="str">
        <f>VLOOKUP(G69,Lookup!C:D,2,0)</f>
        <v>FEBP</v>
      </c>
      <c r="B69" s="32" t="s">
        <v>302</v>
      </c>
      <c r="C69" s="969" t="s">
        <v>222</v>
      </c>
      <c r="D69" s="32" t="s">
        <v>134</v>
      </c>
      <c r="E69" s="439" t="s">
        <v>239</v>
      </c>
      <c r="F69" s="971"/>
      <c r="G69" s="32" t="s">
        <v>173</v>
      </c>
      <c r="H69" s="894" t="s">
        <v>251</v>
      </c>
      <c r="I69" s="894" t="s">
        <v>248</v>
      </c>
      <c r="J69" s="894" t="s">
        <v>248</v>
      </c>
      <c r="K69" s="345">
        <f t="shared" si="5"/>
        <v>250</v>
      </c>
      <c r="L69" s="345">
        <f t="shared" si="6"/>
        <v>450</v>
      </c>
      <c r="M69" s="345">
        <f t="shared" si="7"/>
        <v>450</v>
      </c>
    </row>
    <row r="70" spans="1:13" s="146" customFormat="1" ht="14.25">
      <c r="A70" s="391" t="str">
        <f>VLOOKUP(G70,Lookup!C:D,2,0)</f>
        <v>JPBP</v>
      </c>
      <c r="B70" s="32" t="s">
        <v>303</v>
      </c>
      <c r="C70" s="969" t="s">
        <v>222</v>
      </c>
      <c r="D70" s="32" t="s">
        <v>129</v>
      </c>
      <c r="E70" s="439" t="s">
        <v>239</v>
      </c>
      <c r="F70" s="971"/>
      <c r="G70" s="32" t="s">
        <v>158</v>
      </c>
      <c r="H70" s="894" t="s">
        <v>265</v>
      </c>
      <c r="I70" s="894" t="s">
        <v>304</v>
      </c>
      <c r="J70" s="894" t="s">
        <v>304</v>
      </c>
      <c r="K70" s="345">
        <f t="shared" si="5"/>
        <v>850</v>
      </c>
      <c r="L70" s="345">
        <f t="shared" si="6"/>
        <v>1050</v>
      </c>
      <c r="M70" s="345">
        <f t="shared" si="7"/>
        <v>1050</v>
      </c>
    </row>
    <row r="71" spans="1:13" s="146" customFormat="1" ht="14.25">
      <c r="A71" s="391" t="str">
        <f>VLOOKUP(G71,Lookup!C:D,2,0)</f>
        <v>JPBP</v>
      </c>
      <c r="B71" s="32" t="s">
        <v>303</v>
      </c>
      <c r="C71" s="969" t="s">
        <v>222</v>
      </c>
      <c r="D71" s="32" t="s">
        <v>159</v>
      </c>
      <c r="E71" s="439" t="s">
        <v>239</v>
      </c>
      <c r="F71" s="971"/>
      <c r="G71" s="32" t="s">
        <v>158</v>
      </c>
      <c r="H71" s="894" t="s">
        <v>265</v>
      </c>
      <c r="I71" s="894" t="s">
        <v>304</v>
      </c>
      <c r="J71" s="894" t="s">
        <v>304</v>
      </c>
      <c r="K71" s="345">
        <f t="shared" si="5"/>
        <v>850</v>
      </c>
      <c r="L71" s="345">
        <f t="shared" si="6"/>
        <v>1050</v>
      </c>
      <c r="M71" s="345">
        <f t="shared" si="7"/>
        <v>1050</v>
      </c>
    </row>
    <row r="72" spans="1:13" s="146" customFormat="1" ht="14.25">
      <c r="A72" s="391" t="str">
        <f>VLOOKUP(G72,Lookup!C:D,2,0)</f>
        <v>FEBP</v>
      </c>
      <c r="B72" s="32" t="s">
        <v>305</v>
      </c>
      <c r="C72" s="969" t="s">
        <v>222</v>
      </c>
      <c r="D72" s="32" t="s">
        <v>134</v>
      </c>
      <c r="E72" s="439" t="s">
        <v>239</v>
      </c>
      <c r="F72" s="971"/>
      <c r="G72" s="439" t="s">
        <v>134</v>
      </c>
      <c r="H72" s="894" t="s">
        <v>246</v>
      </c>
      <c r="I72" s="894" t="s">
        <v>244</v>
      </c>
      <c r="J72" s="894" t="s">
        <v>244</v>
      </c>
      <c r="K72" s="345">
        <f t="shared" si="5"/>
        <v>225</v>
      </c>
      <c r="L72" s="345">
        <f t="shared" si="6"/>
        <v>325</v>
      </c>
      <c r="M72" s="345">
        <f t="shared" si="7"/>
        <v>325</v>
      </c>
    </row>
    <row r="73" spans="1:13" s="146" customFormat="1" ht="14.25">
      <c r="A73" s="391" t="str">
        <f>VLOOKUP(G73,Lookup!C:D,2,0)</f>
        <v>SIN/PKG</v>
      </c>
      <c r="B73" s="32" t="s">
        <v>305</v>
      </c>
      <c r="C73" s="969" t="s">
        <v>222</v>
      </c>
      <c r="D73" s="32" t="s">
        <v>138</v>
      </c>
      <c r="E73" s="439" t="s">
        <v>239</v>
      </c>
      <c r="F73" s="971"/>
      <c r="G73" s="32" t="s">
        <v>138</v>
      </c>
      <c r="H73" s="894" t="s">
        <v>289</v>
      </c>
      <c r="I73" s="894" t="s">
        <v>272</v>
      </c>
      <c r="J73" s="894" t="s">
        <v>272</v>
      </c>
      <c r="K73" s="345">
        <f t="shared" si="5"/>
        <v>175</v>
      </c>
      <c r="L73" s="345">
        <f t="shared" si="6"/>
        <v>300</v>
      </c>
      <c r="M73" s="345">
        <f t="shared" si="7"/>
        <v>300</v>
      </c>
    </row>
    <row r="74" spans="1:13" s="146" customFormat="1" ht="14.25">
      <c r="A74" s="391" t="str">
        <f>VLOOKUP(G74,Lookup!C:D,2,0)</f>
        <v>SIN/PKG</v>
      </c>
      <c r="B74" s="32" t="s">
        <v>305</v>
      </c>
      <c r="C74" s="969" t="s">
        <v>222</v>
      </c>
      <c r="D74" s="32" t="s">
        <v>142</v>
      </c>
      <c r="E74" s="439" t="s">
        <v>239</v>
      </c>
      <c r="F74" s="971"/>
      <c r="G74" s="32" t="s">
        <v>142</v>
      </c>
      <c r="H74" s="894" t="s">
        <v>246</v>
      </c>
      <c r="I74" s="894" t="s">
        <v>244</v>
      </c>
      <c r="J74" s="894" t="s">
        <v>244</v>
      </c>
      <c r="K74" s="345">
        <f t="shared" si="5"/>
        <v>225</v>
      </c>
      <c r="L74" s="345">
        <f t="shared" si="6"/>
        <v>325</v>
      </c>
      <c r="M74" s="345">
        <f t="shared" si="7"/>
        <v>325</v>
      </c>
    </row>
    <row r="75" spans="1:13" s="146" customFormat="1" ht="14.25">
      <c r="A75" s="391" t="str">
        <f>VLOOKUP(G75,Lookup!C:D,2,0)</f>
        <v>FEBP</v>
      </c>
      <c r="B75" s="32" t="s">
        <v>306</v>
      </c>
      <c r="C75" s="969" t="s">
        <v>222</v>
      </c>
      <c r="D75" s="32" t="s">
        <v>134</v>
      </c>
      <c r="E75" s="439" t="s">
        <v>239</v>
      </c>
      <c r="F75" s="971"/>
      <c r="G75" s="439" t="s">
        <v>134</v>
      </c>
      <c r="H75" s="894" t="s">
        <v>244</v>
      </c>
      <c r="I75" s="894" t="s">
        <v>265</v>
      </c>
      <c r="J75" s="894" t="s">
        <v>265</v>
      </c>
      <c r="K75" s="345">
        <f t="shared" si="5"/>
        <v>325</v>
      </c>
      <c r="L75" s="345">
        <f t="shared" si="6"/>
        <v>475</v>
      </c>
      <c r="M75" s="345">
        <f t="shared" si="7"/>
        <v>475</v>
      </c>
    </row>
    <row r="76" spans="1:13" s="146" customFormat="1" ht="14.25">
      <c r="A76" s="391" t="str">
        <f>VLOOKUP(G76,Lookup!C:D,2,0)</f>
        <v>JPBP</v>
      </c>
      <c r="B76" s="32" t="s">
        <v>307</v>
      </c>
      <c r="C76" s="969" t="s">
        <v>222</v>
      </c>
      <c r="D76" s="32" t="s">
        <v>129</v>
      </c>
      <c r="E76" s="439" t="s">
        <v>239</v>
      </c>
      <c r="F76" s="971"/>
      <c r="G76" s="32" t="s">
        <v>155</v>
      </c>
      <c r="H76" s="894" t="s">
        <v>257</v>
      </c>
      <c r="I76" s="894" t="s">
        <v>241</v>
      </c>
      <c r="J76" s="894" t="s">
        <v>241</v>
      </c>
      <c r="K76" s="345">
        <f t="shared" si="5"/>
        <v>875</v>
      </c>
      <c r="L76" s="345">
        <f t="shared" si="6"/>
        <v>1150</v>
      </c>
      <c r="M76" s="345">
        <f t="shared" si="7"/>
        <v>1150</v>
      </c>
    </row>
    <row r="77" spans="1:13" s="146" customFormat="1" ht="14.25">
      <c r="A77" s="391" t="str">
        <f>VLOOKUP(G77,Lookup!C:D,2,0)</f>
        <v>FEBP</v>
      </c>
      <c r="B77" s="32" t="s">
        <v>308</v>
      </c>
      <c r="C77" s="969" t="s">
        <v>222</v>
      </c>
      <c r="D77" s="32" t="s">
        <v>137</v>
      </c>
      <c r="E77" s="439" t="s">
        <v>239</v>
      </c>
      <c r="F77" s="971"/>
      <c r="G77" s="32" t="s">
        <v>137</v>
      </c>
      <c r="H77" s="894" t="s">
        <v>244</v>
      </c>
      <c r="I77" s="894" t="s">
        <v>248</v>
      </c>
      <c r="J77" s="894" t="s">
        <v>248</v>
      </c>
      <c r="K77" s="345">
        <f t="shared" si="5"/>
        <v>325</v>
      </c>
      <c r="L77" s="345">
        <f t="shared" si="6"/>
        <v>450</v>
      </c>
      <c r="M77" s="345">
        <f t="shared" si="7"/>
        <v>450</v>
      </c>
    </row>
    <row r="78" spans="1:13" s="146" customFormat="1" ht="14.25">
      <c r="A78" s="391" t="str">
        <f>VLOOKUP(G78,Lookup!C:D,2,0)</f>
        <v>FEBP</v>
      </c>
      <c r="B78" s="32" t="s">
        <v>309</v>
      </c>
      <c r="C78" s="969" t="s">
        <v>222</v>
      </c>
      <c r="D78" s="32" t="s">
        <v>141</v>
      </c>
      <c r="E78" s="439" t="s">
        <v>239</v>
      </c>
      <c r="F78" s="971"/>
      <c r="G78" s="32" t="s">
        <v>141</v>
      </c>
      <c r="H78" s="894" t="s">
        <v>244</v>
      </c>
      <c r="I78" s="894" t="s">
        <v>257</v>
      </c>
      <c r="J78" s="894" t="s">
        <v>257</v>
      </c>
      <c r="K78" s="345">
        <f t="shared" si="5"/>
        <v>325</v>
      </c>
      <c r="L78" s="345">
        <f t="shared" si="6"/>
        <v>500</v>
      </c>
      <c r="M78" s="345">
        <f t="shared" si="7"/>
        <v>500</v>
      </c>
    </row>
    <row r="79" spans="1:13" s="146" customFormat="1" ht="14.25">
      <c r="A79" s="391" t="str">
        <f>VLOOKUP(G79,Lookup!C:D,2,0)</f>
        <v>FEBP</v>
      </c>
      <c r="B79" s="32" t="s">
        <v>310</v>
      </c>
      <c r="C79" s="969" t="s">
        <v>222</v>
      </c>
      <c r="D79" s="32" t="s">
        <v>170</v>
      </c>
      <c r="E79" s="439" t="s">
        <v>239</v>
      </c>
      <c r="F79" s="971"/>
      <c r="G79" s="32" t="s">
        <v>187</v>
      </c>
      <c r="H79" s="894" t="s">
        <v>246</v>
      </c>
      <c r="I79" s="894" t="s">
        <v>244</v>
      </c>
      <c r="J79" s="894" t="s">
        <v>244</v>
      </c>
      <c r="K79" s="345">
        <f t="shared" si="5"/>
        <v>225</v>
      </c>
      <c r="L79" s="345">
        <f t="shared" si="6"/>
        <v>325</v>
      </c>
      <c r="M79" s="345">
        <f t="shared" si="7"/>
        <v>325</v>
      </c>
    </row>
    <row r="80" spans="1:13" s="146" customFormat="1" ht="14.25">
      <c r="A80" s="391" t="str">
        <f>VLOOKUP(G80,Lookup!C:D,2,0)</f>
        <v>JPBP</v>
      </c>
      <c r="B80" s="32" t="s">
        <v>311</v>
      </c>
      <c r="C80" s="969" t="s">
        <v>222</v>
      </c>
      <c r="D80" s="32" t="s">
        <v>155</v>
      </c>
      <c r="E80" s="439" t="s">
        <v>239</v>
      </c>
      <c r="F80" s="971"/>
      <c r="G80" s="32" t="s">
        <v>155</v>
      </c>
      <c r="H80" s="894" t="s">
        <v>265</v>
      </c>
      <c r="I80" s="894" t="s">
        <v>312</v>
      </c>
      <c r="J80" s="894" t="s">
        <v>312</v>
      </c>
      <c r="K80" s="345">
        <f t="shared" si="5"/>
        <v>850</v>
      </c>
      <c r="L80" s="345">
        <f t="shared" si="6"/>
        <v>1025</v>
      </c>
      <c r="M80" s="345">
        <f t="shared" si="7"/>
        <v>1025</v>
      </c>
    </row>
    <row r="81" spans="1:13" s="146" customFormat="1" ht="14.25">
      <c r="A81" s="391" t="str">
        <f>VLOOKUP(G81,Lookup!C:D,2,0)</f>
        <v>SIN/PKG</v>
      </c>
      <c r="B81" s="32" t="s">
        <v>147</v>
      </c>
      <c r="C81" s="969" t="s">
        <v>222</v>
      </c>
      <c r="D81" s="32" t="s">
        <v>160</v>
      </c>
      <c r="E81" s="439" t="s">
        <v>239</v>
      </c>
      <c r="F81" s="971"/>
      <c r="G81" s="32" t="s">
        <v>160</v>
      </c>
      <c r="H81" s="894" t="s">
        <v>289</v>
      </c>
      <c r="I81" s="894" t="s">
        <v>272</v>
      </c>
      <c r="J81" s="894" t="s">
        <v>272</v>
      </c>
      <c r="K81" s="345">
        <f t="shared" si="5"/>
        <v>175</v>
      </c>
      <c r="L81" s="345">
        <f t="shared" si="6"/>
        <v>300</v>
      </c>
      <c r="M81" s="345">
        <f t="shared" si="7"/>
        <v>300</v>
      </c>
    </row>
    <row r="82" spans="1:13" s="344" customFormat="1" ht="14.25">
      <c r="A82" s="391" t="str">
        <f>VLOOKUP(G82,Lookup!C:D,2,0)</f>
        <v>JPBP</v>
      </c>
      <c r="B82" s="32" t="s">
        <v>313</v>
      </c>
      <c r="C82" s="969" t="s">
        <v>222</v>
      </c>
      <c r="D82" s="32" t="s">
        <v>155</v>
      </c>
      <c r="E82" s="439" t="s">
        <v>239</v>
      </c>
      <c r="F82" s="972"/>
      <c r="G82" s="32" t="s">
        <v>155</v>
      </c>
      <c r="H82" s="894" t="s">
        <v>252</v>
      </c>
      <c r="I82" s="894" t="s">
        <v>265</v>
      </c>
      <c r="J82" s="894" t="s">
        <v>265</v>
      </c>
      <c r="K82" s="345">
        <f t="shared" si="5"/>
        <v>750</v>
      </c>
      <c r="L82" s="345">
        <f t="shared" si="6"/>
        <v>850</v>
      </c>
      <c r="M82" s="345">
        <f t="shared" si="7"/>
        <v>850</v>
      </c>
    </row>
    <row r="83" spans="1:13" s="146" customFormat="1" ht="14.25">
      <c r="A83" s="391" t="str">
        <f>VLOOKUP(G83,Lookup!C:D,2,0)</f>
        <v>FEBP</v>
      </c>
      <c r="B83" s="32" t="s">
        <v>314</v>
      </c>
      <c r="C83" s="969" t="s">
        <v>222</v>
      </c>
      <c r="D83" s="32" t="s">
        <v>170</v>
      </c>
      <c r="E83" s="439" t="s">
        <v>239</v>
      </c>
      <c r="F83" s="971"/>
      <c r="G83" s="32" t="s">
        <v>187</v>
      </c>
      <c r="H83" s="894" t="s">
        <v>289</v>
      </c>
      <c r="I83" s="894" t="s">
        <v>297</v>
      </c>
      <c r="J83" s="894" t="s">
        <v>297</v>
      </c>
      <c r="K83" s="345">
        <f t="shared" si="5"/>
        <v>175</v>
      </c>
      <c r="L83" s="345">
        <f t="shared" si="6"/>
        <v>275</v>
      </c>
      <c r="M83" s="345">
        <f t="shared" si="7"/>
        <v>275</v>
      </c>
    </row>
    <row r="84" spans="1:13" s="146" customFormat="1" ht="14.25">
      <c r="A84" s="391" t="str">
        <f>VLOOKUP(G84,Lookup!C:D,2,0)</f>
        <v>FEBP</v>
      </c>
      <c r="B84" s="32" t="s">
        <v>315</v>
      </c>
      <c r="C84" s="969" t="s">
        <v>222</v>
      </c>
      <c r="D84" s="32" t="s">
        <v>170</v>
      </c>
      <c r="E84" s="439" t="s">
        <v>239</v>
      </c>
      <c r="F84" s="971"/>
      <c r="G84" s="32" t="s">
        <v>187</v>
      </c>
      <c r="H84" s="894" t="s">
        <v>246</v>
      </c>
      <c r="I84" s="894" t="s">
        <v>272</v>
      </c>
      <c r="J84" s="894" t="s">
        <v>272</v>
      </c>
      <c r="K84" s="345">
        <f t="shared" si="5"/>
        <v>225</v>
      </c>
      <c r="L84" s="345">
        <f t="shared" si="6"/>
        <v>300</v>
      </c>
      <c r="M84" s="345">
        <f t="shared" si="7"/>
        <v>300</v>
      </c>
    </row>
    <row r="85" spans="1:13" s="146" customFormat="1" ht="14.25">
      <c r="A85" s="391" t="str">
        <f>VLOOKUP(G85,Lookup!C:D,2,0)</f>
        <v>FEBP</v>
      </c>
      <c r="B85" s="32" t="s">
        <v>316</v>
      </c>
      <c r="C85" s="969" t="s">
        <v>222</v>
      </c>
      <c r="D85" s="32" t="s">
        <v>141</v>
      </c>
      <c r="E85" s="439" t="s">
        <v>239</v>
      </c>
      <c r="F85" s="971"/>
      <c r="G85" s="32" t="s">
        <v>141</v>
      </c>
      <c r="H85" s="894" t="s">
        <v>246</v>
      </c>
      <c r="I85" s="894" t="s">
        <v>244</v>
      </c>
      <c r="J85" s="894" t="s">
        <v>244</v>
      </c>
      <c r="K85" s="345">
        <f t="shared" si="5"/>
        <v>225</v>
      </c>
      <c r="L85" s="345">
        <f t="shared" si="6"/>
        <v>325</v>
      </c>
      <c r="M85" s="345">
        <f t="shared" si="7"/>
        <v>325</v>
      </c>
    </row>
    <row r="86" spans="1:13" s="146" customFormat="1" ht="14.25">
      <c r="A86" s="391" t="str">
        <f>VLOOKUP(G86,Lookup!C:D,2,0)</f>
        <v>JPBP</v>
      </c>
      <c r="B86" s="32" t="s">
        <v>317</v>
      </c>
      <c r="C86" s="969" t="s">
        <v>222</v>
      </c>
      <c r="D86" s="32" t="s">
        <v>155</v>
      </c>
      <c r="E86" s="439" t="s">
        <v>239</v>
      </c>
      <c r="F86" s="971"/>
      <c r="G86" s="32" t="s">
        <v>155</v>
      </c>
      <c r="H86" s="894" t="s">
        <v>278</v>
      </c>
      <c r="I86" s="894" t="s">
        <v>318</v>
      </c>
      <c r="J86" s="894" t="s">
        <v>318</v>
      </c>
      <c r="K86" s="345">
        <f t="shared" si="5"/>
        <v>800</v>
      </c>
      <c r="L86" s="345">
        <f t="shared" si="6"/>
        <v>1000</v>
      </c>
      <c r="M86" s="345">
        <f t="shared" si="7"/>
        <v>1000</v>
      </c>
    </row>
    <row r="87" spans="1:13" s="146" customFormat="1" ht="14.25">
      <c r="A87" s="391" t="str">
        <f>VLOOKUP(G87,Lookup!C:D,2,0)</f>
        <v>JPBP</v>
      </c>
      <c r="B87" s="32" t="s">
        <v>319</v>
      </c>
      <c r="C87" s="969" t="s">
        <v>222</v>
      </c>
      <c r="D87" s="32" t="s">
        <v>155</v>
      </c>
      <c r="E87" s="439" t="s">
        <v>239</v>
      </c>
      <c r="F87" s="971"/>
      <c r="G87" s="32" t="s">
        <v>155</v>
      </c>
      <c r="H87" s="894" t="s">
        <v>278</v>
      </c>
      <c r="I87" s="894" t="s">
        <v>318</v>
      </c>
      <c r="J87" s="894" t="s">
        <v>318</v>
      </c>
      <c r="K87" s="345">
        <f t="shared" si="5"/>
        <v>800</v>
      </c>
      <c r="L87" s="345">
        <f t="shared" si="6"/>
        <v>1000</v>
      </c>
      <c r="M87" s="345">
        <f t="shared" si="7"/>
        <v>1000</v>
      </c>
    </row>
    <row r="88" spans="1:13" s="146" customFormat="1" ht="14.25">
      <c r="A88" s="391" t="str">
        <f>VLOOKUP(G88,Lookup!C:D,2,0)</f>
        <v>JPBP</v>
      </c>
      <c r="B88" s="32" t="s">
        <v>320</v>
      </c>
      <c r="C88" s="969" t="s">
        <v>222</v>
      </c>
      <c r="D88" s="32" t="s">
        <v>155</v>
      </c>
      <c r="E88" s="439" t="s">
        <v>239</v>
      </c>
      <c r="F88" s="971"/>
      <c r="G88" s="32" t="s">
        <v>155</v>
      </c>
      <c r="H88" s="894" t="s">
        <v>252</v>
      </c>
      <c r="I88" s="894" t="s">
        <v>240</v>
      </c>
      <c r="J88" s="894" t="s">
        <v>240</v>
      </c>
      <c r="K88" s="345">
        <f t="shared" si="5"/>
        <v>750</v>
      </c>
      <c r="L88" s="345">
        <f t="shared" si="6"/>
        <v>950</v>
      </c>
      <c r="M88" s="345">
        <f t="shared" si="7"/>
        <v>950</v>
      </c>
    </row>
    <row r="89" spans="1:13" s="146" customFormat="1" ht="14.25">
      <c r="A89" s="391" t="str">
        <f>VLOOKUP(G89,Lookup!C:D,2,0)</f>
        <v>JPBP</v>
      </c>
      <c r="B89" s="32" t="s">
        <v>321</v>
      </c>
      <c r="C89" s="969" t="s">
        <v>222</v>
      </c>
      <c r="D89" s="32" t="s">
        <v>155</v>
      </c>
      <c r="E89" s="439" t="s">
        <v>239</v>
      </c>
      <c r="F89" s="971"/>
      <c r="G89" s="439" t="s">
        <v>155</v>
      </c>
      <c r="H89" s="894" t="s">
        <v>278</v>
      </c>
      <c r="I89" s="894" t="s">
        <v>318</v>
      </c>
      <c r="J89" s="894" t="s">
        <v>318</v>
      </c>
      <c r="K89" s="345">
        <f t="shared" si="5"/>
        <v>800</v>
      </c>
      <c r="L89" s="345">
        <f t="shared" si="6"/>
        <v>1000</v>
      </c>
      <c r="M89" s="345">
        <f t="shared" si="7"/>
        <v>1000</v>
      </c>
    </row>
    <row r="90" spans="1:13" s="146" customFormat="1" ht="14.25">
      <c r="A90" s="391" t="str">
        <f>VLOOKUP(G90,Lookup!C:D,2,0)</f>
        <v>SIN/PKG</v>
      </c>
      <c r="B90" s="32" t="s">
        <v>153</v>
      </c>
      <c r="C90" s="969" t="s">
        <v>222</v>
      </c>
      <c r="D90" s="32" t="s">
        <v>160</v>
      </c>
      <c r="E90" s="439" t="s">
        <v>239</v>
      </c>
      <c r="F90" s="971"/>
      <c r="G90" s="32" t="s">
        <v>160</v>
      </c>
      <c r="H90" s="894" t="s">
        <v>272</v>
      </c>
      <c r="I90" s="894" t="s">
        <v>278</v>
      </c>
      <c r="J90" s="894" t="s">
        <v>278</v>
      </c>
      <c r="K90" s="345">
        <f t="shared" si="5"/>
        <v>300</v>
      </c>
      <c r="L90" s="345">
        <f t="shared" si="6"/>
        <v>425</v>
      </c>
      <c r="M90" s="345">
        <f t="shared" si="7"/>
        <v>425</v>
      </c>
    </row>
    <row r="91" spans="1:13" s="146" customFormat="1" ht="14.25">
      <c r="A91" s="391" t="str">
        <f>VLOOKUP(G91,Lookup!C:D,2,0)</f>
        <v>FEBP</v>
      </c>
      <c r="B91" s="32" t="s">
        <v>322</v>
      </c>
      <c r="C91" s="969" t="s">
        <v>222</v>
      </c>
      <c r="D91" s="32" t="s">
        <v>134</v>
      </c>
      <c r="E91" s="439" t="s">
        <v>239</v>
      </c>
      <c r="F91" s="971"/>
      <c r="G91" s="32" t="s">
        <v>189</v>
      </c>
      <c r="H91" s="894" t="s">
        <v>289</v>
      </c>
      <c r="I91" s="894" t="s">
        <v>251</v>
      </c>
      <c r="J91" s="894" t="s">
        <v>251</v>
      </c>
      <c r="K91" s="345">
        <f t="shared" si="5"/>
        <v>175</v>
      </c>
      <c r="L91" s="345">
        <f t="shared" si="6"/>
        <v>250</v>
      </c>
      <c r="M91" s="345">
        <f t="shared" si="7"/>
        <v>250</v>
      </c>
    </row>
    <row r="92" spans="1:13" s="146" customFormat="1" ht="14.25">
      <c r="A92" s="391" t="str">
        <f>VLOOKUP(G92,Lookup!C:D,2,0)</f>
        <v>FEBP</v>
      </c>
      <c r="B92" s="32" t="s">
        <v>322</v>
      </c>
      <c r="C92" s="969" t="s">
        <v>222</v>
      </c>
      <c r="D92" s="32" t="s">
        <v>146</v>
      </c>
      <c r="E92" s="439" t="s">
        <v>239</v>
      </c>
      <c r="F92" s="971"/>
      <c r="G92" s="32" t="s">
        <v>146</v>
      </c>
      <c r="H92" s="894" t="s">
        <v>251</v>
      </c>
      <c r="I92" s="894" t="s">
        <v>268</v>
      </c>
      <c r="J92" s="894" t="s">
        <v>268</v>
      </c>
      <c r="K92" s="345">
        <f t="shared" si="5"/>
        <v>250</v>
      </c>
      <c r="L92" s="345">
        <f t="shared" si="6"/>
        <v>400</v>
      </c>
      <c r="M92" s="345">
        <f t="shared" si="7"/>
        <v>400</v>
      </c>
    </row>
    <row r="93" spans="1:13" s="146" customFormat="1" ht="14.25">
      <c r="A93" s="391" t="str">
        <f>VLOOKUP(G93,Lookup!C:D,2,0)</f>
        <v>FEBP</v>
      </c>
      <c r="B93" s="32" t="s">
        <v>323</v>
      </c>
      <c r="C93" s="969" t="s">
        <v>222</v>
      </c>
      <c r="D93" s="32" t="s">
        <v>159</v>
      </c>
      <c r="E93" s="439" t="s">
        <v>239</v>
      </c>
      <c r="F93" s="971"/>
      <c r="G93" s="32" t="s">
        <v>159</v>
      </c>
      <c r="H93" s="894" t="s">
        <v>272</v>
      </c>
      <c r="I93" s="894" t="s">
        <v>248</v>
      </c>
      <c r="J93" s="894" t="s">
        <v>248</v>
      </c>
      <c r="K93" s="345">
        <f t="shared" si="5"/>
        <v>300</v>
      </c>
      <c r="L93" s="345">
        <f t="shared" si="6"/>
        <v>450</v>
      </c>
      <c r="M93" s="345">
        <f t="shared" si="7"/>
        <v>450</v>
      </c>
    </row>
    <row r="94" spans="1:13" s="146" customFormat="1" ht="14.25">
      <c r="A94" s="391" t="str">
        <f>VLOOKUP(G94,Lookup!C:D,2,0)</f>
        <v>FEBP</v>
      </c>
      <c r="B94" s="32" t="s">
        <v>324</v>
      </c>
      <c r="C94" s="969" t="s">
        <v>222</v>
      </c>
      <c r="D94" s="32" t="s">
        <v>141</v>
      </c>
      <c r="E94" s="439" t="s">
        <v>239</v>
      </c>
      <c r="F94" s="971"/>
      <c r="G94" s="439" t="s">
        <v>141</v>
      </c>
      <c r="H94" s="894" t="s">
        <v>243</v>
      </c>
      <c r="I94" s="894" t="s">
        <v>244</v>
      </c>
      <c r="J94" s="894" t="s">
        <v>244</v>
      </c>
      <c r="K94" s="345">
        <f t="shared" si="5"/>
        <v>200</v>
      </c>
      <c r="L94" s="345">
        <f t="shared" si="6"/>
        <v>325</v>
      </c>
      <c r="M94" s="345">
        <f t="shared" si="7"/>
        <v>325</v>
      </c>
    </row>
    <row r="95" spans="1:13" s="146" customFormat="1" ht="14.25">
      <c r="A95" s="391" t="str">
        <f>VLOOKUP(G95,Lookup!C:D,2,0)</f>
        <v>FEBP</v>
      </c>
      <c r="B95" s="32" t="s">
        <v>324</v>
      </c>
      <c r="C95" s="969" t="s">
        <v>222</v>
      </c>
      <c r="D95" s="32" t="s">
        <v>137</v>
      </c>
      <c r="E95" s="439" t="s">
        <v>325</v>
      </c>
      <c r="F95" s="971"/>
      <c r="G95" s="32" t="s">
        <v>137</v>
      </c>
      <c r="H95" s="894" t="s">
        <v>243</v>
      </c>
      <c r="I95" s="894" t="s">
        <v>244</v>
      </c>
      <c r="J95" s="894" t="s">
        <v>244</v>
      </c>
      <c r="K95" s="345">
        <f t="shared" ref="K95:K156" si="8">IF(H95&lt;&gt;"",VLOOKUP($A95,$B$3:$E$12,2,FALSE)+H95,"--")</f>
        <v>200</v>
      </c>
      <c r="L95" s="345">
        <f t="shared" ref="L95:L156" si="9">IF(I95&lt;&gt;"",VLOOKUP($A95,$B$3:$E$11,3,FALSE)+I95,"--")</f>
        <v>325</v>
      </c>
      <c r="M95" s="345">
        <f t="shared" ref="M95:M156" si="10">IF(J95&lt;&gt;"",VLOOKUP($A95,$B$3:$E$11,4,FALSE)+J95,"--")</f>
        <v>325</v>
      </c>
    </row>
    <row r="96" spans="1:13" s="146" customFormat="1" ht="14.25">
      <c r="A96" s="391" t="str">
        <f>VLOOKUP(G96,Lookup!C:D,2,0)</f>
        <v>FEBP</v>
      </c>
      <c r="B96" s="32" t="s">
        <v>326</v>
      </c>
      <c r="C96" s="969" t="s">
        <v>222</v>
      </c>
      <c r="D96" s="32" t="s">
        <v>134</v>
      </c>
      <c r="E96" s="439" t="s">
        <v>239</v>
      </c>
      <c r="F96" s="971"/>
      <c r="G96" s="32" t="s">
        <v>189</v>
      </c>
      <c r="H96" s="894" t="s">
        <v>289</v>
      </c>
      <c r="I96" s="894" t="s">
        <v>272</v>
      </c>
      <c r="J96" s="894" t="s">
        <v>272</v>
      </c>
      <c r="K96" s="345">
        <f t="shared" si="8"/>
        <v>175</v>
      </c>
      <c r="L96" s="345">
        <f t="shared" si="9"/>
        <v>300</v>
      </c>
      <c r="M96" s="345">
        <f t="shared" si="10"/>
        <v>300</v>
      </c>
    </row>
    <row r="97" spans="1:13" s="146" customFormat="1" ht="14.25">
      <c r="A97" s="391" t="str">
        <f>VLOOKUP(G97,Lookup!C:D,2,0)</f>
        <v>FEBP</v>
      </c>
      <c r="B97" s="32" t="s">
        <v>326</v>
      </c>
      <c r="C97" s="969" t="s">
        <v>222</v>
      </c>
      <c r="D97" s="32" t="s">
        <v>146</v>
      </c>
      <c r="E97" s="439" t="s">
        <v>239</v>
      </c>
      <c r="F97" s="971"/>
      <c r="G97" s="32" t="s">
        <v>146</v>
      </c>
      <c r="H97" s="894" t="s">
        <v>251</v>
      </c>
      <c r="I97" s="894" t="s">
        <v>270</v>
      </c>
      <c r="J97" s="894" t="s">
        <v>270</v>
      </c>
      <c r="K97" s="345">
        <f t="shared" si="8"/>
        <v>250</v>
      </c>
      <c r="L97" s="345">
        <f t="shared" si="9"/>
        <v>350</v>
      </c>
      <c r="M97" s="345">
        <f t="shared" si="10"/>
        <v>350</v>
      </c>
    </row>
    <row r="98" spans="1:13" s="146" customFormat="1" ht="14.25">
      <c r="A98" s="391" t="str">
        <f>VLOOKUP(G98,Lookup!C:D,2,0)</f>
        <v>FEBP</v>
      </c>
      <c r="B98" s="32" t="s">
        <v>327</v>
      </c>
      <c r="C98" s="969" t="s">
        <v>222</v>
      </c>
      <c r="D98" s="32" t="s">
        <v>141</v>
      </c>
      <c r="E98" s="439" t="s">
        <v>239</v>
      </c>
      <c r="F98" s="971"/>
      <c r="G98" s="439" t="s">
        <v>141</v>
      </c>
      <c r="H98" s="894" t="s">
        <v>289</v>
      </c>
      <c r="I98" s="894" t="s">
        <v>297</v>
      </c>
      <c r="J98" s="894" t="s">
        <v>297</v>
      </c>
      <c r="K98" s="345">
        <f t="shared" si="8"/>
        <v>175</v>
      </c>
      <c r="L98" s="345">
        <f t="shared" si="9"/>
        <v>275</v>
      </c>
      <c r="M98" s="345">
        <f t="shared" si="10"/>
        <v>275</v>
      </c>
    </row>
    <row r="99" spans="1:13" s="146" customFormat="1" ht="14.25">
      <c r="A99" s="391" t="str">
        <f>VLOOKUP(G99,Lookup!C:D,2,0)</f>
        <v>FEBP</v>
      </c>
      <c r="B99" s="32" t="s">
        <v>328</v>
      </c>
      <c r="C99" s="969" t="s">
        <v>222</v>
      </c>
      <c r="D99" s="32" t="s">
        <v>141</v>
      </c>
      <c r="E99" s="439" t="s">
        <v>239</v>
      </c>
      <c r="F99" s="971"/>
      <c r="G99" s="32" t="s">
        <v>141</v>
      </c>
      <c r="H99" s="894" t="s">
        <v>270</v>
      </c>
      <c r="I99" s="894" t="s">
        <v>240</v>
      </c>
      <c r="J99" s="894" t="s">
        <v>240</v>
      </c>
      <c r="K99" s="345">
        <f t="shared" si="8"/>
        <v>350</v>
      </c>
      <c r="L99" s="345">
        <f t="shared" si="9"/>
        <v>575</v>
      </c>
      <c r="M99" s="345">
        <f t="shared" si="10"/>
        <v>575</v>
      </c>
    </row>
    <row r="100" spans="1:13" s="146" customFormat="1" ht="14.25">
      <c r="A100" s="391" t="str">
        <f>VLOOKUP(G100,Lookup!C:D,2,0)</f>
        <v>FEBP</v>
      </c>
      <c r="B100" s="32" t="s">
        <v>329</v>
      </c>
      <c r="C100" s="969" t="s">
        <v>222</v>
      </c>
      <c r="D100" s="32" t="s">
        <v>134</v>
      </c>
      <c r="E100" s="439" t="s">
        <v>239</v>
      </c>
      <c r="F100" s="971"/>
      <c r="G100" s="32" t="s">
        <v>173</v>
      </c>
      <c r="H100" s="894" t="s">
        <v>255</v>
      </c>
      <c r="I100" s="894" t="s">
        <v>251</v>
      </c>
      <c r="J100" s="894" t="s">
        <v>251</v>
      </c>
      <c r="K100" s="345">
        <f t="shared" si="8"/>
        <v>150</v>
      </c>
      <c r="L100" s="345">
        <f t="shared" si="9"/>
        <v>250</v>
      </c>
      <c r="M100" s="345">
        <f t="shared" si="10"/>
        <v>250</v>
      </c>
    </row>
    <row r="101" spans="1:13" s="146" customFormat="1" ht="14.25">
      <c r="A101" s="391" t="str">
        <f>VLOOKUP(G101,Lookup!C:D,2,0)</f>
        <v>FEBP</v>
      </c>
      <c r="B101" s="32" t="s">
        <v>330</v>
      </c>
      <c r="C101" s="969" t="s">
        <v>222</v>
      </c>
      <c r="D101" s="32" t="s">
        <v>141</v>
      </c>
      <c r="E101" s="439" t="s">
        <v>239</v>
      </c>
      <c r="F101" s="971"/>
      <c r="G101" s="32" t="s">
        <v>141</v>
      </c>
      <c r="H101" s="894" t="s">
        <v>243</v>
      </c>
      <c r="I101" s="894" t="s">
        <v>251</v>
      </c>
      <c r="J101" s="894" t="s">
        <v>251</v>
      </c>
      <c r="K101" s="345">
        <f t="shared" si="8"/>
        <v>200</v>
      </c>
      <c r="L101" s="345">
        <f t="shared" si="9"/>
        <v>250</v>
      </c>
      <c r="M101" s="345">
        <f t="shared" si="10"/>
        <v>250</v>
      </c>
    </row>
    <row r="102" spans="1:13" s="146" customFormat="1" ht="14.25">
      <c r="A102" s="391" t="str">
        <f>VLOOKUP(G102,Lookup!C:D,2,0)</f>
        <v>JPBP</v>
      </c>
      <c r="B102" s="32" t="s">
        <v>331</v>
      </c>
      <c r="C102" s="969" t="s">
        <v>222</v>
      </c>
      <c r="D102" s="32" t="s">
        <v>129</v>
      </c>
      <c r="E102" s="439" t="s">
        <v>239</v>
      </c>
      <c r="F102" s="971"/>
      <c r="G102" s="32" t="s">
        <v>158</v>
      </c>
      <c r="H102" s="894" t="s">
        <v>278</v>
      </c>
      <c r="I102" s="894" t="s">
        <v>249</v>
      </c>
      <c r="J102" s="894" t="s">
        <v>249</v>
      </c>
      <c r="K102" s="345">
        <f t="shared" si="8"/>
        <v>800</v>
      </c>
      <c r="L102" s="345">
        <f t="shared" si="9"/>
        <v>1100</v>
      </c>
      <c r="M102" s="345">
        <f t="shared" si="10"/>
        <v>1100</v>
      </c>
    </row>
    <row r="103" spans="1:13" s="146" customFormat="1" ht="14.25">
      <c r="A103" s="391" t="str">
        <f>VLOOKUP(G103,Lookup!C:D,2,0)</f>
        <v>FEBP</v>
      </c>
      <c r="B103" s="32" t="s">
        <v>332</v>
      </c>
      <c r="C103" s="969" t="s">
        <v>222</v>
      </c>
      <c r="D103" s="32" t="s">
        <v>135</v>
      </c>
      <c r="E103" s="439" t="s">
        <v>239</v>
      </c>
      <c r="F103" s="971"/>
      <c r="G103" s="32" t="s">
        <v>135</v>
      </c>
      <c r="H103" s="894" t="s">
        <v>252</v>
      </c>
      <c r="I103" s="894" t="s">
        <v>252</v>
      </c>
      <c r="J103" s="894" t="s">
        <v>252</v>
      </c>
      <c r="K103" s="345">
        <f t="shared" si="8"/>
        <v>375</v>
      </c>
      <c r="L103" s="345">
        <f t="shared" si="9"/>
        <v>375</v>
      </c>
      <c r="M103" s="345">
        <f t="shared" si="10"/>
        <v>375</v>
      </c>
    </row>
    <row r="104" spans="1:13" s="146" customFormat="1" ht="14.25">
      <c r="A104" s="391" t="str">
        <f>VLOOKUP(G104,Lookup!C:D,2,0)</f>
        <v>SIN/PKG</v>
      </c>
      <c r="B104" s="32" t="s">
        <v>333</v>
      </c>
      <c r="C104" s="969" t="s">
        <v>222</v>
      </c>
      <c r="D104" s="32" t="s">
        <v>138</v>
      </c>
      <c r="E104" s="439" t="s">
        <v>239</v>
      </c>
      <c r="F104" s="971"/>
      <c r="G104" s="32" t="s">
        <v>138</v>
      </c>
      <c r="H104" s="894" t="s">
        <v>241</v>
      </c>
      <c r="I104" s="894" t="s">
        <v>259</v>
      </c>
      <c r="J104" s="894" t="s">
        <v>259</v>
      </c>
      <c r="K104" s="345">
        <f t="shared" si="8"/>
        <v>775</v>
      </c>
      <c r="L104" s="345">
        <f t="shared" si="9"/>
        <v>1375</v>
      </c>
      <c r="M104" s="345">
        <f t="shared" si="10"/>
        <v>1375</v>
      </c>
    </row>
    <row r="105" spans="1:13" s="146" customFormat="1" ht="14.25">
      <c r="A105" s="391" t="str">
        <f>VLOOKUP(G105,Lookup!C:D,2,0)</f>
        <v>SIN/PKG</v>
      </c>
      <c r="B105" s="32" t="s">
        <v>333</v>
      </c>
      <c r="C105" s="969" t="s">
        <v>222</v>
      </c>
      <c r="D105" s="32" t="s">
        <v>142</v>
      </c>
      <c r="E105" s="439" t="s">
        <v>239</v>
      </c>
      <c r="F105" s="971"/>
      <c r="G105" s="32" t="s">
        <v>142</v>
      </c>
      <c r="H105" s="894" t="s">
        <v>334</v>
      </c>
      <c r="I105" s="894" t="s">
        <v>335</v>
      </c>
      <c r="J105" s="894" t="s">
        <v>335</v>
      </c>
      <c r="K105" s="345">
        <f t="shared" si="8"/>
        <v>875</v>
      </c>
      <c r="L105" s="345">
        <f t="shared" si="9"/>
        <v>1525</v>
      </c>
      <c r="M105" s="345">
        <f t="shared" si="10"/>
        <v>1525</v>
      </c>
    </row>
    <row r="106" spans="1:13" s="146" customFormat="1" ht="14.25">
      <c r="A106" s="391" t="str">
        <f>VLOOKUP(G106,Lookup!C:D,2,0)</f>
        <v>SIN/PKG</v>
      </c>
      <c r="B106" s="32" t="s">
        <v>336</v>
      </c>
      <c r="C106" s="969" t="s">
        <v>222</v>
      </c>
      <c r="D106" s="32" t="s">
        <v>142</v>
      </c>
      <c r="E106" s="439" t="s">
        <v>239</v>
      </c>
      <c r="F106" s="971"/>
      <c r="G106" s="32" t="s">
        <v>142</v>
      </c>
      <c r="H106" s="894" t="s">
        <v>244</v>
      </c>
      <c r="I106" s="894" t="s">
        <v>295</v>
      </c>
      <c r="J106" s="894" t="s">
        <v>295</v>
      </c>
      <c r="K106" s="345">
        <f t="shared" si="8"/>
        <v>325</v>
      </c>
      <c r="L106" s="345">
        <f t="shared" si="9"/>
        <v>525</v>
      </c>
      <c r="M106" s="345">
        <f t="shared" si="10"/>
        <v>525</v>
      </c>
    </row>
    <row r="107" spans="1:13" s="146" customFormat="1" ht="14.25">
      <c r="A107" s="391" t="str">
        <f>VLOOKUP(G107,Lookup!C:D,2,0)</f>
        <v>SIN/PKG</v>
      </c>
      <c r="B107" s="32" t="s">
        <v>337</v>
      </c>
      <c r="C107" s="969" t="s">
        <v>222</v>
      </c>
      <c r="D107" s="32" t="s">
        <v>138</v>
      </c>
      <c r="E107" s="439" t="s">
        <v>239</v>
      </c>
      <c r="F107" s="971"/>
      <c r="G107" s="32" t="s">
        <v>138</v>
      </c>
      <c r="H107" s="894" t="s">
        <v>304</v>
      </c>
      <c r="I107" s="894" t="s">
        <v>338</v>
      </c>
      <c r="J107" s="894" t="s">
        <v>338</v>
      </c>
      <c r="K107" s="345">
        <f t="shared" si="8"/>
        <v>675</v>
      </c>
      <c r="L107" s="345">
        <f t="shared" si="9"/>
        <v>1175</v>
      </c>
      <c r="M107" s="345">
        <f t="shared" si="10"/>
        <v>1175</v>
      </c>
    </row>
    <row r="108" spans="1:13" s="146" customFormat="1" ht="14.25">
      <c r="A108" s="391" t="str">
        <f>VLOOKUP(G108,Lookup!C:D,2,0)</f>
        <v>SIN/PKG</v>
      </c>
      <c r="B108" s="32" t="s">
        <v>337</v>
      </c>
      <c r="C108" s="969" t="s">
        <v>222</v>
      </c>
      <c r="D108" s="32" t="s">
        <v>142</v>
      </c>
      <c r="E108" s="439" t="s">
        <v>239</v>
      </c>
      <c r="F108" s="971"/>
      <c r="G108" s="32" t="s">
        <v>142</v>
      </c>
      <c r="H108" s="894" t="s">
        <v>339</v>
      </c>
      <c r="I108" s="894" t="s">
        <v>276</v>
      </c>
      <c r="J108" s="894" t="s">
        <v>276</v>
      </c>
      <c r="K108" s="345">
        <f t="shared" si="8"/>
        <v>925</v>
      </c>
      <c r="L108" s="345">
        <f t="shared" si="9"/>
        <v>1625</v>
      </c>
      <c r="M108" s="345">
        <f t="shared" si="10"/>
        <v>1625</v>
      </c>
    </row>
    <row r="109" spans="1:13" s="146" customFormat="1" ht="14.25">
      <c r="A109" s="391" t="str">
        <f>VLOOKUP(G109,Lookup!C:D,2,0)</f>
        <v>JPBP</v>
      </c>
      <c r="B109" s="32" t="s">
        <v>340</v>
      </c>
      <c r="C109" s="969" t="s">
        <v>222</v>
      </c>
      <c r="D109" s="32" t="s">
        <v>155</v>
      </c>
      <c r="E109" s="439" t="s">
        <v>239</v>
      </c>
      <c r="F109" s="971"/>
      <c r="G109" s="32" t="s">
        <v>155</v>
      </c>
      <c r="H109" s="894" t="s">
        <v>244</v>
      </c>
      <c r="I109" s="894" t="s">
        <v>265</v>
      </c>
      <c r="J109" s="894" t="s">
        <v>265</v>
      </c>
      <c r="K109" s="345">
        <f t="shared" si="8"/>
        <v>700</v>
      </c>
      <c r="L109" s="345">
        <f t="shared" si="9"/>
        <v>850</v>
      </c>
      <c r="M109" s="345">
        <f t="shared" si="10"/>
        <v>850</v>
      </c>
    </row>
    <row r="110" spans="1:13" s="146" customFormat="1" ht="14.25">
      <c r="A110" s="391" t="str">
        <f>VLOOKUP(G110,Lookup!C:D,2,0)</f>
        <v>FEBP</v>
      </c>
      <c r="B110" s="32" t="s">
        <v>341</v>
      </c>
      <c r="C110" s="969" t="s">
        <v>222</v>
      </c>
      <c r="D110" s="32" t="s">
        <v>129</v>
      </c>
      <c r="E110" s="439" t="s">
        <v>239</v>
      </c>
      <c r="F110" s="971"/>
      <c r="G110" s="32" t="s">
        <v>129</v>
      </c>
      <c r="H110" s="894" t="s">
        <v>246</v>
      </c>
      <c r="I110" s="894" t="s">
        <v>244</v>
      </c>
      <c r="J110" s="894" t="s">
        <v>244</v>
      </c>
      <c r="K110" s="345">
        <f t="shared" si="8"/>
        <v>225</v>
      </c>
      <c r="L110" s="345">
        <f t="shared" si="9"/>
        <v>325</v>
      </c>
      <c r="M110" s="345">
        <f t="shared" si="10"/>
        <v>325</v>
      </c>
    </row>
    <row r="111" spans="1:13" s="146" customFormat="1" ht="14.25">
      <c r="A111" s="391" t="str">
        <f>VLOOKUP(G111,Lookup!C:D,2,0)</f>
        <v>SIN/PKG</v>
      </c>
      <c r="B111" s="32" t="s">
        <v>342</v>
      </c>
      <c r="C111" s="969" t="s">
        <v>222</v>
      </c>
      <c r="D111" s="32" t="s">
        <v>138</v>
      </c>
      <c r="E111" s="439" t="s">
        <v>239</v>
      </c>
      <c r="F111" s="971"/>
      <c r="G111" s="32" t="s">
        <v>138</v>
      </c>
      <c r="H111" s="894" t="s">
        <v>260</v>
      </c>
      <c r="I111" s="894" t="s">
        <v>343</v>
      </c>
      <c r="J111" s="894" t="s">
        <v>343</v>
      </c>
      <c r="K111" s="345">
        <f t="shared" si="8"/>
        <v>1075</v>
      </c>
      <c r="L111" s="345">
        <f t="shared" si="9"/>
        <v>1975</v>
      </c>
      <c r="M111" s="345">
        <f t="shared" si="10"/>
        <v>1975</v>
      </c>
    </row>
    <row r="112" spans="1:13" s="146" customFormat="1" ht="14.25">
      <c r="A112" s="391" t="str">
        <f>VLOOKUP(G112,Lookup!C:D,2,0)</f>
        <v>SIN/PKG</v>
      </c>
      <c r="B112" s="32" t="s">
        <v>344</v>
      </c>
      <c r="C112" s="969" t="s">
        <v>222</v>
      </c>
      <c r="D112" s="32" t="s">
        <v>160</v>
      </c>
      <c r="E112" s="439" t="s">
        <v>239</v>
      </c>
      <c r="F112" s="971"/>
      <c r="G112" s="32" t="s">
        <v>160</v>
      </c>
      <c r="H112" s="894" t="s">
        <v>246</v>
      </c>
      <c r="I112" s="894" t="s">
        <v>270</v>
      </c>
      <c r="J112" s="894" t="s">
        <v>270</v>
      </c>
      <c r="K112" s="345">
        <f t="shared" si="8"/>
        <v>225</v>
      </c>
      <c r="L112" s="345">
        <f t="shared" si="9"/>
        <v>350</v>
      </c>
      <c r="M112" s="345">
        <f t="shared" si="10"/>
        <v>350</v>
      </c>
    </row>
    <row r="113" spans="1:13" s="146" customFormat="1" ht="14.25">
      <c r="A113" s="391" t="str">
        <f>VLOOKUP(G113,Lookup!C:D,2,0)</f>
        <v>SIN/PKG</v>
      </c>
      <c r="B113" s="32" t="s">
        <v>345</v>
      </c>
      <c r="C113" s="969" t="s">
        <v>222</v>
      </c>
      <c r="D113" s="32" t="s">
        <v>160</v>
      </c>
      <c r="E113" s="439" t="s">
        <v>239</v>
      </c>
      <c r="F113" s="971"/>
      <c r="G113" s="32" t="s">
        <v>160</v>
      </c>
      <c r="H113" s="894" t="s">
        <v>297</v>
      </c>
      <c r="I113" s="894" t="s">
        <v>346</v>
      </c>
      <c r="J113" s="894" t="s">
        <v>346</v>
      </c>
      <c r="K113" s="345">
        <f t="shared" si="8"/>
        <v>275</v>
      </c>
      <c r="L113" s="345">
        <f t="shared" si="9"/>
        <v>395</v>
      </c>
      <c r="M113" s="345">
        <f t="shared" si="10"/>
        <v>395</v>
      </c>
    </row>
    <row r="114" spans="1:13" s="146" customFormat="1" ht="14.25">
      <c r="A114" s="391" t="str">
        <f>VLOOKUP(G114,Lookup!C:D,2,0)</f>
        <v>FEBP</v>
      </c>
      <c r="B114" s="32" t="s">
        <v>347</v>
      </c>
      <c r="C114" s="969" t="s">
        <v>222</v>
      </c>
      <c r="D114" s="32" t="s">
        <v>146</v>
      </c>
      <c r="E114" s="439" t="s">
        <v>239</v>
      </c>
      <c r="F114" s="971"/>
      <c r="G114" s="32" t="s">
        <v>188</v>
      </c>
      <c r="H114" s="894" t="s">
        <v>251</v>
      </c>
      <c r="I114" s="894" t="s">
        <v>252</v>
      </c>
      <c r="J114" s="894" t="s">
        <v>252</v>
      </c>
      <c r="K114" s="345">
        <f t="shared" si="8"/>
        <v>250</v>
      </c>
      <c r="L114" s="345">
        <f t="shared" si="9"/>
        <v>375</v>
      </c>
      <c r="M114" s="345">
        <f t="shared" si="10"/>
        <v>375</v>
      </c>
    </row>
    <row r="115" spans="1:13" s="146" customFormat="1" ht="14.25">
      <c r="A115" s="391" t="str">
        <f>VLOOKUP(G115,Lookup!C:D,2,0)</f>
        <v>FEBP</v>
      </c>
      <c r="B115" s="32" t="s">
        <v>348</v>
      </c>
      <c r="C115" s="969" t="s">
        <v>222</v>
      </c>
      <c r="D115" s="32" t="s">
        <v>170</v>
      </c>
      <c r="E115" s="439" t="s">
        <v>239</v>
      </c>
      <c r="F115" s="971"/>
      <c r="G115" s="32" t="s">
        <v>187</v>
      </c>
      <c r="H115" s="894" t="s">
        <v>272</v>
      </c>
      <c r="I115" s="894" t="s">
        <v>268</v>
      </c>
      <c r="J115" s="894" t="s">
        <v>268</v>
      </c>
      <c r="K115" s="345">
        <f t="shared" si="8"/>
        <v>300</v>
      </c>
      <c r="L115" s="345">
        <f t="shared" si="9"/>
        <v>400</v>
      </c>
      <c r="M115" s="345">
        <f t="shared" si="10"/>
        <v>400</v>
      </c>
    </row>
    <row r="116" spans="1:13" s="146" customFormat="1" ht="14.25">
      <c r="A116" s="391" t="str">
        <f>VLOOKUP(G116,Lookup!C:D,2,0)</f>
        <v>FEBP</v>
      </c>
      <c r="B116" s="32" t="s">
        <v>349</v>
      </c>
      <c r="C116" s="969" t="s">
        <v>222</v>
      </c>
      <c r="D116" s="32" t="s">
        <v>169</v>
      </c>
      <c r="E116" s="439" t="s">
        <v>239</v>
      </c>
      <c r="F116" s="971"/>
      <c r="G116" s="32" t="s">
        <v>169</v>
      </c>
      <c r="H116" s="894" t="s">
        <v>272</v>
      </c>
      <c r="I116" s="894" t="s">
        <v>295</v>
      </c>
      <c r="J116" s="894" t="s">
        <v>295</v>
      </c>
      <c r="K116" s="345">
        <f t="shared" si="8"/>
        <v>300</v>
      </c>
      <c r="L116" s="345">
        <f t="shared" si="9"/>
        <v>525</v>
      </c>
      <c r="M116" s="345">
        <f t="shared" si="10"/>
        <v>525</v>
      </c>
    </row>
    <row r="117" spans="1:13" s="146" customFormat="1" ht="14.25">
      <c r="A117" s="391" t="str">
        <f>VLOOKUP(G117,Lookup!C:D,2,0)</f>
        <v>FEBP</v>
      </c>
      <c r="B117" s="32" t="s">
        <v>350</v>
      </c>
      <c r="C117" s="969" t="s">
        <v>222</v>
      </c>
      <c r="D117" s="32" t="s">
        <v>140</v>
      </c>
      <c r="E117" s="439" t="s">
        <v>325</v>
      </c>
      <c r="F117" s="971"/>
      <c r="G117" s="439" t="s">
        <v>140</v>
      </c>
      <c r="H117" s="894" t="s">
        <v>351</v>
      </c>
      <c r="I117" s="894" t="s">
        <v>252</v>
      </c>
      <c r="J117" s="894" t="s">
        <v>252</v>
      </c>
      <c r="K117" s="345">
        <f t="shared" si="8"/>
        <v>305</v>
      </c>
      <c r="L117" s="345">
        <f t="shared" si="9"/>
        <v>375</v>
      </c>
      <c r="M117" s="345">
        <f t="shared" si="10"/>
        <v>375</v>
      </c>
    </row>
    <row r="118" spans="1:13" s="146" customFormat="1" ht="14.25">
      <c r="A118" s="391" t="str">
        <f>VLOOKUP(G118,Lookup!C:D,2,0)</f>
        <v>FEBP</v>
      </c>
      <c r="B118" s="32" t="s">
        <v>352</v>
      </c>
      <c r="C118" s="969" t="s">
        <v>222</v>
      </c>
      <c r="D118" s="32" t="s">
        <v>141</v>
      </c>
      <c r="E118" s="439" t="s">
        <v>239</v>
      </c>
      <c r="F118" s="971"/>
      <c r="G118" s="32" t="s">
        <v>141</v>
      </c>
      <c r="H118" s="894" t="s">
        <v>353</v>
      </c>
      <c r="I118" s="894" t="s">
        <v>354</v>
      </c>
      <c r="J118" s="894" t="s">
        <v>354</v>
      </c>
      <c r="K118" s="345">
        <f t="shared" si="8"/>
        <v>550</v>
      </c>
      <c r="L118" s="345">
        <f t="shared" si="9"/>
        <v>950</v>
      </c>
      <c r="M118" s="345">
        <f t="shared" si="10"/>
        <v>950</v>
      </c>
    </row>
    <row r="119" spans="1:13" s="146" customFormat="1" ht="14.25">
      <c r="A119" s="391" t="str">
        <f>VLOOKUP(G119,Lookup!C:D,2,0)</f>
        <v>FEBP</v>
      </c>
      <c r="B119" s="32" t="s">
        <v>355</v>
      </c>
      <c r="C119" s="969" t="s">
        <v>222</v>
      </c>
      <c r="D119" s="32" t="s">
        <v>141</v>
      </c>
      <c r="E119" s="439" t="s">
        <v>239</v>
      </c>
      <c r="F119" s="971"/>
      <c r="G119" s="439" t="s">
        <v>141</v>
      </c>
      <c r="H119" s="894" t="s">
        <v>246</v>
      </c>
      <c r="I119" s="894" t="s">
        <v>270</v>
      </c>
      <c r="J119" s="894" t="s">
        <v>270</v>
      </c>
      <c r="K119" s="345">
        <f t="shared" si="8"/>
        <v>225</v>
      </c>
      <c r="L119" s="345">
        <f t="shared" si="9"/>
        <v>350</v>
      </c>
      <c r="M119" s="345">
        <f t="shared" si="10"/>
        <v>350</v>
      </c>
    </row>
    <row r="120" spans="1:13" s="146" customFormat="1" ht="14.25">
      <c r="A120" s="391" t="str">
        <f>VLOOKUP(G120,Lookup!C:D,2,0)</f>
        <v>FEBP</v>
      </c>
      <c r="B120" s="32" t="s">
        <v>356</v>
      </c>
      <c r="C120" s="969" t="s">
        <v>222</v>
      </c>
      <c r="D120" s="32" t="s">
        <v>134</v>
      </c>
      <c r="E120" s="439" t="s">
        <v>239</v>
      </c>
      <c r="F120" s="971"/>
      <c r="G120" s="32" t="s">
        <v>134</v>
      </c>
      <c r="H120" s="894" t="s">
        <v>252</v>
      </c>
      <c r="I120" s="894" t="s">
        <v>357</v>
      </c>
      <c r="J120" s="894" t="s">
        <v>357</v>
      </c>
      <c r="K120" s="345">
        <f t="shared" si="8"/>
        <v>375</v>
      </c>
      <c r="L120" s="345">
        <f t="shared" si="9"/>
        <v>600</v>
      </c>
      <c r="M120" s="345">
        <f t="shared" si="10"/>
        <v>600</v>
      </c>
    </row>
    <row r="121" spans="1:13" s="146" customFormat="1" ht="14.25">
      <c r="A121" s="391" t="str">
        <f>VLOOKUP(G121,Lookup!C:D,2,0)</f>
        <v>JPBP</v>
      </c>
      <c r="B121" s="32" t="s">
        <v>358</v>
      </c>
      <c r="C121" s="969" t="s">
        <v>222</v>
      </c>
      <c r="D121" s="32" t="s">
        <v>155</v>
      </c>
      <c r="E121" s="439" t="s">
        <v>239</v>
      </c>
      <c r="F121" s="971"/>
      <c r="G121" s="32" t="s">
        <v>155</v>
      </c>
      <c r="H121" s="894" t="s">
        <v>295</v>
      </c>
      <c r="I121" s="894" t="s">
        <v>318</v>
      </c>
      <c r="J121" s="894" t="s">
        <v>318</v>
      </c>
      <c r="K121" s="345">
        <f t="shared" si="8"/>
        <v>900</v>
      </c>
      <c r="L121" s="345">
        <f t="shared" si="9"/>
        <v>1000</v>
      </c>
      <c r="M121" s="345">
        <f t="shared" si="10"/>
        <v>1000</v>
      </c>
    </row>
    <row r="122" spans="1:13" s="146" customFormat="1" ht="14.25">
      <c r="A122" s="391" t="str">
        <f>VLOOKUP(G122,Lookup!C:D,2,0)</f>
        <v>FEBP</v>
      </c>
      <c r="B122" s="32" t="s">
        <v>359</v>
      </c>
      <c r="C122" s="969" t="s">
        <v>222</v>
      </c>
      <c r="D122" s="32" t="s">
        <v>134</v>
      </c>
      <c r="E122" s="439" t="s">
        <v>239</v>
      </c>
      <c r="F122" s="971"/>
      <c r="G122" s="32" t="s">
        <v>134</v>
      </c>
      <c r="H122" s="894" t="s">
        <v>248</v>
      </c>
      <c r="I122" s="894" t="s">
        <v>360</v>
      </c>
      <c r="J122" s="894" t="s">
        <v>360</v>
      </c>
      <c r="K122" s="345">
        <f t="shared" si="8"/>
        <v>450</v>
      </c>
      <c r="L122" s="345">
        <f t="shared" si="9"/>
        <v>700</v>
      </c>
      <c r="M122" s="345">
        <f t="shared" si="10"/>
        <v>700</v>
      </c>
    </row>
    <row r="123" spans="1:13" s="146" customFormat="1" ht="14.25">
      <c r="A123" s="391" t="str">
        <f>VLOOKUP(G123,Lookup!C:D,2,0)</f>
        <v>FEBP</v>
      </c>
      <c r="B123" s="32" t="s">
        <v>359</v>
      </c>
      <c r="C123" s="969" t="s">
        <v>222</v>
      </c>
      <c r="D123" s="32" t="s">
        <v>159</v>
      </c>
      <c r="E123" s="439" t="s">
        <v>239</v>
      </c>
      <c r="F123" s="971"/>
      <c r="G123" s="32" t="s">
        <v>159</v>
      </c>
      <c r="H123" s="894" t="s">
        <v>248</v>
      </c>
      <c r="I123" s="894" t="s">
        <v>360</v>
      </c>
      <c r="J123" s="894" t="s">
        <v>360</v>
      </c>
      <c r="K123" s="345">
        <f t="shared" si="8"/>
        <v>450</v>
      </c>
      <c r="L123" s="345">
        <f t="shared" si="9"/>
        <v>700</v>
      </c>
      <c r="M123" s="345">
        <f t="shared" si="10"/>
        <v>700</v>
      </c>
    </row>
    <row r="124" spans="1:13" s="146" customFormat="1" ht="14.25">
      <c r="A124" s="391" t="str">
        <f>VLOOKUP(G124,Lookup!C:D,2,0)</f>
        <v>SIN/PKG</v>
      </c>
      <c r="B124" s="32" t="s">
        <v>359</v>
      </c>
      <c r="C124" s="969" t="s">
        <v>222</v>
      </c>
      <c r="D124" s="32" t="s">
        <v>142</v>
      </c>
      <c r="E124" s="439" t="s">
        <v>239</v>
      </c>
      <c r="F124" s="971"/>
      <c r="G124" s="32" t="s">
        <v>142</v>
      </c>
      <c r="H124" s="894" t="s">
        <v>248</v>
      </c>
      <c r="I124" s="894" t="s">
        <v>360</v>
      </c>
      <c r="J124" s="894" t="s">
        <v>360</v>
      </c>
      <c r="K124" s="345">
        <f t="shared" si="8"/>
        <v>450</v>
      </c>
      <c r="L124" s="345">
        <f t="shared" si="9"/>
        <v>700</v>
      </c>
      <c r="M124" s="345">
        <f t="shared" si="10"/>
        <v>700</v>
      </c>
    </row>
    <row r="125" spans="1:13" s="146" customFormat="1" ht="14.25">
      <c r="A125" s="391" t="str">
        <f>VLOOKUP(G125,Lookup!C:D,2,0)</f>
        <v>JPBP</v>
      </c>
      <c r="B125" s="32" t="s">
        <v>361</v>
      </c>
      <c r="C125" s="969" t="s">
        <v>222</v>
      </c>
      <c r="D125" s="32" t="s">
        <v>155</v>
      </c>
      <c r="E125" s="439" t="s">
        <v>239</v>
      </c>
      <c r="F125" s="971"/>
      <c r="G125" s="32" t="s">
        <v>155</v>
      </c>
      <c r="H125" s="894" t="s">
        <v>278</v>
      </c>
      <c r="I125" s="894" t="s">
        <v>318</v>
      </c>
      <c r="J125" s="894" t="s">
        <v>318</v>
      </c>
      <c r="K125" s="345">
        <f t="shared" si="8"/>
        <v>800</v>
      </c>
      <c r="L125" s="345">
        <f t="shared" si="9"/>
        <v>1000</v>
      </c>
      <c r="M125" s="345">
        <f t="shared" si="10"/>
        <v>1000</v>
      </c>
    </row>
    <row r="126" spans="1:13" s="146" customFormat="1" ht="14.25">
      <c r="A126" s="391" t="str">
        <f>VLOOKUP(G126,Lookup!C:D,2,0)</f>
        <v>FEBP</v>
      </c>
      <c r="B126" s="32" t="s">
        <v>362</v>
      </c>
      <c r="C126" s="969" t="s">
        <v>222</v>
      </c>
      <c r="D126" s="32" t="s">
        <v>178</v>
      </c>
      <c r="E126" s="439" t="s">
        <v>239</v>
      </c>
      <c r="F126" s="971"/>
      <c r="G126" s="32" t="s">
        <v>178</v>
      </c>
      <c r="H126" s="894" t="s">
        <v>246</v>
      </c>
      <c r="I126" s="894" t="s">
        <v>252</v>
      </c>
      <c r="J126" s="894" t="s">
        <v>252</v>
      </c>
      <c r="K126" s="345">
        <f t="shared" si="8"/>
        <v>225</v>
      </c>
      <c r="L126" s="345">
        <f t="shared" si="9"/>
        <v>375</v>
      </c>
      <c r="M126" s="345">
        <f t="shared" si="10"/>
        <v>375</v>
      </c>
    </row>
    <row r="127" spans="1:13" s="146" customFormat="1" ht="14.25">
      <c r="A127" s="391" t="str">
        <f>VLOOKUP(G127,Lookup!C:D,2,0)</f>
        <v>JPBP</v>
      </c>
      <c r="B127" s="32" t="s">
        <v>363</v>
      </c>
      <c r="C127" s="969" t="s">
        <v>222</v>
      </c>
      <c r="D127" s="32" t="s">
        <v>155</v>
      </c>
      <c r="E127" s="439" t="s">
        <v>239</v>
      </c>
      <c r="F127" s="971"/>
      <c r="G127" s="32" t="s">
        <v>155</v>
      </c>
      <c r="H127" s="894" t="s">
        <v>278</v>
      </c>
      <c r="I127" s="894" t="s">
        <v>318</v>
      </c>
      <c r="J127" s="894" t="s">
        <v>318</v>
      </c>
      <c r="K127" s="345">
        <f t="shared" si="8"/>
        <v>800</v>
      </c>
      <c r="L127" s="345">
        <f t="shared" si="9"/>
        <v>1000</v>
      </c>
      <c r="M127" s="345">
        <f t="shared" si="10"/>
        <v>1000</v>
      </c>
    </row>
    <row r="128" spans="1:13" s="146" customFormat="1" ht="14.25">
      <c r="A128" s="391" t="str">
        <f>VLOOKUP(G128,Lookup!C:D,2,0)</f>
        <v>JPBP</v>
      </c>
      <c r="B128" s="32" t="s">
        <v>364</v>
      </c>
      <c r="C128" s="969" t="s">
        <v>222</v>
      </c>
      <c r="D128" s="32" t="s">
        <v>155</v>
      </c>
      <c r="E128" s="439" t="s">
        <v>239</v>
      </c>
      <c r="F128" s="971"/>
      <c r="G128" s="32" t="s">
        <v>155</v>
      </c>
      <c r="H128" s="894" t="s">
        <v>252</v>
      </c>
      <c r="I128" s="894" t="s">
        <v>295</v>
      </c>
      <c r="J128" s="894" t="s">
        <v>295</v>
      </c>
      <c r="K128" s="345">
        <f t="shared" si="8"/>
        <v>750</v>
      </c>
      <c r="L128" s="345">
        <f t="shared" si="9"/>
        <v>900</v>
      </c>
      <c r="M128" s="345">
        <f t="shared" si="10"/>
        <v>900</v>
      </c>
    </row>
    <row r="129" spans="1:13" s="146" customFormat="1" ht="14.25">
      <c r="A129" s="391" t="str">
        <f>VLOOKUP(G129,Lookup!C:D,2,0)</f>
        <v>SIN/PKG</v>
      </c>
      <c r="B129" s="32" t="s">
        <v>365</v>
      </c>
      <c r="C129" s="969" t="s">
        <v>222</v>
      </c>
      <c r="D129" s="32" t="s">
        <v>138</v>
      </c>
      <c r="E129" s="439" t="s">
        <v>239</v>
      </c>
      <c r="F129" s="971"/>
      <c r="G129" s="32" t="s">
        <v>138</v>
      </c>
      <c r="H129" s="894" t="s">
        <v>366</v>
      </c>
      <c r="I129" s="894" t="s">
        <v>367</v>
      </c>
      <c r="J129" s="894" t="s">
        <v>367</v>
      </c>
      <c r="K129" s="345">
        <f t="shared" si="8"/>
        <v>825</v>
      </c>
      <c r="L129" s="345">
        <f t="shared" si="9"/>
        <v>1475</v>
      </c>
      <c r="M129" s="345">
        <f t="shared" si="10"/>
        <v>1475</v>
      </c>
    </row>
    <row r="130" spans="1:13" s="146" customFormat="1" ht="14.25">
      <c r="A130" s="391" t="str">
        <f>VLOOKUP(G130,Lookup!C:D,2,0)</f>
        <v>SIN/PKG</v>
      </c>
      <c r="B130" s="32" t="s">
        <v>365</v>
      </c>
      <c r="C130" s="969" t="s">
        <v>222</v>
      </c>
      <c r="D130" s="32" t="s">
        <v>142</v>
      </c>
      <c r="E130" s="439" t="s">
        <v>239</v>
      </c>
      <c r="F130" s="971"/>
      <c r="G130" s="32" t="s">
        <v>142</v>
      </c>
      <c r="H130" s="894" t="s">
        <v>334</v>
      </c>
      <c r="I130" s="894" t="s">
        <v>335</v>
      </c>
      <c r="J130" s="894" t="s">
        <v>335</v>
      </c>
      <c r="K130" s="345">
        <f t="shared" si="8"/>
        <v>875</v>
      </c>
      <c r="L130" s="345">
        <f t="shared" si="9"/>
        <v>1525</v>
      </c>
      <c r="M130" s="345">
        <f t="shared" si="10"/>
        <v>1525</v>
      </c>
    </row>
    <row r="131" spans="1:13" s="146" customFormat="1" ht="14.25">
      <c r="A131" s="391" t="str">
        <f>VLOOKUP(G131,Lookup!C:D,2,0)</f>
        <v>JPBP</v>
      </c>
      <c r="B131" s="32" t="s">
        <v>368</v>
      </c>
      <c r="C131" s="969" t="s">
        <v>222</v>
      </c>
      <c r="D131" s="32" t="s">
        <v>155</v>
      </c>
      <c r="E131" s="439" t="s">
        <v>239</v>
      </c>
      <c r="F131" s="971"/>
      <c r="G131" s="32" t="s">
        <v>155</v>
      </c>
      <c r="H131" s="894" t="s">
        <v>240</v>
      </c>
      <c r="I131" s="894" t="s">
        <v>334</v>
      </c>
      <c r="J131" s="894" t="s">
        <v>334</v>
      </c>
      <c r="K131" s="345">
        <f t="shared" si="8"/>
        <v>950</v>
      </c>
      <c r="L131" s="345">
        <f t="shared" si="9"/>
        <v>1250</v>
      </c>
      <c r="M131" s="345">
        <f t="shared" si="10"/>
        <v>1250</v>
      </c>
    </row>
    <row r="132" spans="1:13" s="146" customFormat="1" ht="14.25">
      <c r="A132" s="391" t="str">
        <f>VLOOKUP(G132,Lookup!C:D,2,0)</f>
        <v>JPBP</v>
      </c>
      <c r="B132" s="32" t="s">
        <v>369</v>
      </c>
      <c r="C132" s="969" t="s">
        <v>222</v>
      </c>
      <c r="D132" s="32" t="s">
        <v>159</v>
      </c>
      <c r="E132" s="439" t="s">
        <v>239</v>
      </c>
      <c r="F132" s="971"/>
      <c r="G132" s="32" t="s">
        <v>158</v>
      </c>
      <c r="H132" s="894" t="s">
        <v>334</v>
      </c>
      <c r="I132" s="894" t="s">
        <v>370</v>
      </c>
      <c r="J132" s="894" t="s">
        <v>370</v>
      </c>
      <c r="K132" s="345">
        <f t="shared" si="8"/>
        <v>1250</v>
      </c>
      <c r="L132" s="345">
        <f t="shared" si="9"/>
        <v>1600</v>
      </c>
      <c r="M132" s="345">
        <f t="shared" si="10"/>
        <v>1600</v>
      </c>
    </row>
    <row r="133" spans="1:13" s="146" customFormat="1" ht="14.25">
      <c r="A133" s="391" t="str">
        <f>VLOOKUP(G133,Lookup!C:D,2,0)</f>
        <v>FEBP</v>
      </c>
      <c r="B133" s="32" t="s">
        <v>371</v>
      </c>
      <c r="C133" s="969" t="s">
        <v>222</v>
      </c>
      <c r="D133" s="32" t="s">
        <v>141</v>
      </c>
      <c r="E133" s="439" t="s">
        <v>239</v>
      </c>
      <c r="F133" s="971"/>
      <c r="G133" s="32" t="s">
        <v>141</v>
      </c>
      <c r="H133" s="894" t="s">
        <v>244</v>
      </c>
      <c r="I133" s="894" t="s">
        <v>353</v>
      </c>
      <c r="J133" s="894" t="s">
        <v>353</v>
      </c>
      <c r="K133" s="345">
        <f t="shared" si="8"/>
        <v>325</v>
      </c>
      <c r="L133" s="345">
        <f t="shared" si="9"/>
        <v>550</v>
      </c>
      <c r="M133" s="345">
        <f t="shared" si="10"/>
        <v>550</v>
      </c>
    </row>
    <row r="134" spans="1:13" s="146" customFormat="1" ht="14.25">
      <c r="A134" s="391" t="str">
        <f>VLOOKUP(G134,Lookup!C:D,2,0)</f>
        <v>FEBP</v>
      </c>
      <c r="B134" s="32" t="s">
        <v>372</v>
      </c>
      <c r="C134" s="969" t="s">
        <v>222</v>
      </c>
      <c r="D134" s="32" t="s">
        <v>170</v>
      </c>
      <c r="E134" s="439" t="s">
        <v>239</v>
      </c>
      <c r="F134" s="971"/>
      <c r="G134" s="32" t="s">
        <v>187</v>
      </c>
      <c r="H134" s="894" t="s">
        <v>297</v>
      </c>
      <c r="I134" s="894" t="s">
        <v>252</v>
      </c>
      <c r="J134" s="894" t="s">
        <v>252</v>
      </c>
      <c r="K134" s="345">
        <f t="shared" si="8"/>
        <v>275</v>
      </c>
      <c r="L134" s="345">
        <f t="shared" si="9"/>
        <v>375</v>
      </c>
      <c r="M134" s="345">
        <f t="shared" si="10"/>
        <v>375</v>
      </c>
    </row>
    <row r="135" spans="1:13" s="146" customFormat="1" ht="14.25">
      <c r="A135" s="391" t="str">
        <f>VLOOKUP(G135,Lookup!C:D,2,0)</f>
        <v>FEBP</v>
      </c>
      <c r="B135" s="32" t="s">
        <v>373</v>
      </c>
      <c r="C135" s="969" t="s">
        <v>222</v>
      </c>
      <c r="D135" s="32" t="s">
        <v>168</v>
      </c>
      <c r="E135" s="439" t="s">
        <v>239</v>
      </c>
      <c r="F135" s="971"/>
      <c r="G135" s="32" t="s">
        <v>168</v>
      </c>
      <c r="H135" s="894" t="s">
        <v>243</v>
      </c>
      <c r="I135" s="894" t="s">
        <v>272</v>
      </c>
      <c r="J135" s="894" t="s">
        <v>272</v>
      </c>
      <c r="K135" s="345">
        <f t="shared" si="8"/>
        <v>200</v>
      </c>
      <c r="L135" s="345">
        <f t="shared" si="9"/>
        <v>300</v>
      </c>
      <c r="M135" s="345">
        <f t="shared" si="10"/>
        <v>300</v>
      </c>
    </row>
    <row r="136" spans="1:13" s="146" customFormat="1" ht="14.25">
      <c r="A136" s="391" t="str">
        <f>VLOOKUP(G136,Lookup!C:D,2,0)</f>
        <v>FEBP</v>
      </c>
      <c r="B136" s="32" t="s">
        <v>136</v>
      </c>
      <c r="C136" s="969" t="s">
        <v>222</v>
      </c>
      <c r="D136" s="32" t="s">
        <v>146</v>
      </c>
      <c r="E136" s="439" t="s">
        <v>239</v>
      </c>
      <c r="F136" s="971"/>
      <c r="G136" s="32" t="s">
        <v>146</v>
      </c>
      <c r="H136" s="894" t="s">
        <v>251</v>
      </c>
      <c r="I136" s="894" t="s">
        <v>270</v>
      </c>
      <c r="J136" s="894" t="s">
        <v>270</v>
      </c>
      <c r="K136" s="345">
        <f t="shared" si="8"/>
        <v>250</v>
      </c>
      <c r="L136" s="345">
        <f t="shared" si="9"/>
        <v>350</v>
      </c>
      <c r="M136" s="345">
        <f t="shared" si="10"/>
        <v>350</v>
      </c>
    </row>
    <row r="137" spans="1:13" s="146" customFormat="1" ht="14.25">
      <c r="A137" s="391" t="str">
        <f>VLOOKUP(G137,Lookup!C:D,2,0)</f>
        <v>SIN/PKG</v>
      </c>
      <c r="B137" s="32" t="s">
        <v>136</v>
      </c>
      <c r="C137" s="969" t="s">
        <v>222</v>
      </c>
      <c r="D137" s="32" t="s">
        <v>138</v>
      </c>
      <c r="E137" s="439" t="s">
        <v>239</v>
      </c>
      <c r="F137" s="971"/>
      <c r="G137" s="32" t="s">
        <v>138</v>
      </c>
      <c r="H137" s="894" t="s">
        <v>374</v>
      </c>
      <c r="I137" s="894" t="s">
        <v>374</v>
      </c>
      <c r="J137" s="894" t="s">
        <v>374</v>
      </c>
      <c r="K137" s="345">
        <f t="shared" si="8"/>
        <v>100</v>
      </c>
      <c r="L137" s="345">
        <f t="shared" si="9"/>
        <v>100</v>
      </c>
      <c r="M137" s="345">
        <f t="shared" si="10"/>
        <v>100</v>
      </c>
    </row>
    <row r="138" spans="1:13" s="146" customFormat="1" ht="14.25">
      <c r="A138" s="391" t="str">
        <f>VLOOKUP(G138,Lookup!C:D,2,0)</f>
        <v>FEBP</v>
      </c>
      <c r="B138" s="32" t="s">
        <v>375</v>
      </c>
      <c r="C138" s="969" t="s">
        <v>222</v>
      </c>
      <c r="D138" s="32" t="s">
        <v>141</v>
      </c>
      <c r="E138" s="439" t="s">
        <v>239</v>
      </c>
      <c r="F138" s="971"/>
      <c r="G138" s="32" t="s">
        <v>141</v>
      </c>
      <c r="H138" s="894" t="s">
        <v>243</v>
      </c>
      <c r="I138" s="894" t="s">
        <v>272</v>
      </c>
      <c r="J138" s="894" t="s">
        <v>272</v>
      </c>
      <c r="K138" s="345">
        <f t="shared" si="8"/>
        <v>200</v>
      </c>
      <c r="L138" s="345">
        <f t="shared" si="9"/>
        <v>300</v>
      </c>
      <c r="M138" s="345">
        <f t="shared" si="10"/>
        <v>300</v>
      </c>
    </row>
    <row r="139" spans="1:13" s="146" customFormat="1" ht="14.25">
      <c r="A139" s="391" t="str">
        <f>VLOOKUP(G139,Lookup!C:D,2,0)</f>
        <v>FEBP</v>
      </c>
      <c r="B139" s="32" t="s">
        <v>375</v>
      </c>
      <c r="C139" s="969" t="s">
        <v>222</v>
      </c>
      <c r="D139" s="32" t="s">
        <v>137</v>
      </c>
      <c r="E139" s="439" t="s">
        <v>239</v>
      </c>
      <c r="F139" s="971"/>
      <c r="G139" s="32" t="s">
        <v>137</v>
      </c>
      <c r="H139" s="894" t="s">
        <v>243</v>
      </c>
      <c r="I139" s="894" t="s">
        <v>272</v>
      </c>
      <c r="J139" s="894" t="s">
        <v>272</v>
      </c>
      <c r="K139" s="345">
        <f t="shared" si="8"/>
        <v>200</v>
      </c>
      <c r="L139" s="345">
        <f t="shared" si="9"/>
        <v>300</v>
      </c>
      <c r="M139" s="345">
        <f t="shared" si="10"/>
        <v>300</v>
      </c>
    </row>
    <row r="140" spans="1:13" s="146" customFormat="1" ht="14.25">
      <c r="A140" s="391" t="str">
        <f>VLOOKUP(G140,Lookup!C:D,2,0)</f>
        <v>JPBP</v>
      </c>
      <c r="B140" s="32" t="s">
        <v>376</v>
      </c>
      <c r="C140" s="969" t="s">
        <v>222</v>
      </c>
      <c r="D140" s="32" t="s">
        <v>129</v>
      </c>
      <c r="E140" s="439" t="s">
        <v>239</v>
      </c>
      <c r="F140" s="971"/>
      <c r="G140" s="32" t="s">
        <v>158</v>
      </c>
      <c r="H140" s="894" t="s">
        <v>278</v>
      </c>
      <c r="I140" s="894" t="s">
        <v>249</v>
      </c>
      <c r="J140" s="894" t="s">
        <v>249</v>
      </c>
      <c r="K140" s="345">
        <f t="shared" si="8"/>
        <v>800</v>
      </c>
      <c r="L140" s="345">
        <f t="shared" si="9"/>
        <v>1100</v>
      </c>
      <c r="M140" s="345">
        <f t="shared" si="10"/>
        <v>1100</v>
      </c>
    </row>
    <row r="141" spans="1:13" s="146" customFormat="1" ht="14.25">
      <c r="A141" s="391" t="str">
        <f>VLOOKUP(G141,Lookup!C:D,2,0)</f>
        <v>JPBP</v>
      </c>
      <c r="B141" s="32" t="s">
        <v>376</v>
      </c>
      <c r="C141" s="969" t="s">
        <v>222</v>
      </c>
      <c r="D141" s="32" t="s">
        <v>238</v>
      </c>
      <c r="E141" s="439" t="s">
        <v>239</v>
      </c>
      <c r="F141" s="971"/>
      <c r="G141" s="32" t="s">
        <v>155</v>
      </c>
      <c r="H141" s="894" t="s">
        <v>249</v>
      </c>
      <c r="I141" s="894" t="s">
        <v>370</v>
      </c>
      <c r="J141" s="894" t="s">
        <v>370</v>
      </c>
      <c r="K141" s="345">
        <f t="shared" si="8"/>
        <v>1100</v>
      </c>
      <c r="L141" s="345">
        <f t="shared" si="9"/>
        <v>1600</v>
      </c>
      <c r="M141" s="345">
        <f t="shared" si="10"/>
        <v>1600</v>
      </c>
    </row>
    <row r="142" spans="1:13" s="146" customFormat="1" ht="14.25">
      <c r="A142" s="391" t="str">
        <f>VLOOKUP(G142,Lookup!C:D,2,0)</f>
        <v>JPBP</v>
      </c>
      <c r="B142" s="32" t="s">
        <v>377</v>
      </c>
      <c r="C142" s="969" t="s">
        <v>222</v>
      </c>
      <c r="D142" s="32" t="s">
        <v>155</v>
      </c>
      <c r="E142" s="439" t="s">
        <v>239</v>
      </c>
      <c r="F142" s="971"/>
      <c r="G142" s="32" t="s">
        <v>155</v>
      </c>
      <c r="H142" s="894" t="s">
        <v>246</v>
      </c>
      <c r="I142" s="894" t="s">
        <v>244</v>
      </c>
      <c r="J142" s="894" t="s">
        <v>244</v>
      </c>
      <c r="K142" s="345">
        <f t="shared" si="8"/>
        <v>600</v>
      </c>
      <c r="L142" s="345">
        <f t="shared" si="9"/>
        <v>700</v>
      </c>
      <c r="M142" s="345">
        <f t="shared" si="10"/>
        <v>700</v>
      </c>
    </row>
    <row r="143" spans="1:13" s="146" customFormat="1" ht="14.25">
      <c r="A143" s="391" t="str">
        <f>VLOOKUP(G143,Lookup!C:D,2,0)</f>
        <v>SIN/PKG</v>
      </c>
      <c r="B143" s="32" t="s">
        <v>378</v>
      </c>
      <c r="C143" s="969" t="s">
        <v>222</v>
      </c>
      <c r="D143" s="32" t="s">
        <v>142</v>
      </c>
      <c r="E143" s="439" t="s">
        <v>239</v>
      </c>
      <c r="F143" s="971"/>
      <c r="G143" s="32" t="s">
        <v>142</v>
      </c>
      <c r="H143" s="894" t="s">
        <v>278</v>
      </c>
      <c r="I143" s="894" t="s">
        <v>312</v>
      </c>
      <c r="J143" s="894" t="s">
        <v>312</v>
      </c>
      <c r="K143" s="345">
        <f t="shared" si="8"/>
        <v>425</v>
      </c>
      <c r="L143" s="345">
        <f t="shared" si="9"/>
        <v>650</v>
      </c>
      <c r="M143" s="345">
        <f t="shared" si="10"/>
        <v>650</v>
      </c>
    </row>
    <row r="144" spans="1:13" s="146" customFormat="1" ht="14.25">
      <c r="A144" s="391" t="str">
        <f>VLOOKUP(G144,Lookup!C:D,2,0)</f>
        <v>SIN/PKG</v>
      </c>
      <c r="B144" s="32" t="s">
        <v>379</v>
      </c>
      <c r="C144" s="969" t="s">
        <v>222</v>
      </c>
      <c r="D144" s="32" t="s">
        <v>142</v>
      </c>
      <c r="E144" s="439" t="s">
        <v>239</v>
      </c>
      <c r="F144" s="971"/>
      <c r="G144" s="32" t="s">
        <v>142</v>
      </c>
      <c r="H144" s="894" t="s">
        <v>278</v>
      </c>
      <c r="I144" s="894" t="s">
        <v>304</v>
      </c>
      <c r="J144" s="894" t="s">
        <v>304</v>
      </c>
      <c r="K144" s="345">
        <f t="shared" si="8"/>
        <v>425</v>
      </c>
      <c r="L144" s="345">
        <f t="shared" si="9"/>
        <v>675</v>
      </c>
      <c r="M144" s="345">
        <f t="shared" si="10"/>
        <v>675</v>
      </c>
    </row>
    <row r="145" spans="1:13" s="146" customFormat="1" ht="14.25">
      <c r="A145" s="391" t="str">
        <f>VLOOKUP(G145,Lookup!C:D,2,0)</f>
        <v>SIN/PKG</v>
      </c>
      <c r="B145" s="32" t="s">
        <v>380</v>
      </c>
      <c r="C145" s="969" t="s">
        <v>222</v>
      </c>
      <c r="D145" s="32" t="s">
        <v>142</v>
      </c>
      <c r="E145" s="439" t="s">
        <v>239</v>
      </c>
      <c r="F145" s="971"/>
      <c r="G145" s="32" t="s">
        <v>142</v>
      </c>
      <c r="H145" s="894" t="s">
        <v>248</v>
      </c>
      <c r="I145" s="894" t="s">
        <v>249</v>
      </c>
      <c r="J145" s="894" t="s">
        <v>249</v>
      </c>
      <c r="K145" s="345">
        <f t="shared" si="8"/>
        <v>450</v>
      </c>
      <c r="L145" s="345">
        <f t="shared" si="9"/>
        <v>725</v>
      </c>
      <c r="M145" s="345">
        <f t="shared" si="10"/>
        <v>725</v>
      </c>
    </row>
    <row r="146" spans="1:13" s="146" customFormat="1" ht="14.25">
      <c r="A146" s="391" t="str">
        <f>VLOOKUP(G146,Lookup!C:D,2,0)</f>
        <v>FEBP</v>
      </c>
      <c r="B146" s="32" t="s">
        <v>381</v>
      </c>
      <c r="C146" s="969" t="s">
        <v>222</v>
      </c>
      <c r="D146" s="32" t="s">
        <v>146</v>
      </c>
      <c r="E146" s="439" t="s">
        <v>239</v>
      </c>
      <c r="F146" s="971"/>
      <c r="G146" s="32" t="s">
        <v>190</v>
      </c>
      <c r="H146" s="894" t="s">
        <v>255</v>
      </c>
      <c r="I146" s="894" t="s">
        <v>251</v>
      </c>
      <c r="J146" s="894" t="s">
        <v>251</v>
      </c>
      <c r="K146" s="345">
        <f t="shared" si="8"/>
        <v>150</v>
      </c>
      <c r="L146" s="345">
        <f t="shared" si="9"/>
        <v>250</v>
      </c>
      <c r="M146" s="345">
        <f t="shared" si="10"/>
        <v>250</v>
      </c>
    </row>
    <row r="147" spans="1:13" s="146" customFormat="1" ht="14.25">
      <c r="A147" s="391" t="str">
        <f>VLOOKUP(G147,Lookup!C:D,2,0)</f>
        <v>SIN/PKG</v>
      </c>
      <c r="B147" s="32" t="s">
        <v>382</v>
      </c>
      <c r="C147" s="969" t="s">
        <v>222</v>
      </c>
      <c r="D147" s="32" t="s">
        <v>160</v>
      </c>
      <c r="E147" s="439" t="s">
        <v>239</v>
      </c>
      <c r="F147" s="971"/>
      <c r="G147" s="32" t="s">
        <v>160</v>
      </c>
      <c r="H147" s="894" t="s">
        <v>246</v>
      </c>
      <c r="I147" s="894" t="s">
        <v>244</v>
      </c>
      <c r="J147" s="894" t="s">
        <v>244</v>
      </c>
      <c r="K147" s="345">
        <f t="shared" si="8"/>
        <v>225</v>
      </c>
      <c r="L147" s="345">
        <f t="shared" si="9"/>
        <v>325</v>
      </c>
      <c r="M147" s="345">
        <f t="shared" si="10"/>
        <v>325</v>
      </c>
    </row>
    <row r="148" spans="1:13" s="146" customFormat="1" ht="14.25">
      <c r="A148" s="391" t="str">
        <f>VLOOKUP(G148,Lookup!C:D,2,0)</f>
        <v>SIN/PKG</v>
      </c>
      <c r="B148" s="32" t="s">
        <v>383</v>
      </c>
      <c r="C148" s="969" t="s">
        <v>222</v>
      </c>
      <c r="D148" s="32" t="s">
        <v>142</v>
      </c>
      <c r="E148" s="439" t="s">
        <v>239</v>
      </c>
      <c r="F148" s="971"/>
      <c r="G148" s="32" t="s">
        <v>142</v>
      </c>
      <c r="H148" s="894" t="s">
        <v>384</v>
      </c>
      <c r="I148" s="894" t="s">
        <v>385</v>
      </c>
      <c r="J148" s="894" t="s">
        <v>385</v>
      </c>
      <c r="K148" s="345">
        <f t="shared" si="8"/>
        <v>585</v>
      </c>
      <c r="L148" s="345">
        <f t="shared" si="9"/>
        <v>795</v>
      </c>
      <c r="M148" s="345">
        <f t="shared" si="10"/>
        <v>795</v>
      </c>
    </row>
    <row r="149" spans="1:13" s="146" customFormat="1" ht="14.25">
      <c r="A149" s="391" t="str">
        <f>VLOOKUP(G149,Lookup!C:D,2,0)</f>
        <v>SIN/PKG</v>
      </c>
      <c r="B149" s="32" t="s">
        <v>386</v>
      </c>
      <c r="C149" s="969" t="s">
        <v>222</v>
      </c>
      <c r="D149" s="32" t="s">
        <v>160</v>
      </c>
      <c r="E149" s="439" t="s">
        <v>239</v>
      </c>
      <c r="F149" s="971"/>
      <c r="G149" s="439" t="s">
        <v>160</v>
      </c>
      <c r="H149" s="894" t="s">
        <v>251</v>
      </c>
      <c r="I149" s="894" t="s">
        <v>270</v>
      </c>
      <c r="J149" s="894" t="s">
        <v>270</v>
      </c>
      <c r="K149" s="345">
        <f t="shared" si="8"/>
        <v>250</v>
      </c>
      <c r="L149" s="345">
        <f t="shared" si="9"/>
        <v>350</v>
      </c>
      <c r="M149" s="345">
        <f t="shared" si="10"/>
        <v>350</v>
      </c>
    </row>
    <row r="150" spans="1:13" s="146" customFormat="1" ht="14.25">
      <c r="A150" s="391" t="str">
        <f>VLOOKUP(G150,Lookup!C:D,2,0)</f>
        <v>SIN/PKG</v>
      </c>
      <c r="B150" s="32" t="s">
        <v>387</v>
      </c>
      <c r="C150" s="969" t="s">
        <v>222</v>
      </c>
      <c r="D150" s="32" t="s">
        <v>142</v>
      </c>
      <c r="E150" s="439" t="s">
        <v>239</v>
      </c>
      <c r="F150" s="971"/>
      <c r="G150" s="32" t="s">
        <v>142</v>
      </c>
      <c r="H150" s="894" t="s">
        <v>304</v>
      </c>
      <c r="I150" s="894" t="s">
        <v>285</v>
      </c>
      <c r="J150" s="894" t="s">
        <v>285</v>
      </c>
      <c r="K150" s="345">
        <f t="shared" si="8"/>
        <v>675</v>
      </c>
      <c r="L150" s="345">
        <f t="shared" si="9"/>
        <v>975</v>
      </c>
      <c r="M150" s="345">
        <f t="shared" si="10"/>
        <v>975</v>
      </c>
    </row>
    <row r="151" spans="1:13" s="146" customFormat="1" ht="14.25">
      <c r="A151" s="391" t="str">
        <f>VLOOKUP(G151,Lookup!C:D,2,0)</f>
        <v>FEBP</v>
      </c>
      <c r="B151" s="32" t="s">
        <v>388</v>
      </c>
      <c r="C151" s="969" t="s">
        <v>222</v>
      </c>
      <c r="D151" s="32" t="s">
        <v>145</v>
      </c>
      <c r="E151" s="439" t="s">
        <v>239</v>
      </c>
      <c r="F151" s="971"/>
      <c r="G151" s="32" t="s">
        <v>145</v>
      </c>
      <c r="H151" s="894" t="s">
        <v>246</v>
      </c>
      <c r="I151" s="894" t="s">
        <v>252</v>
      </c>
      <c r="J151" s="894" t="s">
        <v>252</v>
      </c>
      <c r="K151" s="345">
        <f t="shared" si="8"/>
        <v>225</v>
      </c>
      <c r="L151" s="345">
        <f t="shared" si="9"/>
        <v>375</v>
      </c>
      <c r="M151" s="345">
        <f t="shared" si="10"/>
        <v>375</v>
      </c>
    </row>
    <row r="152" spans="1:13" s="146" customFormat="1" ht="14.25">
      <c r="A152" s="391" t="str">
        <f>VLOOKUP(G152,Lookup!C:D,2,0)</f>
        <v>FEBP</v>
      </c>
      <c r="B152" s="32" t="s">
        <v>389</v>
      </c>
      <c r="C152" s="969" t="s">
        <v>222</v>
      </c>
      <c r="D152" s="32" t="s">
        <v>146</v>
      </c>
      <c r="E152" s="439" t="s">
        <v>239</v>
      </c>
      <c r="F152" s="971"/>
      <c r="G152" s="32" t="s">
        <v>146</v>
      </c>
      <c r="H152" s="894" t="s">
        <v>248</v>
      </c>
      <c r="I152" s="894" t="s">
        <v>249</v>
      </c>
      <c r="J152" s="894" t="s">
        <v>249</v>
      </c>
      <c r="K152" s="345">
        <f t="shared" si="8"/>
        <v>450</v>
      </c>
      <c r="L152" s="345">
        <f t="shared" si="9"/>
        <v>725</v>
      </c>
      <c r="M152" s="345">
        <f t="shared" si="10"/>
        <v>725</v>
      </c>
    </row>
    <row r="153" spans="1:13" s="146" customFormat="1" ht="14.25">
      <c r="A153" s="391" t="str">
        <f>VLOOKUP(G153,Lookup!C:D,2,0)</f>
        <v>FEBP</v>
      </c>
      <c r="B153" s="32" t="s">
        <v>390</v>
      </c>
      <c r="C153" s="969" t="s">
        <v>222</v>
      </c>
      <c r="D153" s="32" t="s">
        <v>185</v>
      </c>
      <c r="E153" s="439" t="s">
        <v>239</v>
      </c>
      <c r="F153" s="971"/>
      <c r="G153" s="32" t="s">
        <v>185</v>
      </c>
      <c r="H153" s="894" t="s">
        <v>244</v>
      </c>
      <c r="I153" s="894" t="s">
        <v>295</v>
      </c>
      <c r="J153" s="894" t="s">
        <v>295</v>
      </c>
      <c r="K153" s="345">
        <f t="shared" si="8"/>
        <v>325</v>
      </c>
      <c r="L153" s="345">
        <f t="shared" si="9"/>
        <v>525</v>
      </c>
      <c r="M153" s="345">
        <f t="shared" si="10"/>
        <v>525</v>
      </c>
    </row>
    <row r="154" spans="1:13" s="146" customFormat="1" ht="14.25">
      <c r="A154" s="391" t="str">
        <f>VLOOKUP(G154,Lookup!C:D,2,0)</f>
        <v>SIN/PKG</v>
      </c>
      <c r="B154" s="32" t="s">
        <v>391</v>
      </c>
      <c r="C154" s="969" t="s">
        <v>222</v>
      </c>
      <c r="D154" s="32" t="s">
        <v>142</v>
      </c>
      <c r="E154" s="439" t="s">
        <v>239</v>
      </c>
      <c r="F154" s="971"/>
      <c r="G154" s="32" t="s">
        <v>142</v>
      </c>
      <c r="H154" s="894" t="s">
        <v>240</v>
      </c>
      <c r="I154" s="894" t="s">
        <v>392</v>
      </c>
      <c r="J154" s="894" t="s">
        <v>392</v>
      </c>
      <c r="K154" s="345">
        <f t="shared" si="8"/>
        <v>575</v>
      </c>
      <c r="L154" s="345">
        <f t="shared" si="9"/>
        <v>1025</v>
      </c>
      <c r="M154" s="345">
        <f t="shared" si="10"/>
        <v>1025</v>
      </c>
    </row>
    <row r="155" spans="1:13" s="146" customFormat="1" ht="14.25">
      <c r="A155" s="391" t="str">
        <f>VLOOKUP(G155,Lookup!C:D,2,0)</f>
        <v>FEBP</v>
      </c>
      <c r="B155" s="32" t="s">
        <v>393</v>
      </c>
      <c r="C155" s="969" t="s">
        <v>222</v>
      </c>
      <c r="D155" s="32" t="s">
        <v>140</v>
      </c>
      <c r="E155" s="439" t="s">
        <v>239</v>
      </c>
      <c r="F155" s="971"/>
      <c r="G155" s="32" t="s">
        <v>140</v>
      </c>
      <c r="H155" s="894" t="s">
        <v>289</v>
      </c>
      <c r="I155" s="894" t="s">
        <v>251</v>
      </c>
      <c r="J155" s="894" t="s">
        <v>251</v>
      </c>
      <c r="K155" s="345">
        <f t="shared" si="8"/>
        <v>175</v>
      </c>
      <c r="L155" s="345">
        <f t="shared" si="9"/>
        <v>250</v>
      </c>
      <c r="M155" s="345">
        <f t="shared" si="10"/>
        <v>250</v>
      </c>
    </row>
    <row r="156" spans="1:13" ht="14.25">
      <c r="A156" s="391" t="str">
        <f>VLOOKUP(G156,Lookup!C:D,2,0)</f>
        <v>FEBP</v>
      </c>
      <c r="B156" s="32" t="s">
        <v>394</v>
      </c>
      <c r="C156" s="969" t="s">
        <v>222</v>
      </c>
      <c r="D156" s="32" t="s">
        <v>141</v>
      </c>
      <c r="E156" s="439" t="s">
        <v>239</v>
      </c>
      <c r="F156" s="973"/>
      <c r="G156" s="32" t="s">
        <v>141</v>
      </c>
      <c r="H156" s="894" t="s">
        <v>243</v>
      </c>
      <c r="I156" s="894" t="s">
        <v>244</v>
      </c>
      <c r="J156" s="894" t="s">
        <v>244</v>
      </c>
      <c r="K156" s="345">
        <f t="shared" si="8"/>
        <v>200</v>
      </c>
      <c r="L156" s="345">
        <f t="shared" si="9"/>
        <v>325</v>
      </c>
      <c r="M156" s="345">
        <f t="shared" si="10"/>
        <v>325</v>
      </c>
    </row>
    <row r="157" spans="1:13" ht="14.25">
      <c r="A157" s="391" t="str">
        <f>VLOOKUP(G157,Lookup!C:D,2,0)</f>
        <v>JPBP</v>
      </c>
      <c r="B157" s="32" t="s">
        <v>395</v>
      </c>
      <c r="C157" s="969" t="s">
        <v>222</v>
      </c>
      <c r="D157" s="32" t="s">
        <v>155</v>
      </c>
      <c r="E157" s="439" t="s">
        <v>239</v>
      </c>
      <c r="F157" s="973"/>
      <c r="G157" s="32" t="s">
        <v>155</v>
      </c>
      <c r="H157" s="894" t="s">
        <v>295</v>
      </c>
      <c r="I157" s="894" t="s">
        <v>318</v>
      </c>
      <c r="J157" s="894" t="s">
        <v>318</v>
      </c>
      <c r="K157" s="345">
        <f t="shared" ref="K157:K215" si="11">IF(H157&lt;&gt;"",VLOOKUP($A157,$B$3:$E$12,2,FALSE)+H157,"--")</f>
        <v>900</v>
      </c>
      <c r="L157" s="345">
        <f t="shared" ref="L157:L215" si="12">IF(I157&lt;&gt;"",VLOOKUP($A157,$B$3:$E$11,3,FALSE)+I157,"--")</f>
        <v>1000</v>
      </c>
      <c r="M157" s="345">
        <f t="shared" ref="M157:M215" si="13">IF(J157&lt;&gt;"",VLOOKUP($A157,$B$3:$E$11,4,FALSE)+J157,"--")</f>
        <v>1000</v>
      </c>
    </row>
    <row r="158" spans="1:13" ht="14.25">
      <c r="A158" s="391" t="str">
        <f>VLOOKUP(G158,Lookup!C:D,2,0)</f>
        <v>SIN/PKG</v>
      </c>
      <c r="B158" s="32" t="s">
        <v>396</v>
      </c>
      <c r="C158" s="969" t="s">
        <v>222</v>
      </c>
      <c r="D158" s="32" t="s">
        <v>138</v>
      </c>
      <c r="E158" s="439" t="s">
        <v>239</v>
      </c>
      <c r="F158" s="973"/>
      <c r="G158" s="439" t="s">
        <v>138</v>
      </c>
      <c r="H158" s="894" t="s">
        <v>334</v>
      </c>
      <c r="I158" s="894" t="s">
        <v>282</v>
      </c>
      <c r="J158" s="894" t="s">
        <v>282</v>
      </c>
      <c r="K158" s="345">
        <f t="shared" si="11"/>
        <v>875</v>
      </c>
      <c r="L158" s="345">
        <f t="shared" si="12"/>
        <v>1575</v>
      </c>
      <c r="M158" s="345">
        <f t="shared" si="13"/>
        <v>1575</v>
      </c>
    </row>
    <row r="159" spans="1:13" ht="14.25">
      <c r="A159" s="391" t="str">
        <f>VLOOKUP(G159,Lookup!C:D,2,0)</f>
        <v>FEBP</v>
      </c>
      <c r="B159" s="32" t="s">
        <v>397</v>
      </c>
      <c r="C159" s="969" t="s">
        <v>222</v>
      </c>
      <c r="D159" s="32" t="s">
        <v>170</v>
      </c>
      <c r="E159" s="439" t="s">
        <v>239</v>
      </c>
      <c r="F159" s="973"/>
      <c r="G159" s="32" t="s">
        <v>187</v>
      </c>
      <c r="H159" s="894" t="s">
        <v>297</v>
      </c>
      <c r="I159" s="894" t="s">
        <v>252</v>
      </c>
      <c r="J159" s="894" t="s">
        <v>252</v>
      </c>
      <c r="K159" s="345">
        <f t="shared" si="11"/>
        <v>275</v>
      </c>
      <c r="L159" s="345">
        <f t="shared" si="12"/>
        <v>375</v>
      </c>
      <c r="M159" s="345">
        <f t="shared" si="13"/>
        <v>375</v>
      </c>
    </row>
    <row r="160" spans="1:13" ht="14.25">
      <c r="A160" s="391" t="str">
        <f>VLOOKUP(G160,Lookup!C:D,2,0)</f>
        <v>FEBP</v>
      </c>
      <c r="B160" s="32" t="s">
        <v>398</v>
      </c>
      <c r="C160" s="969" t="s">
        <v>222</v>
      </c>
      <c r="D160" s="32" t="s">
        <v>170</v>
      </c>
      <c r="E160" s="439" t="s">
        <v>239</v>
      </c>
      <c r="F160" s="973"/>
      <c r="G160" s="32" t="s">
        <v>177</v>
      </c>
      <c r="H160" s="894" t="s">
        <v>251</v>
      </c>
      <c r="I160" s="894" t="s">
        <v>252</v>
      </c>
      <c r="J160" s="894" t="s">
        <v>252</v>
      </c>
      <c r="K160" s="345">
        <f t="shared" si="11"/>
        <v>250</v>
      </c>
      <c r="L160" s="345">
        <f t="shared" si="12"/>
        <v>375</v>
      </c>
      <c r="M160" s="345">
        <f t="shared" si="13"/>
        <v>375</v>
      </c>
    </row>
    <row r="161" spans="1:13" ht="14.25">
      <c r="A161" s="391" t="str">
        <f>VLOOKUP(G161,Lookup!C:D,2,0)</f>
        <v>JPBP</v>
      </c>
      <c r="B161" s="32" t="s">
        <v>399</v>
      </c>
      <c r="C161" s="969" t="s">
        <v>222</v>
      </c>
      <c r="D161" s="32" t="s">
        <v>155</v>
      </c>
      <c r="E161" s="439" t="s">
        <v>239</v>
      </c>
      <c r="F161" s="973"/>
      <c r="G161" s="32" t="s">
        <v>155</v>
      </c>
      <c r="H161" s="894" t="s">
        <v>318</v>
      </c>
      <c r="I161" s="894" t="s">
        <v>285</v>
      </c>
      <c r="J161" s="894" t="s">
        <v>285</v>
      </c>
      <c r="K161" s="345">
        <f t="shared" si="11"/>
        <v>1000</v>
      </c>
      <c r="L161" s="345">
        <f t="shared" si="12"/>
        <v>1350</v>
      </c>
      <c r="M161" s="345">
        <f t="shared" si="13"/>
        <v>1350</v>
      </c>
    </row>
    <row r="162" spans="1:13" ht="14.25">
      <c r="A162" s="391" t="str">
        <f>VLOOKUP(G162,Lookup!C:D,2,0)</f>
        <v>SIN/PKG</v>
      </c>
      <c r="B162" s="32" t="s">
        <v>400</v>
      </c>
      <c r="C162" s="969" t="s">
        <v>222</v>
      </c>
      <c r="D162" s="32" t="s">
        <v>160</v>
      </c>
      <c r="E162" s="439" t="s">
        <v>239</v>
      </c>
      <c r="F162" s="973"/>
      <c r="G162" s="32" t="s">
        <v>160</v>
      </c>
      <c r="H162" s="894" t="s">
        <v>252</v>
      </c>
      <c r="I162" s="894" t="s">
        <v>278</v>
      </c>
      <c r="J162" s="894" t="s">
        <v>278</v>
      </c>
      <c r="K162" s="345">
        <f t="shared" si="11"/>
        <v>375</v>
      </c>
      <c r="L162" s="345">
        <f t="shared" si="12"/>
        <v>425</v>
      </c>
      <c r="M162" s="345">
        <f t="shared" si="13"/>
        <v>425</v>
      </c>
    </row>
    <row r="163" spans="1:13" ht="14.25">
      <c r="A163" s="391" t="str">
        <f>VLOOKUP(G163,Lookup!C:D,2,0)</f>
        <v>JPBP</v>
      </c>
      <c r="B163" s="32" t="s">
        <v>401</v>
      </c>
      <c r="C163" s="969" t="s">
        <v>222</v>
      </c>
      <c r="D163" s="32" t="s">
        <v>402</v>
      </c>
      <c r="E163" s="439" t="s">
        <v>239</v>
      </c>
      <c r="F163" s="973"/>
      <c r="G163" s="32" t="s">
        <v>158</v>
      </c>
      <c r="H163" s="894" t="s">
        <v>241</v>
      </c>
      <c r="I163" s="894" t="s">
        <v>370</v>
      </c>
      <c r="J163" s="894" t="s">
        <v>370</v>
      </c>
      <c r="K163" s="345">
        <f t="shared" si="11"/>
        <v>1150</v>
      </c>
      <c r="L163" s="345">
        <f t="shared" si="12"/>
        <v>1600</v>
      </c>
      <c r="M163" s="345">
        <f t="shared" si="13"/>
        <v>1600</v>
      </c>
    </row>
    <row r="164" spans="1:13" ht="14.25">
      <c r="A164" s="391" t="str">
        <f>VLOOKUP(G164,Lookup!C:D,2,0)</f>
        <v>FEBP</v>
      </c>
      <c r="B164" s="32" t="s">
        <v>403</v>
      </c>
      <c r="C164" s="969" t="s">
        <v>222</v>
      </c>
      <c r="D164" s="32" t="s">
        <v>134</v>
      </c>
      <c r="E164" s="439" t="s">
        <v>239</v>
      </c>
      <c r="F164" s="973"/>
      <c r="G164" s="32" t="s">
        <v>134</v>
      </c>
      <c r="H164" s="894" t="s">
        <v>246</v>
      </c>
      <c r="I164" s="894" t="s">
        <v>251</v>
      </c>
      <c r="J164" s="894" t="s">
        <v>251</v>
      </c>
      <c r="K164" s="345">
        <f t="shared" si="11"/>
        <v>225</v>
      </c>
      <c r="L164" s="345">
        <f t="shared" si="12"/>
        <v>250</v>
      </c>
      <c r="M164" s="345">
        <f t="shared" si="13"/>
        <v>250</v>
      </c>
    </row>
    <row r="165" spans="1:13" ht="14.25">
      <c r="A165" s="391" t="str">
        <f>VLOOKUP(G165,Lookup!C:D,2,0)</f>
        <v>FEBP</v>
      </c>
      <c r="B165" s="32" t="s">
        <v>403</v>
      </c>
      <c r="C165" s="969" t="s">
        <v>222</v>
      </c>
      <c r="D165" s="32" t="s">
        <v>146</v>
      </c>
      <c r="E165" s="439" t="s">
        <v>239</v>
      </c>
      <c r="F165" s="973"/>
      <c r="G165" s="32" t="s">
        <v>146</v>
      </c>
      <c r="H165" s="894" t="s">
        <v>272</v>
      </c>
      <c r="I165" s="894" t="s">
        <v>265</v>
      </c>
      <c r="J165" s="894" t="s">
        <v>265</v>
      </c>
      <c r="K165" s="345">
        <f t="shared" si="11"/>
        <v>300</v>
      </c>
      <c r="L165" s="345">
        <f t="shared" si="12"/>
        <v>475</v>
      </c>
      <c r="M165" s="345">
        <f t="shared" si="13"/>
        <v>475</v>
      </c>
    </row>
    <row r="166" spans="1:13" ht="14.25">
      <c r="A166" s="391" t="str">
        <f>VLOOKUP(G166,Lookup!C:D,2,0)</f>
        <v>FEBP</v>
      </c>
      <c r="B166" s="32" t="s">
        <v>404</v>
      </c>
      <c r="C166" s="969" t="s">
        <v>222</v>
      </c>
      <c r="D166" s="32" t="s">
        <v>141</v>
      </c>
      <c r="E166" s="439" t="s">
        <v>239</v>
      </c>
      <c r="F166" s="973"/>
      <c r="G166" s="32" t="s">
        <v>141</v>
      </c>
      <c r="H166" s="894" t="s">
        <v>244</v>
      </c>
      <c r="I166" s="894" t="s">
        <v>240</v>
      </c>
      <c r="J166" s="894" t="s">
        <v>240</v>
      </c>
      <c r="K166" s="345">
        <f t="shared" si="11"/>
        <v>325</v>
      </c>
      <c r="L166" s="345">
        <f t="shared" si="12"/>
        <v>575</v>
      </c>
      <c r="M166" s="345">
        <f t="shared" si="13"/>
        <v>575</v>
      </c>
    </row>
    <row r="167" spans="1:13" ht="14.25">
      <c r="A167" s="391" t="str">
        <f>VLOOKUP(G167,Lookup!C:D,2,0)</f>
        <v>FEBP</v>
      </c>
      <c r="B167" s="32" t="s">
        <v>405</v>
      </c>
      <c r="C167" s="969" t="s">
        <v>222</v>
      </c>
      <c r="D167" s="32" t="s">
        <v>170</v>
      </c>
      <c r="E167" s="439" t="s">
        <v>239</v>
      </c>
      <c r="F167" s="973"/>
      <c r="G167" s="32" t="s">
        <v>187</v>
      </c>
      <c r="H167" s="894" t="s">
        <v>251</v>
      </c>
      <c r="I167" s="894" t="s">
        <v>252</v>
      </c>
      <c r="J167" s="894" t="s">
        <v>252</v>
      </c>
      <c r="K167" s="345">
        <f t="shared" si="11"/>
        <v>250</v>
      </c>
      <c r="L167" s="345">
        <f t="shared" si="12"/>
        <v>375</v>
      </c>
      <c r="M167" s="345">
        <f t="shared" si="13"/>
        <v>375</v>
      </c>
    </row>
    <row r="168" spans="1:13" ht="14.25">
      <c r="A168" s="391" t="str">
        <f>VLOOKUP(G168,Lookup!C:D,2,0)</f>
        <v>JPBP</v>
      </c>
      <c r="B168" s="32" t="s">
        <v>406</v>
      </c>
      <c r="C168" s="969" t="s">
        <v>222</v>
      </c>
      <c r="D168" s="32" t="s">
        <v>155</v>
      </c>
      <c r="E168" s="439" t="s">
        <v>239</v>
      </c>
      <c r="F168" s="973"/>
      <c r="G168" s="32" t="s">
        <v>155</v>
      </c>
      <c r="H168" s="894" t="s">
        <v>244</v>
      </c>
      <c r="I168" s="894" t="s">
        <v>252</v>
      </c>
      <c r="J168" s="894" t="s">
        <v>252</v>
      </c>
      <c r="K168" s="345">
        <f t="shared" si="11"/>
        <v>700</v>
      </c>
      <c r="L168" s="345">
        <f t="shared" si="12"/>
        <v>750</v>
      </c>
      <c r="M168" s="345">
        <f t="shared" si="13"/>
        <v>750</v>
      </c>
    </row>
    <row r="169" spans="1:13" ht="14.25">
      <c r="A169" s="391" t="str">
        <f>VLOOKUP(G169,Lookup!C:D,2,0)</f>
        <v>FEBP</v>
      </c>
      <c r="B169" s="32" t="s">
        <v>407</v>
      </c>
      <c r="C169" s="969" t="s">
        <v>222</v>
      </c>
      <c r="D169" s="32" t="s">
        <v>170</v>
      </c>
      <c r="E169" s="439" t="s">
        <v>239</v>
      </c>
      <c r="F169" s="973"/>
      <c r="G169" s="32" t="s">
        <v>187</v>
      </c>
      <c r="H169" s="894" t="s">
        <v>251</v>
      </c>
      <c r="I169" s="894" t="s">
        <v>270</v>
      </c>
      <c r="J169" s="894" t="s">
        <v>270</v>
      </c>
      <c r="K169" s="345">
        <f t="shared" si="11"/>
        <v>250</v>
      </c>
      <c r="L169" s="345">
        <f t="shared" si="12"/>
        <v>350</v>
      </c>
      <c r="M169" s="345">
        <f t="shared" si="13"/>
        <v>350</v>
      </c>
    </row>
    <row r="170" spans="1:13" ht="14.25">
      <c r="A170" s="391" t="str">
        <f>VLOOKUP(G170,Lookup!C:D,2,0)</f>
        <v>FEBP</v>
      </c>
      <c r="B170" s="32" t="s">
        <v>408</v>
      </c>
      <c r="C170" s="969" t="s">
        <v>222</v>
      </c>
      <c r="D170" s="32" t="s">
        <v>134</v>
      </c>
      <c r="E170" s="439" t="s">
        <v>239</v>
      </c>
      <c r="F170" s="973"/>
      <c r="G170" s="32" t="s">
        <v>134</v>
      </c>
      <c r="H170" s="894" t="s">
        <v>289</v>
      </c>
      <c r="I170" s="894" t="s">
        <v>251</v>
      </c>
      <c r="J170" s="894" t="s">
        <v>251</v>
      </c>
      <c r="K170" s="345">
        <f t="shared" si="11"/>
        <v>175</v>
      </c>
      <c r="L170" s="345">
        <f t="shared" si="12"/>
        <v>250</v>
      </c>
      <c r="M170" s="345">
        <f t="shared" si="13"/>
        <v>250</v>
      </c>
    </row>
    <row r="171" spans="1:13" ht="14.25">
      <c r="A171" s="391" t="str">
        <f>VLOOKUP(G171,Lookup!C:D,2,0)</f>
        <v>SIN/PKG</v>
      </c>
      <c r="B171" s="32" t="s">
        <v>409</v>
      </c>
      <c r="C171" s="969" t="s">
        <v>222</v>
      </c>
      <c r="D171" s="32" t="s">
        <v>138</v>
      </c>
      <c r="E171" s="439" t="s">
        <v>239</v>
      </c>
      <c r="F171" s="973"/>
      <c r="G171" s="32" t="s">
        <v>138</v>
      </c>
      <c r="H171" s="894" t="s">
        <v>241</v>
      </c>
      <c r="I171" s="894" t="s">
        <v>259</v>
      </c>
      <c r="J171" s="894" t="s">
        <v>259</v>
      </c>
      <c r="K171" s="345">
        <f t="shared" si="11"/>
        <v>775</v>
      </c>
      <c r="L171" s="345">
        <f t="shared" si="12"/>
        <v>1375</v>
      </c>
      <c r="M171" s="345">
        <f t="shared" si="13"/>
        <v>1375</v>
      </c>
    </row>
    <row r="172" spans="1:13" ht="14.25">
      <c r="A172" s="391" t="str">
        <f>VLOOKUP(G172,Lookup!C:D,2,0)</f>
        <v>SIN/PKG</v>
      </c>
      <c r="B172" s="32" t="s">
        <v>410</v>
      </c>
      <c r="C172" s="969" t="s">
        <v>222</v>
      </c>
      <c r="D172" s="32" t="s">
        <v>160</v>
      </c>
      <c r="E172" s="439" t="s">
        <v>239</v>
      </c>
      <c r="F172" s="973"/>
      <c r="G172" s="32" t="s">
        <v>160</v>
      </c>
      <c r="H172" s="894" t="s">
        <v>248</v>
      </c>
      <c r="I172" s="894" t="s">
        <v>241</v>
      </c>
      <c r="J172" s="894" t="s">
        <v>241</v>
      </c>
      <c r="K172" s="345">
        <f t="shared" si="11"/>
        <v>450</v>
      </c>
      <c r="L172" s="345">
        <f t="shared" si="12"/>
        <v>775</v>
      </c>
      <c r="M172" s="345">
        <f t="shared" si="13"/>
        <v>775</v>
      </c>
    </row>
    <row r="173" spans="1:13" ht="14.25">
      <c r="A173" s="391" t="str">
        <f>VLOOKUP(G173,Lookup!C:D,2,0)</f>
        <v>SIN/PKG</v>
      </c>
      <c r="B173" s="32" t="s">
        <v>411</v>
      </c>
      <c r="C173" s="969" t="s">
        <v>222</v>
      </c>
      <c r="D173" s="32" t="s">
        <v>142</v>
      </c>
      <c r="E173" s="439" t="s">
        <v>239</v>
      </c>
      <c r="F173" s="973"/>
      <c r="G173" s="32" t="s">
        <v>142</v>
      </c>
      <c r="H173" s="894" t="s">
        <v>251</v>
      </c>
      <c r="I173" s="894" t="s">
        <v>257</v>
      </c>
      <c r="J173" s="894" t="s">
        <v>257</v>
      </c>
      <c r="K173" s="345">
        <f t="shared" si="11"/>
        <v>250</v>
      </c>
      <c r="L173" s="345">
        <f t="shared" si="12"/>
        <v>500</v>
      </c>
      <c r="M173" s="345">
        <f t="shared" si="13"/>
        <v>500</v>
      </c>
    </row>
    <row r="174" spans="1:13" ht="14.25">
      <c r="A174" s="391" t="str">
        <f>VLOOKUP(G174,Lookup!C:D,2,0)</f>
        <v>SIN/PKG</v>
      </c>
      <c r="B174" s="32" t="s">
        <v>412</v>
      </c>
      <c r="C174" s="969" t="s">
        <v>222</v>
      </c>
      <c r="D174" s="32" t="s">
        <v>160</v>
      </c>
      <c r="E174" s="439" t="s">
        <v>239</v>
      </c>
      <c r="F174" s="973"/>
      <c r="G174" s="32" t="s">
        <v>160</v>
      </c>
      <c r="H174" s="894" t="s">
        <v>252</v>
      </c>
      <c r="I174" s="894" t="s">
        <v>278</v>
      </c>
      <c r="J174" s="894" t="s">
        <v>278</v>
      </c>
      <c r="K174" s="345">
        <f t="shared" si="11"/>
        <v>375</v>
      </c>
      <c r="L174" s="345">
        <f t="shared" si="12"/>
        <v>425</v>
      </c>
      <c r="M174" s="345">
        <f t="shared" si="13"/>
        <v>425</v>
      </c>
    </row>
    <row r="175" spans="1:13" ht="14.25">
      <c r="A175" s="391" t="str">
        <f>VLOOKUP(G175,Lookup!C:D,2,0)</f>
        <v>FEBP</v>
      </c>
      <c r="B175" s="32" t="s">
        <v>413</v>
      </c>
      <c r="C175" s="969" t="s">
        <v>222</v>
      </c>
      <c r="D175" s="32" t="s">
        <v>168</v>
      </c>
      <c r="E175" s="439" t="s">
        <v>239</v>
      </c>
      <c r="F175" s="973"/>
      <c r="G175" s="32" t="s">
        <v>168</v>
      </c>
      <c r="H175" s="894" t="s">
        <v>243</v>
      </c>
      <c r="I175" s="894" t="s">
        <v>244</v>
      </c>
      <c r="J175" s="894" t="s">
        <v>244</v>
      </c>
      <c r="K175" s="345">
        <f t="shared" si="11"/>
        <v>200</v>
      </c>
      <c r="L175" s="345">
        <f t="shared" si="12"/>
        <v>325</v>
      </c>
      <c r="M175" s="345">
        <f t="shared" si="13"/>
        <v>325</v>
      </c>
    </row>
    <row r="176" spans="1:13" ht="14.25">
      <c r="A176" s="391" t="str">
        <f>VLOOKUP(G176,Lookup!C:D,2,0)</f>
        <v>FEBP</v>
      </c>
      <c r="B176" s="32" t="s">
        <v>414</v>
      </c>
      <c r="C176" s="969" t="s">
        <v>222</v>
      </c>
      <c r="D176" s="32" t="s">
        <v>179</v>
      </c>
      <c r="E176" s="439" t="s">
        <v>239</v>
      </c>
      <c r="F176" s="973"/>
      <c r="G176" s="32" t="s">
        <v>179</v>
      </c>
      <c r="H176" s="894" t="s">
        <v>289</v>
      </c>
      <c r="I176" s="894" t="s">
        <v>297</v>
      </c>
      <c r="J176" s="894" t="s">
        <v>297</v>
      </c>
      <c r="K176" s="345">
        <f t="shared" si="11"/>
        <v>175</v>
      </c>
      <c r="L176" s="345">
        <f t="shared" si="12"/>
        <v>275</v>
      </c>
      <c r="M176" s="345">
        <f t="shared" si="13"/>
        <v>275</v>
      </c>
    </row>
    <row r="177" spans="1:13" ht="14.25">
      <c r="A177" s="391" t="str">
        <f>VLOOKUP(G177,Lookup!C:D,2,0)</f>
        <v>FEBP</v>
      </c>
      <c r="B177" s="32" t="s">
        <v>415</v>
      </c>
      <c r="C177" s="969" t="s">
        <v>222</v>
      </c>
      <c r="D177" s="32" t="s">
        <v>141</v>
      </c>
      <c r="E177" s="439" t="s">
        <v>239</v>
      </c>
      <c r="F177" s="973"/>
      <c r="G177" s="32" t="s">
        <v>141</v>
      </c>
      <c r="H177" s="894" t="s">
        <v>243</v>
      </c>
      <c r="I177" s="894" t="s">
        <v>244</v>
      </c>
      <c r="J177" s="894" t="s">
        <v>244</v>
      </c>
      <c r="K177" s="345">
        <f t="shared" si="11"/>
        <v>200</v>
      </c>
      <c r="L177" s="345">
        <f t="shared" si="12"/>
        <v>325</v>
      </c>
      <c r="M177" s="345">
        <f t="shared" si="13"/>
        <v>325</v>
      </c>
    </row>
    <row r="178" spans="1:13" ht="14.25">
      <c r="A178" s="391" t="str">
        <f>VLOOKUP(G178,Lookup!C:D,2,0)</f>
        <v>JPBP</v>
      </c>
      <c r="B178" s="32" t="s">
        <v>416</v>
      </c>
      <c r="C178" s="969" t="s">
        <v>222</v>
      </c>
      <c r="D178" s="32" t="s">
        <v>155</v>
      </c>
      <c r="E178" s="439" t="s">
        <v>239</v>
      </c>
      <c r="F178" s="973"/>
      <c r="G178" s="32" t="s">
        <v>155</v>
      </c>
      <c r="H178" s="894" t="s">
        <v>278</v>
      </c>
      <c r="I178" s="894" t="s">
        <v>318</v>
      </c>
      <c r="J178" s="894" t="s">
        <v>318</v>
      </c>
      <c r="K178" s="345">
        <f t="shared" si="11"/>
        <v>800</v>
      </c>
      <c r="L178" s="345">
        <f t="shared" si="12"/>
        <v>1000</v>
      </c>
      <c r="M178" s="345">
        <f t="shared" si="13"/>
        <v>1000</v>
      </c>
    </row>
    <row r="179" spans="1:13" ht="14.25">
      <c r="A179" s="391" t="str">
        <f>VLOOKUP(G179,Lookup!C:D,2,0)</f>
        <v>SIN/PKG</v>
      </c>
      <c r="B179" s="32" t="s">
        <v>417</v>
      </c>
      <c r="C179" s="969" t="s">
        <v>222</v>
      </c>
      <c r="D179" s="32" t="s">
        <v>160</v>
      </c>
      <c r="E179" s="439" t="s">
        <v>239</v>
      </c>
      <c r="F179" s="973"/>
      <c r="G179" s="32" t="s">
        <v>160</v>
      </c>
      <c r="H179" s="894" t="s">
        <v>289</v>
      </c>
      <c r="I179" s="894" t="s">
        <v>244</v>
      </c>
      <c r="J179" s="894" t="s">
        <v>244</v>
      </c>
      <c r="K179" s="345">
        <f t="shared" si="11"/>
        <v>175</v>
      </c>
      <c r="L179" s="345">
        <f t="shared" si="12"/>
        <v>325</v>
      </c>
      <c r="M179" s="345">
        <f t="shared" si="13"/>
        <v>325</v>
      </c>
    </row>
    <row r="180" spans="1:13" ht="14.25">
      <c r="A180" s="391" t="str">
        <f>VLOOKUP(G180,Lookup!C:D,2,0)</f>
        <v>SIN/PKG</v>
      </c>
      <c r="B180" s="32" t="s">
        <v>418</v>
      </c>
      <c r="C180" s="969" t="s">
        <v>222</v>
      </c>
      <c r="D180" s="32" t="s">
        <v>142</v>
      </c>
      <c r="E180" s="439" t="s">
        <v>239</v>
      </c>
      <c r="F180" s="973"/>
      <c r="G180" s="32" t="s">
        <v>142</v>
      </c>
      <c r="H180" s="894" t="s">
        <v>297</v>
      </c>
      <c r="I180" s="894" t="s">
        <v>252</v>
      </c>
      <c r="J180" s="894" t="s">
        <v>252</v>
      </c>
      <c r="K180" s="345">
        <f t="shared" si="11"/>
        <v>275</v>
      </c>
      <c r="L180" s="345">
        <f t="shared" si="12"/>
        <v>375</v>
      </c>
      <c r="M180" s="345">
        <f t="shared" si="13"/>
        <v>375</v>
      </c>
    </row>
    <row r="181" spans="1:13" ht="14.25">
      <c r="A181" s="391" t="str">
        <f>VLOOKUP(G181,Lookup!C:D,2,0)</f>
        <v>FEBP</v>
      </c>
      <c r="B181" s="32" t="s">
        <v>419</v>
      </c>
      <c r="C181" s="969" t="s">
        <v>222</v>
      </c>
      <c r="D181" s="32" t="s">
        <v>159</v>
      </c>
      <c r="E181" s="439" t="s">
        <v>239</v>
      </c>
      <c r="F181" s="973"/>
      <c r="G181" s="32" t="s">
        <v>159</v>
      </c>
      <c r="H181" s="894" t="s">
        <v>272</v>
      </c>
      <c r="I181" s="894" t="s">
        <v>272</v>
      </c>
      <c r="J181" s="894" t="s">
        <v>272</v>
      </c>
      <c r="K181" s="345">
        <f t="shared" si="11"/>
        <v>300</v>
      </c>
      <c r="L181" s="345">
        <f t="shared" si="12"/>
        <v>300</v>
      </c>
      <c r="M181" s="345">
        <f t="shared" si="13"/>
        <v>300</v>
      </c>
    </row>
    <row r="182" spans="1:13" ht="14.25">
      <c r="A182" s="391" t="str">
        <f>VLOOKUP(G182,Lookup!C:D,2,0)</f>
        <v>SIN/PKG</v>
      </c>
      <c r="B182" s="32" t="s">
        <v>420</v>
      </c>
      <c r="C182" s="969" t="s">
        <v>222</v>
      </c>
      <c r="D182" s="32" t="s">
        <v>138</v>
      </c>
      <c r="E182" s="439" t="s">
        <v>239</v>
      </c>
      <c r="F182" s="973"/>
      <c r="G182" s="32" t="s">
        <v>138</v>
      </c>
      <c r="H182" s="894" t="s">
        <v>334</v>
      </c>
      <c r="I182" s="894" t="s">
        <v>282</v>
      </c>
      <c r="J182" s="894" t="s">
        <v>282</v>
      </c>
      <c r="K182" s="345">
        <f t="shared" si="11"/>
        <v>875</v>
      </c>
      <c r="L182" s="345">
        <f t="shared" si="12"/>
        <v>1575</v>
      </c>
      <c r="M182" s="345">
        <f t="shared" si="13"/>
        <v>1575</v>
      </c>
    </row>
    <row r="183" spans="1:13" ht="14.25">
      <c r="A183" s="391" t="str">
        <f>VLOOKUP(G183,Lookup!C:D,2,0)</f>
        <v>JPBP</v>
      </c>
      <c r="B183" s="32" t="s">
        <v>421</v>
      </c>
      <c r="C183" s="969" t="s">
        <v>222</v>
      </c>
      <c r="D183" s="32" t="s">
        <v>155</v>
      </c>
      <c r="E183" s="439" t="s">
        <v>239</v>
      </c>
      <c r="F183" s="973"/>
      <c r="G183" s="32" t="s">
        <v>155</v>
      </c>
      <c r="H183" s="894" t="s">
        <v>278</v>
      </c>
      <c r="I183" s="894" t="s">
        <v>318</v>
      </c>
      <c r="J183" s="894" t="s">
        <v>318</v>
      </c>
      <c r="K183" s="345">
        <f t="shared" si="11"/>
        <v>800</v>
      </c>
      <c r="L183" s="345">
        <f t="shared" si="12"/>
        <v>1000</v>
      </c>
      <c r="M183" s="345">
        <f t="shared" si="13"/>
        <v>1000</v>
      </c>
    </row>
    <row r="184" spans="1:13" ht="14.25">
      <c r="A184" s="391" t="str">
        <f>VLOOKUP(G184,Lookup!C:D,2,0)</f>
        <v>JPBP</v>
      </c>
      <c r="B184" s="32" t="s">
        <v>422</v>
      </c>
      <c r="C184" s="969" t="s">
        <v>222</v>
      </c>
      <c r="D184" s="32" t="s">
        <v>155</v>
      </c>
      <c r="E184" s="439" t="s">
        <v>239</v>
      </c>
      <c r="F184" s="973"/>
      <c r="G184" s="32" t="s">
        <v>155</v>
      </c>
      <c r="H184" s="894" t="s">
        <v>244</v>
      </c>
      <c r="I184" s="894" t="s">
        <v>278</v>
      </c>
      <c r="J184" s="894" t="s">
        <v>278</v>
      </c>
      <c r="K184" s="345">
        <f t="shared" si="11"/>
        <v>700</v>
      </c>
      <c r="L184" s="345">
        <f t="shared" si="12"/>
        <v>800</v>
      </c>
      <c r="M184" s="345">
        <f t="shared" si="13"/>
        <v>800</v>
      </c>
    </row>
    <row r="185" spans="1:13" ht="14.25">
      <c r="A185" s="391" t="str">
        <f>VLOOKUP(G185,Lookup!C:D,2,0)</f>
        <v>JPBP</v>
      </c>
      <c r="B185" s="32" t="s">
        <v>423</v>
      </c>
      <c r="C185" s="969" t="s">
        <v>222</v>
      </c>
      <c r="D185" s="32" t="s">
        <v>129</v>
      </c>
      <c r="E185" s="439" t="s">
        <v>239</v>
      </c>
      <c r="F185" s="973"/>
      <c r="G185" s="32" t="s">
        <v>155</v>
      </c>
      <c r="H185" s="894" t="s">
        <v>266</v>
      </c>
      <c r="I185" s="894" t="s">
        <v>275</v>
      </c>
      <c r="J185" s="894" t="s">
        <v>275</v>
      </c>
      <c r="K185" s="345">
        <f t="shared" si="11"/>
        <v>1175</v>
      </c>
      <c r="L185" s="345">
        <f t="shared" si="12"/>
        <v>1650</v>
      </c>
      <c r="M185" s="345">
        <f t="shared" si="13"/>
        <v>1650</v>
      </c>
    </row>
    <row r="186" spans="1:13" ht="14.25">
      <c r="A186" s="391" t="str">
        <f>VLOOKUP(G186,Lookup!C:D,2,0)</f>
        <v>JPBP</v>
      </c>
      <c r="B186" s="32" t="s">
        <v>423</v>
      </c>
      <c r="C186" s="969" t="s">
        <v>222</v>
      </c>
      <c r="D186" s="32" t="s">
        <v>424</v>
      </c>
      <c r="E186" s="439" t="s">
        <v>239</v>
      </c>
      <c r="F186" s="973"/>
      <c r="G186" s="32" t="s">
        <v>157</v>
      </c>
      <c r="H186" s="894" t="s">
        <v>268</v>
      </c>
      <c r="I186" s="894" t="s">
        <v>353</v>
      </c>
      <c r="J186" s="894" t="s">
        <v>353</v>
      </c>
      <c r="K186" s="345">
        <f t="shared" si="11"/>
        <v>775</v>
      </c>
      <c r="L186" s="345">
        <f t="shared" si="12"/>
        <v>925</v>
      </c>
      <c r="M186" s="345">
        <f t="shared" si="13"/>
        <v>925</v>
      </c>
    </row>
    <row r="187" spans="1:13" ht="14.25">
      <c r="A187" s="391" t="str">
        <f>VLOOKUP(G187,Lookup!C:D,2,0)</f>
        <v>FEBP</v>
      </c>
      <c r="B187" s="32" t="s">
        <v>425</v>
      </c>
      <c r="C187" s="969" t="s">
        <v>222</v>
      </c>
      <c r="D187" s="32" t="s">
        <v>141</v>
      </c>
      <c r="E187" s="439" t="s">
        <v>239</v>
      </c>
      <c r="F187" s="973"/>
      <c r="G187" s="32" t="s">
        <v>141</v>
      </c>
      <c r="H187" s="894" t="s">
        <v>246</v>
      </c>
      <c r="I187" s="894" t="s">
        <v>244</v>
      </c>
      <c r="J187" s="894" t="s">
        <v>244</v>
      </c>
      <c r="K187" s="345">
        <f t="shared" si="11"/>
        <v>225</v>
      </c>
      <c r="L187" s="345">
        <f t="shared" si="12"/>
        <v>325</v>
      </c>
      <c r="M187" s="345">
        <f t="shared" si="13"/>
        <v>325</v>
      </c>
    </row>
    <row r="188" spans="1:13" ht="14.25">
      <c r="A188" s="391" t="str">
        <f>VLOOKUP(G188,Lookup!C:D,2,0)</f>
        <v>JPBP</v>
      </c>
      <c r="B188" s="32" t="s">
        <v>426</v>
      </c>
      <c r="C188" s="969" t="s">
        <v>222</v>
      </c>
      <c r="D188" s="32" t="s">
        <v>129</v>
      </c>
      <c r="E188" s="439" t="s">
        <v>239</v>
      </c>
      <c r="F188" s="973"/>
      <c r="G188" s="32" t="s">
        <v>158</v>
      </c>
      <c r="H188" s="894" t="s">
        <v>278</v>
      </c>
      <c r="I188" s="894" t="s">
        <v>249</v>
      </c>
      <c r="J188" s="894" t="s">
        <v>249</v>
      </c>
      <c r="K188" s="345">
        <f t="shared" si="11"/>
        <v>800</v>
      </c>
      <c r="L188" s="345">
        <f t="shared" si="12"/>
        <v>1100</v>
      </c>
      <c r="M188" s="345">
        <f t="shared" si="13"/>
        <v>1100</v>
      </c>
    </row>
    <row r="189" spans="1:13" ht="14.25">
      <c r="A189" s="391" t="str">
        <f>VLOOKUP(G189,Lookup!C:D,2,0)</f>
        <v>JPBP</v>
      </c>
      <c r="B189" s="32" t="s">
        <v>426</v>
      </c>
      <c r="C189" s="969" t="s">
        <v>222</v>
      </c>
      <c r="D189" s="32" t="s">
        <v>238</v>
      </c>
      <c r="E189" s="439" t="s">
        <v>239</v>
      </c>
      <c r="F189" s="973"/>
      <c r="G189" s="32" t="s">
        <v>155</v>
      </c>
      <c r="H189" s="894" t="s">
        <v>249</v>
      </c>
      <c r="I189" s="894" t="s">
        <v>370</v>
      </c>
      <c r="J189" s="894" t="s">
        <v>370</v>
      </c>
      <c r="K189" s="345">
        <f t="shared" si="11"/>
        <v>1100</v>
      </c>
      <c r="L189" s="345">
        <f t="shared" si="12"/>
        <v>1600</v>
      </c>
      <c r="M189" s="345">
        <f t="shared" si="13"/>
        <v>1600</v>
      </c>
    </row>
    <row r="190" spans="1:13" ht="14.25">
      <c r="A190" s="391" t="str">
        <f>VLOOKUP(G190,Lookup!C:D,2,0)</f>
        <v>JPBP</v>
      </c>
      <c r="B190" s="32" t="s">
        <v>427</v>
      </c>
      <c r="C190" s="969" t="s">
        <v>222</v>
      </c>
      <c r="D190" s="32" t="s">
        <v>155</v>
      </c>
      <c r="E190" s="439" t="s">
        <v>239</v>
      </c>
      <c r="F190" s="973"/>
      <c r="G190" s="32" t="s">
        <v>155</v>
      </c>
      <c r="H190" s="894" t="s">
        <v>295</v>
      </c>
      <c r="I190" s="894" t="s">
        <v>318</v>
      </c>
      <c r="J190" s="894" t="s">
        <v>318</v>
      </c>
      <c r="K190" s="345">
        <f t="shared" si="11"/>
        <v>900</v>
      </c>
      <c r="L190" s="345">
        <f t="shared" si="12"/>
        <v>1000</v>
      </c>
      <c r="M190" s="345">
        <f t="shared" si="13"/>
        <v>1000</v>
      </c>
    </row>
    <row r="191" spans="1:13" ht="14.25">
      <c r="A191" s="391" t="str">
        <f>VLOOKUP(G191,Lookup!C:D,2,0)</f>
        <v>JPBP</v>
      </c>
      <c r="B191" s="32" t="s">
        <v>428</v>
      </c>
      <c r="C191" s="969" t="s">
        <v>222</v>
      </c>
      <c r="D191" s="32" t="s">
        <v>155</v>
      </c>
      <c r="E191" s="439" t="s">
        <v>239</v>
      </c>
      <c r="F191" s="973"/>
      <c r="G191" s="32" t="s">
        <v>155</v>
      </c>
      <c r="H191" s="894" t="s">
        <v>295</v>
      </c>
      <c r="I191" s="894" t="s">
        <v>366</v>
      </c>
      <c r="J191" s="894" t="s">
        <v>366</v>
      </c>
      <c r="K191" s="345">
        <f t="shared" si="11"/>
        <v>900</v>
      </c>
      <c r="L191" s="345">
        <f t="shared" si="12"/>
        <v>1200</v>
      </c>
      <c r="M191" s="345">
        <f t="shared" si="13"/>
        <v>1200</v>
      </c>
    </row>
    <row r="192" spans="1:13" ht="14.25">
      <c r="A192" s="391" t="str">
        <f>VLOOKUP(G192,Lookup!C:D,2,0)</f>
        <v>FEBP</v>
      </c>
      <c r="B192" s="32" t="s">
        <v>429</v>
      </c>
      <c r="C192" s="969" t="s">
        <v>222</v>
      </c>
      <c r="D192" s="32" t="s">
        <v>159</v>
      </c>
      <c r="E192" s="439" t="s">
        <v>239</v>
      </c>
      <c r="F192" s="973"/>
      <c r="G192" s="32" t="s">
        <v>159</v>
      </c>
      <c r="H192" s="894" t="s">
        <v>430</v>
      </c>
      <c r="I192" s="894" t="s">
        <v>243</v>
      </c>
      <c r="J192" s="894" t="s">
        <v>243</v>
      </c>
      <c r="K192" s="345">
        <f t="shared" si="11"/>
        <v>180</v>
      </c>
      <c r="L192" s="345">
        <f t="shared" si="12"/>
        <v>200</v>
      </c>
      <c r="M192" s="345">
        <f t="shared" si="13"/>
        <v>200</v>
      </c>
    </row>
    <row r="193" spans="1:13" ht="14.25">
      <c r="A193" s="391" t="str">
        <f>VLOOKUP(G193,Lookup!C:D,2,0)</f>
        <v>SIN/PKG</v>
      </c>
      <c r="B193" s="32" t="s">
        <v>429</v>
      </c>
      <c r="C193" s="969" t="s">
        <v>222</v>
      </c>
      <c r="D193" s="32" t="s">
        <v>138</v>
      </c>
      <c r="E193" s="439" t="s">
        <v>239</v>
      </c>
      <c r="F193" s="973"/>
      <c r="G193" s="32" t="s">
        <v>138</v>
      </c>
      <c r="H193" s="894" t="s">
        <v>374</v>
      </c>
      <c r="I193" s="894" t="s">
        <v>374</v>
      </c>
      <c r="J193" s="894" t="s">
        <v>374</v>
      </c>
      <c r="K193" s="345">
        <f t="shared" si="11"/>
        <v>100</v>
      </c>
      <c r="L193" s="345">
        <f t="shared" si="12"/>
        <v>100</v>
      </c>
      <c r="M193" s="345">
        <f t="shared" si="13"/>
        <v>100</v>
      </c>
    </row>
    <row r="194" spans="1:13" ht="14.25">
      <c r="A194" s="391" t="str">
        <f>VLOOKUP(G194,Lookup!C:D,2,0)</f>
        <v>JPBP</v>
      </c>
      <c r="B194" s="32" t="s">
        <v>431</v>
      </c>
      <c r="C194" s="969" t="s">
        <v>222</v>
      </c>
      <c r="D194" s="32" t="s">
        <v>155</v>
      </c>
      <c r="E194" s="439" t="s">
        <v>239</v>
      </c>
      <c r="F194" s="973"/>
      <c r="G194" s="32" t="s">
        <v>155</v>
      </c>
      <c r="H194" s="894" t="s">
        <v>278</v>
      </c>
      <c r="I194" s="894" t="s">
        <v>318</v>
      </c>
      <c r="J194" s="894" t="s">
        <v>318</v>
      </c>
      <c r="K194" s="345">
        <f t="shared" si="11"/>
        <v>800</v>
      </c>
      <c r="L194" s="345">
        <f t="shared" si="12"/>
        <v>1000</v>
      </c>
      <c r="M194" s="345">
        <f t="shared" si="13"/>
        <v>1000</v>
      </c>
    </row>
    <row r="195" spans="1:13" ht="14.25">
      <c r="A195" s="391" t="str">
        <f>VLOOKUP(G195,Lookup!C:D,2,0)</f>
        <v>FEBP</v>
      </c>
      <c r="B195" s="32" t="s">
        <v>432</v>
      </c>
      <c r="C195" s="969" t="s">
        <v>222</v>
      </c>
      <c r="D195" s="32" t="s">
        <v>140</v>
      </c>
      <c r="E195" s="439" t="s">
        <v>239</v>
      </c>
      <c r="F195" s="973"/>
      <c r="G195" s="439" t="s">
        <v>140</v>
      </c>
      <c r="H195" s="894" t="s">
        <v>243</v>
      </c>
      <c r="I195" s="894" t="s">
        <v>297</v>
      </c>
      <c r="J195" s="894" t="s">
        <v>297</v>
      </c>
      <c r="K195" s="345">
        <f t="shared" si="11"/>
        <v>200</v>
      </c>
      <c r="L195" s="345">
        <f t="shared" si="12"/>
        <v>275</v>
      </c>
      <c r="M195" s="345">
        <f t="shared" si="13"/>
        <v>275</v>
      </c>
    </row>
    <row r="196" spans="1:13" ht="14.25">
      <c r="A196" s="391" t="str">
        <f>VLOOKUP(G196,Lookup!C:D,2,0)</f>
        <v>FEBP</v>
      </c>
      <c r="B196" s="32" t="s">
        <v>433</v>
      </c>
      <c r="C196" s="969" t="s">
        <v>222</v>
      </c>
      <c r="D196" s="32" t="s">
        <v>137</v>
      </c>
      <c r="E196" s="439" t="s">
        <v>239</v>
      </c>
      <c r="F196" s="973"/>
      <c r="G196" s="439" t="s">
        <v>137</v>
      </c>
      <c r="H196" s="894" t="s">
        <v>246</v>
      </c>
      <c r="I196" s="894" t="s">
        <v>252</v>
      </c>
      <c r="J196" s="894" t="s">
        <v>252</v>
      </c>
      <c r="K196" s="345">
        <f t="shared" si="11"/>
        <v>225</v>
      </c>
      <c r="L196" s="345">
        <f t="shared" si="12"/>
        <v>375</v>
      </c>
      <c r="M196" s="345">
        <f t="shared" si="13"/>
        <v>375</v>
      </c>
    </row>
    <row r="197" spans="1:13" ht="14.25">
      <c r="A197" s="391" t="str">
        <f>VLOOKUP(G197,Lookup!C:D,2,0)</f>
        <v>FEBP</v>
      </c>
      <c r="B197" s="32" t="s">
        <v>434</v>
      </c>
      <c r="C197" s="969" t="s">
        <v>222</v>
      </c>
      <c r="D197" s="32" t="s">
        <v>141</v>
      </c>
      <c r="E197" s="439" t="s">
        <v>325</v>
      </c>
      <c r="F197" s="973"/>
      <c r="G197" s="439" t="s">
        <v>141</v>
      </c>
      <c r="H197" s="894" t="s">
        <v>297</v>
      </c>
      <c r="I197" s="894" t="s">
        <v>248</v>
      </c>
      <c r="J197" s="894" t="s">
        <v>248</v>
      </c>
      <c r="K197" s="345">
        <f t="shared" si="11"/>
        <v>275</v>
      </c>
      <c r="L197" s="345">
        <f t="shared" si="12"/>
        <v>450</v>
      </c>
      <c r="M197" s="345">
        <f t="shared" si="13"/>
        <v>450</v>
      </c>
    </row>
    <row r="198" spans="1:13" ht="14.25">
      <c r="A198" s="391" t="str">
        <f>VLOOKUP(G198,Lookup!C:D,2,0)</f>
        <v>FEBP</v>
      </c>
      <c r="B198" s="32" t="s">
        <v>435</v>
      </c>
      <c r="C198" s="969" t="s">
        <v>222</v>
      </c>
      <c r="D198" s="32" t="s">
        <v>141</v>
      </c>
      <c r="E198" s="439" t="s">
        <v>239</v>
      </c>
      <c r="F198" s="973"/>
      <c r="G198" s="32" t="s">
        <v>141</v>
      </c>
      <c r="H198" s="894" t="s">
        <v>246</v>
      </c>
      <c r="I198" s="894" t="s">
        <v>244</v>
      </c>
      <c r="J198" s="894" t="s">
        <v>244</v>
      </c>
      <c r="K198" s="345">
        <f t="shared" si="11"/>
        <v>225</v>
      </c>
      <c r="L198" s="345">
        <f t="shared" si="12"/>
        <v>325</v>
      </c>
      <c r="M198" s="345">
        <f t="shared" si="13"/>
        <v>325</v>
      </c>
    </row>
    <row r="199" spans="1:13" ht="14.25">
      <c r="A199" s="391" t="str">
        <f>VLOOKUP(G199,Lookup!C:D,2,0)</f>
        <v>FEBP</v>
      </c>
      <c r="B199" s="32" t="s">
        <v>436</v>
      </c>
      <c r="C199" s="969" t="s">
        <v>222</v>
      </c>
      <c r="D199" s="32" t="s">
        <v>135</v>
      </c>
      <c r="E199" s="439" t="s">
        <v>239</v>
      </c>
      <c r="F199" s="973"/>
      <c r="G199" s="32" t="s">
        <v>159</v>
      </c>
      <c r="H199" s="894" t="s">
        <v>252</v>
      </c>
      <c r="I199" s="894" t="s">
        <v>252</v>
      </c>
      <c r="J199" s="894" t="s">
        <v>252</v>
      </c>
      <c r="K199" s="345">
        <f t="shared" si="11"/>
        <v>375</v>
      </c>
      <c r="L199" s="345">
        <f t="shared" si="12"/>
        <v>375</v>
      </c>
      <c r="M199" s="345">
        <f t="shared" si="13"/>
        <v>375</v>
      </c>
    </row>
    <row r="200" spans="1:13" ht="14.25">
      <c r="A200" s="391" t="str">
        <f>VLOOKUP(G200,Lookup!C:D,2,0)</f>
        <v>FEBP</v>
      </c>
      <c r="B200" s="32" t="s">
        <v>437</v>
      </c>
      <c r="C200" s="969" t="s">
        <v>222</v>
      </c>
      <c r="D200" s="32" t="s">
        <v>141</v>
      </c>
      <c r="E200" s="439" t="s">
        <v>239</v>
      </c>
      <c r="F200" s="973"/>
      <c r="G200" s="32" t="s">
        <v>141</v>
      </c>
      <c r="H200" s="894" t="s">
        <v>297</v>
      </c>
      <c r="I200" s="894" t="s">
        <v>252</v>
      </c>
      <c r="J200" s="894" t="s">
        <v>252</v>
      </c>
      <c r="K200" s="345">
        <f t="shared" si="11"/>
        <v>275</v>
      </c>
      <c r="L200" s="345">
        <f t="shared" si="12"/>
        <v>375</v>
      </c>
      <c r="M200" s="345">
        <f t="shared" si="13"/>
        <v>375</v>
      </c>
    </row>
    <row r="201" spans="1:13" ht="14.25">
      <c r="A201" s="391" t="str">
        <f>VLOOKUP(G201,Lookup!C:D,2,0)</f>
        <v>FEBP</v>
      </c>
      <c r="B201" s="32" t="s">
        <v>438</v>
      </c>
      <c r="C201" s="969" t="s">
        <v>222</v>
      </c>
      <c r="D201" s="32" t="s">
        <v>140</v>
      </c>
      <c r="E201" s="439" t="s">
        <v>239</v>
      </c>
      <c r="F201" s="973"/>
      <c r="G201" s="32" t="s">
        <v>140</v>
      </c>
      <c r="H201" s="894" t="s">
        <v>439</v>
      </c>
      <c r="I201" s="894" t="s">
        <v>440</v>
      </c>
      <c r="J201" s="894" t="s">
        <v>440</v>
      </c>
      <c r="K201" s="345">
        <f t="shared" si="11"/>
        <v>765</v>
      </c>
      <c r="L201" s="345">
        <f t="shared" si="12"/>
        <v>1100</v>
      </c>
      <c r="M201" s="345">
        <f t="shared" si="13"/>
        <v>1100</v>
      </c>
    </row>
    <row r="202" spans="1:13" ht="14.25">
      <c r="A202" s="391" t="str">
        <f>VLOOKUP(G202,Lookup!C:D,2,0)</f>
        <v>FEBP</v>
      </c>
      <c r="B202" s="32" t="s">
        <v>441</v>
      </c>
      <c r="C202" s="969" t="s">
        <v>222</v>
      </c>
      <c r="D202" s="32" t="s">
        <v>134</v>
      </c>
      <c r="E202" s="439" t="s">
        <v>239</v>
      </c>
      <c r="F202" s="973"/>
      <c r="G202" s="32" t="s">
        <v>189</v>
      </c>
      <c r="H202" s="894" t="s">
        <v>243</v>
      </c>
      <c r="I202" s="894" t="s">
        <v>244</v>
      </c>
      <c r="J202" s="894" t="s">
        <v>244</v>
      </c>
      <c r="K202" s="345">
        <f t="shared" si="11"/>
        <v>200</v>
      </c>
      <c r="L202" s="345">
        <f t="shared" si="12"/>
        <v>325</v>
      </c>
      <c r="M202" s="345">
        <f t="shared" si="13"/>
        <v>325</v>
      </c>
    </row>
    <row r="203" spans="1:13" ht="14.25">
      <c r="A203" s="391" t="str">
        <f>VLOOKUP(G203,Lookup!C:D,2,0)</f>
        <v>FEBP</v>
      </c>
      <c r="B203" s="32" t="s">
        <v>442</v>
      </c>
      <c r="C203" s="969" t="s">
        <v>222</v>
      </c>
      <c r="D203" s="32" t="s">
        <v>134</v>
      </c>
      <c r="E203" s="439" t="s">
        <v>239</v>
      </c>
      <c r="F203" s="973"/>
      <c r="G203" s="32" t="s">
        <v>134</v>
      </c>
      <c r="H203" s="894" t="s">
        <v>443</v>
      </c>
      <c r="I203" s="894" t="s">
        <v>444</v>
      </c>
      <c r="J203" s="894" t="s">
        <v>444</v>
      </c>
      <c r="K203" s="345">
        <f t="shared" si="11"/>
        <v>210</v>
      </c>
      <c r="L203" s="345">
        <f t="shared" si="12"/>
        <v>370</v>
      </c>
      <c r="M203" s="345">
        <f t="shared" si="13"/>
        <v>370</v>
      </c>
    </row>
    <row r="204" spans="1:13" ht="14.25">
      <c r="A204" s="391" t="str">
        <f>VLOOKUP(G204,Lookup!C:D,2,0)</f>
        <v>FEBP</v>
      </c>
      <c r="B204" s="32" t="s">
        <v>445</v>
      </c>
      <c r="C204" s="969" t="s">
        <v>222</v>
      </c>
      <c r="D204" s="32" t="s">
        <v>134</v>
      </c>
      <c r="E204" s="439" t="s">
        <v>239</v>
      </c>
      <c r="F204" s="973"/>
      <c r="G204" s="439" t="s">
        <v>189</v>
      </c>
      <c r="H204" s="894" t="s">
        <v>243</v>
      </c>
      <c r="I204" s="894" t="s">
        <v>251</v>
      </c>
      <c r="J204" s="894" t="s">
        <v>251</v>
      </c>
      <c r="K204" s="345">
        <f t="shared" si="11"/>
        <v>200</v>
      </c>
      <c r="L204" s="345">
        <f t="shared" si="12"/>
        <v>250</v>
      </c>
      <c r="M204" s="345">
        <f t="shared" si="13"/>
        <v>250</v>
      </c>
    </row>
    <row r="205" spans="1:13" ht="14.25">
      <c r="A205" s="391" t="str">
        <f>VLOOKUP(G205,Lookup!C:D,2,0)</f>
        <v>FEBP</v>
      </c>
      <c r="B205" s="32" t="s">
        <v>446</v>
      </c>
      <c r="C205" s="969" t="s">
        <v>222</v>
      </c>
      <c r="D205" s="32" t="s">
        <v>146</v>
      </c>
      <c r="E205" s="439" t="s">
        <v>239</v>
      </c>
      <c r="F205" s="973"/>
      <c r="G205" s="32" t="s">
        <v>190</v>
      </c>
      <c r="H205" s="894" t="s">
        <v>251</v>
      </c>
      <c r="I205" s="894" t="s">
        <v>270</v>
      </c>
      <c r="J205" s="894" t="s">
        <v>270</v>
      </c>
      <c r="K205" s="345">
        <f t="shared" si="11"/>
        <v>250</v>
      </c>
      <c r="L205" s="345">
        <f t="shared" si="12"/>
        <v>350</v>
      </c>
      <c r="M205" s="345">
        <f t="shared" si="13"/>
        <v>350</v>
      </c>
    </row>
    <row r="206" spans="1:13" ht="14.25">
      <c r="A206" s="391" t="str">
        <f>VLOOKUP(G206,Lookup!C:D,2,0)</f>
        <v>FEBP</v>
      </c>
      <c r="B206" s="32" t="s">
        <v>447</v>
      </c>
      <c r="C206" s="969" t="s">
        <v>222</v>
      </c>
      <c r="D206" s="32" t="s">
        <v>146</v>
      </c>
      <c r="E206" s="439" t="s">
        <v>239</v>
      </c>
      <c r="F206" s="973"/>
      <c r="G206" s="32" t="s">
        <v>190</v>
      </c>
      <c r="H206" s="894" t="s">
        <v>243</v>
      </c>
      <c r="I206" s="894" t="s">
        <v>297</v>
      </c>
      <c r="J206" s="894" t="s">
        <v>297</v>
      </c>
      <c r="K206" s="345">
        <f t="shared" si="11"/>
        <v>200</v>
      </c>
      <c r="L206" s="345">
        <f t="shared" si="12"/>
        <v>275</v>
      </c>
      <c r="M206" s="345">
        <f t="shared" si="13"/>
        <v>275</v>
      </c>
    </row>
    <row r="207" spans="1:13" ht="14.25">
      <c r="A207" s="391" t="str">
        <f>VLOOKUP(G207,Lookup!C:D,2,0)</f>
        <v>SIN/PKG</v>
      </c>
      <c r="B207" s="32" t="s">
        <v>448</v>
      </c>
      <c r="C207" s="969" t="s">
        <v>222</v>
      </c>
      <c r="D207" s="32" t="s">
        <v>160</v>
      </c>
      <c r="E207" s="439" t="s">
        <v>239</v>
      </c>
      <c r="F207" s="973"/>
      <c r="G207" s="32" t="s">
        <v>160</v>
      </c>
      <c r="H207" s="894" t="s">
        <v>265</v>
      </c>
      <c r="I207" s="894" t="s">
        <v>339</v>
      </c>
      <c r="J207" s="894" t="s">
        <v>339</v>
      </c>
      <c r="K207" s="345">
        <f t="shared" si="11"/>
        <v>475</v>
      </c>
      <c r="L207" s="345">
        <f t="shared" si="12"/>
        <v>925</v>
      </c>
      <c r="M207" s="345">
        <f t="shared" si="13"/>
        <v>925</v>
      </c>
    </row>
    <row r="208" spans="1:13" ht="14.25">
      <c r="A208" s="391" t="str">
        <f>VLOOKUP(G208,Lookup!C:D,2,0)</f>
        <v>FEBP</v>
      </c>
      <c r="B208" s="32" t="s">
        <v>449</v>
      </c>
      <c r="C208" s="969" t="s">
        <v>222</v>
      </c>
      <c r="D208" s="32" t="s">
        <v>134</v>
      </c>
      <c r="E208" s="439" t="s">
        <v>239</v>
      </c>
      <c r="F208" s="973"/>
      <c r="G208" s="32" t="s">
        <v>134</v>
      </c>
      <c r="H208" s="894" t="s">
        <v>443</v>
      </c>
      <c r="I208" s="894" t="s">
        <v>444</v>
      </c>
      <c r="J208" s="894" t="s">
        <v>444</v>
      </c>
      <c r="K208" s="345">
        <f t="shared" si="11"/>
        <v>210</v>
      </c>
      <c r="L208" s="345">
        <f t="shared" si="12"/>
        <v>370</v>
      </c>
      <c r="M208" s="345">
        <f t="shared" si="13"/>
        <v>370</v>
      </c>
    </row>
    <row r="209" spans="1:13" ht="14.25">
      <c r="A209" s="391" t="str">
        <f>VLOOKUP(G209,Lookup!C:D,2,0)</f>
        <v>FEBP</v>
      </c>
      <c r="B209" s="32" t="s">
        <v>449</v>
      </c>
      <c r="C209" s="969" t="s">
        <v>222</v>
      </c>
      <c r="D209" s="32" t="s">
        <v>146</v>
      </c>
      <c r="E209" s="439" t="s">
        <v>239</v>
      </c>
      <c r="F209" s="973"/>
      <c r="G209" s="32" t="s">
        <v>146</v>
      </c>
      <c r="H209" s="894" t="s">
        <v>450</v>
      </c>
      <c r="I209" s="894" t="s">
        <v>451</v>
      </c>
      <c r="J209" s="894" t="s">
        <v>451</v>
      </c>
      <c r="K209" s="345">
        <f t="shared" si="11"/>
        <v>245</v>
      </c>
      <c r="L209" s="345">
        <f t="shared" si="12"/>
        <v>435</v>
      </c>
      <c r="M209" s="345">
        <f t="shared" si="13"/>
        <v>435</v>
      </c>
    </row>
    <row r="210" spans="1:13" ht="14.25">
      <c r="A210" s="391" t="str">
        <f>VLOOKUP(G210,Lookup!C:D,2,0)</f>
        <v>FEBP</v>
      </c>
      <c r="B210" s="32" t="s">
        <v>452</v>
      </c>
      <c r="C210" s="969" t="s">
        <v>222</v>
      </c>
      <c r="D210" s="32" t="s">
        <v>141</v>
      </c>
      <c r="E210" s="439" t="s">
        <v>239</v>
      </c>
      <c r="F210" s="973"/>
      <c r="G210" s="32" t="s">
        <v>141</v>
      </c>
      <c r="H210" s="894" t="s">
        <v>243</v>
      </c>
      <c r="I210" s="894" t="s">
        <v>244</v>
      </c>
      <c r="J210" s="894" t="s">
        <v>244</v>
      </c>
      <c r="K210" s="345">
        <f t="shared" si="11"/>
        <v>200</v>
      </c>
      <c r="L210" s="345">
        <f t="shared" si="12"/>
        <v>325</v>
      </c>
      <c r="M210" s="345">
        <f t="shared" si="13"/>
        <v>325</v>
      </c>
    </row>
    <row r="211" spans="1:13" ht="14.25">
      <c r="A211" s="391" t="str">
        <f>VLOOKUP(G211,Lookup!C:D,2,0)</f>
        <v>FEBP</v>
      </c>
      <c r="B211" s="32" t="s">
        <v>453</v>
      </c>
      <c r="C211" s="969" t="s">
        <v>222</v>
      </c>
      <c r="D211" s="32" t="s">
        <v>140</v>
      </c>
      <c r="E211" s="439" t="s">
        <v>239</v>
      </c>
      <c r="F211" s="973"/>
      <c r="G211" s="439" t="s">
        <v>140</v>
      </c>
      <c r="H211" s="894" t="s">
        <v>243</v>
      </c>
      <c r="I211" s="894" t="s">
        <v>272</v>
      </c>
      <c r="J211" s="894" t="s">
        <v>272</v>
      </c>
      <c r="K211" s="345">
        <f t="shared" si="11"/>
        <v>200</v>
      </c>
      <c r="L211" s="345">
        <f t="shared" si="12"/>
        <v>300</v>
      </c>
      <c r="M211" s="345">
        <f t="shared" si="13"/>
        <v>300</v>
      </c>
    </row>
    <row r="212" spans="1:13" ht="14.25">
      <c r="A212" s="391" t="str">
        <f>VLOOKUP(G212,Lookup!C:D,2,0)</f>
        <v>JPBP</v>
      </c>
      <c r="B212" s="32" t="s">
        <v>454</v>
      </c>
      <c r="C212" s="969" t="s">
        <v>222</v>
      </c>
      <c r="D212" s="32" t="s">
        <v>186</v>
      </c>
      <c r="E212" s="439" t="s">
        <v>239</v>
      </c>
      <c r="F212" s="973"/>
      <c r="G212" s="32" t="s">
        <v>186</v>
      </c>
      <c r="H212" s="894" t="s">
        <v>268</v>
      </c>
      <c r="I212" s="894" t="s">
        <v>357</v>
      </c>
      <c r="J212" s="894" t="s">
        <v>357</v>
      </c>
      <c r="K212" s="345">
        <f t="shared" si="11"/>
        <v>775</v>
      </c>
      <c r="L212" s="345">
        <f t="shared" si="12"/>
        <v>975</v>
      </c>
      <c r="M212" s="345">
        <f t="shared" si="13"/>
        <v>975</v>
      </c>
    </row>
    <row r="213" spans="1:13" ht="14.25">
      <c r="A213" s="391" t="str">
        <f>VLOOKUP(G213,Lookup!C:D,2,0)</f>
        <v>FEBP</v>
      </c>
      <c r="B213" s="32" t="s">
        <v>455</v>
      </c>
      <c r="C213" s="969" t="s">
        <v>222</v>
      </c>
      <c r="D213" s="32" t="s">
        <v>141</v>
      </c>
      <c r="E213" s="439" t="s">
        <v>239</v>
      </c>
      <c r="F213" s="973"/>
      <c r="G213" s="32" t="s">
        <v>141</v>
      </c>
      <c r="H213" s="894" t="s">
        <v>240</v>
      </c>
      <c r="I213" s="894" t="s">
        <v>285</v>
      </c>
      <c r="J213" s="894" t="s">
        <v>285</v>
      </c>
      <c r="K213" s="345">
        <f t="shared" si="11"/>
        <v>575</v>
      </c>
      <c r="L213" s="345">
        <f t="shared" si="12"/>
        <v>975</v>
      </c>
      <c r="M213" s="345">
        <f t="shared" si="13"/>
        <v>975</v>
      </c>
    </row>
    <row r="214" spans="1:13" ht="14.25">
      <c r="A214" s="391" t="str">
        <f>VLOOKUP(G214,Lookup!C:D,2,0)</f>
        <v>FEBP</v>
      </c>
      <c r="B214" s="32" t="s">
        <v>456</v>
      </c>
      <c r="C214" s="969" t="s">
        <v>222</v>
      </c>
      <c r="D214" s="32" t="s">
        <v>141</v>
      </c>
      <c r="E214" s="439" t="s">
        <v>239</v>
      </c>
      <c r="F214" s="973"/>
      <c r="G214" s="32" t="s">
        <v>141</v>
      </c>
      <c r="H214" s="894" t="s">
        <v>252</v>
      </c>
      <c r="I214" s="894" t="s">
        <v>318</v>
      </c>
      <c r="J214" s="894" t="s">
        <v>318</v>
      </c>
      <c r="K214" s="345">
        <f t="shared" si="11"/>
        <v>375</v>
      </c>
      <c r="L214" s="345">
        <f t="shared" si="12"/>
        <v>625</v>
      </c>
      <c r="M214" s="345">
        <f t="shared" si="13"/>
        <v>625</v>
      </c>
    </row>
    <row r="215" spans="1:13" ht="14.25">
      <c r="A215" s="391" t="str">
        <f>VLOOKUP(G215,Lookup!C:D,2,0)</f>
        <v>FEBP</v>
      </c>
      <c r="B215" s="32" t="s">
        <v>457</v>
      </c>
      <c r="C215" s="969" t="s">
        <v>222</v>
      </c>
      <c r="D215" s="32" t="s">
        <v>132</v>
      </c>
      <c r="E215" s="439" t="s">
        <v>239</v>
      </c>
      <c r="F215" s="973"/>
      <c r="G215" s="32" t="s">
        <v>132</v>
      </c>
      <c r="H215" s="894" t="s">
        <v>246</v>
      </c>
      <c r="I215" s="894" t="s">
        <v>252</v>
      </c>
      <c r="J215" s="894" t="s">
        <v>252</v>
      </c>
      <c r="K215" s="345">
        <f t="shared" si="11"/>
        <v>225</v>
      </c>
      <c r="L215" s="345">
        <f t="shared" si="12"/>
        <v>375</v>
      </c>
      <c r="M215" s="345">
        <f t="shared" si="13"/>
        <v>375</v>
      </c>
    </row>
    <row r="216" spans="1:13" ht="14.25">
      <c r="A216" s="391" t="str">
        <f>VLOOKUP(G216,Lookup!C:D,2,0)</f>
        <v>JPBP</v>
      </c>
      <c r="B216" s="32" t="s">
        <v>458</v>
      </c>
      <c r="C216" s="969" t="s">
        <v>222</v>
      </c>
      <c r="D216" s="32" t="s">
        <v>175</v>
      </c>
      <c r="E216" s="439" t="s">
        <v>239</v>
      </c>
      <c r="F216" s="973"/>
      <c r="G216" s="32" t="s">
        <v>158</v>
      </c>
      <c r="H216" s="894" t="s">
        <v>251</v>
      </c>
      <c r="I216" s="894" t="s">
        <v>278</v>
      </c>
      <c r="J216" s="894" t="s">
        <v>278</v>
      </c>
      <c r="K216" s="345">
        <f t="shared" ref="K216:K219" si="14">IF(H216&lt;&gt;"",VLOOKUP($A216,$B$3:$E$12,2,FALSE)+H216,"--")</f>
        <v>625</v>
      </c>
      <c r="L216" s="345">
        <f t="shared" ref="L216:L219" si="15">IF(I216&lt;&gt;"",VLOOKUP($A216,$B$3:$E$11,3,FALSE)+I216,"--")</f>
        <v>800</v>
      </c>
      <c r="M216" s="345">
        <f t="shared" ref="M216:M219" si="16">IF(J216&lt;&gt;"",VLOOKUP($A216,$B$3:$E$11,4,FALSE)+J216,"--")</f>
        <v>800</v>
      </c>
    </row>
    <row r="217" spans="1:13" ht="14.25">
      <c r="A217" s="391" t="str">
        <f>VLOOKUP(G217,Lookup!C:D,2,0)</f>
        <v>FEBP</v>
      </c>
      <c r="B217" s="32" t="s">
        <v>459</v>
      </c>
      <c r="C217" s="969" t="s">
        <v>222</v>
      </c>
      <c r="D217" s="32" t="s">
        <v>141</v>
      </c>
      <c r="E217" s="439" t="s">
        <v>239</v>
      </c>
      <c r="F217" s="973"/>
      <c r="G217" s="439" t="s">
        <v>141</v>
      </c>
      <c r="H217" s="894" t="s">
        <v>244</v>
      </c>
      <c r="I217" s="894" t="s">
        <v>240</v>
      </c>
      <c r="J217" s="894" t="s">
        <v>240</v>
      </c>
      <c r="K217" s="345">
        <f t="shared" si="14"/>
        <v>325</v>
      </c>
      <c r="L217" s="345">
        <f t="shared" si="15"/>
        <v>575</v>
      </c>
      <c r="M217" s="345">
        <f t="shared" si="16"/>
        <v>575</v>
      </c>
    </row>
    <row r="218" spans="1:13" ht="14.25">
      <c r="A218" s="391" t="str">
        <f>VLOOKUP(G218,Lookup!C:D,2,0)</f>
        <v>FEBP</v>
      </c>
      <c r="B218" s="32" t="s">
        <v>460</v>
      </c>
      <c r="C218" s="969" t="s">
        <v>222</v>
      </c>
      <c r="D218" s="32" t="s">
        <v>134</v>
      </c>
      <c r="E218" s="439" t="s">
        <v>239</v>
      </c>
      <c r="F218" s="973"/>
      <c r="G218" s="32" t="s">
        <v>189</v>
      </c>
      <c r="H218" s="894" t="s">
        <v>289</v>
      </c>
      <c r="I218" s="894" t="s">
        <v>272</v>
      </c>
      <c r="J218" s="894" t="s">
        <v>272</v>
      </c>
      <c r="K218" s="345">
        <f t="shared" si="14"/>
        <v>175</v>
      </c>
      <c r="L218" s="345">
        <f t="shared" si="15"/>
        <v>300</v>
      </c>
      <c r="M218" s="345">
        <f t="shared" si="16"/>
        <v>300</v>
      </c>
    </row>
    <row r="219" spans="1:13" ht="14.25">
      <c r="A219" s="391" t="str">
        <f>VLOOKUP(G219,Lookup!C:D,2,0)</f>
        <v>FEBP</v>
      </c>
      <c r="B219" s="32" t="s">
        <v>461</v>
      </c>
      <c r="C219" s="969" t="s">
        <v>222</v>
      </c>
      <c r="D219" s="32" t="s">
        <v>168</v>
      </c>
      <c r="E219" s="439" t="s">
        <v>239</v>
      </c>
      <c r="F219" s="973"/>
      <c r="G219" s="32" t="s">
        <v>168</v>
      </c>
      <c r="H219" s="894" t="s">
        <v>251</v>
      </c>
      <c r="I219" s="894" t="s">
        <v>268</v>
      </c>
      <c r="J219" s="894" t="s">
        <v>268</v>
      </c>
      <c r="K219" s="345">
        <f t="shared" si="14"/>
        <v>250</v>
      </c>
      <c r="L219" s="345">
        <f t="shared" si="15"/>
        <v>400</v>
      </c>
      <c r="M219" s="345">
        <f t="shared" si="16"/>
        <v>400</v>
      </c>
    </row>
    <row r="220" spans="1:13" ht="14.25">
      <c r="A220" s="391" t="str">
        <f>VLOOKUP(G220,Lookup!C:D,2,0)</f>
        <v>FEBP</v>
      </c>
      <c r="B220" s="124" t="s">
        <v>461</v>
      </c>
      <c r="C220" s="969" t="s">
        <v>222</v>
      </c>
      <c r="D220" s="32" t="s">
        <v>146</v>
      </c>
      <c r="E220" s="439" t="s">
        <v>239</v>
      </c>
      <c r="F220" s="124"/>
      <c r="G220" s="977" t="s">
        <v>146</v>
      </c>
      <c r="H220" s="978" t="s">
        <v>244</v>
      </c>
      <c r="I220" s="978" t="s">
        <v>257</v>
      </c>
      <c r="J220" s="978" t="s">
        <v>257</v>
      </c>
      <c r="K220" s="345">
        <f t="shared" ref="K220:K227" si="17">IF(H220&lt;&gt;"",VLOOKUP($A220,$B$3:$E$12,2,FALSE)+H220,"--")</f>
        <v>325</v>
      </c>
      <c r="L220" s="345">
        <f t="shared" ref="L220:L227" si="18">IF(I220&lt;&gt;"",VLOOKUP($A220,$B$3:$E$11,3,FALSE)+I220,"--")</f>
        <v>500</v>
      </c>
      <c r="M220" s="345">
        <f t="shared" ref="M220:M227" si="19">IF(J220&lt;&gt;"",VLOOKUP($A220,$B$3:$E$11,4,FALSE)+J220,"--")</f>
        <v>500</v>
      </c>
    </row>
    <row r="221" spans="1:13" ht="14.25">
      <c r="A221" s="391" t="str">
        <f>VLOOKUP(G221,Lookup!C:D,2,0)</f>
        <v>FEBP</v>
      </c>
      <c r="B221" s="124" t="s">
        <v>462</v>
      </c>
      <c r="C221" s="969" t="s">
        <v>222</v>
      </c>
      <c r="D221" s="32" t="s">
        <v>146</v>
      </c>
      <c r="E221" s="439" t="s">
        <v>239</v>
      </c>
      <c r="F221" s="124"/>
      <c r="G221" s="977" t="s">
        <v>146</v>
      </c>
      <c r="H221" s="978" t="s">
        <v>251</v>
      </c>
      <c r="I221" s="978" t="s">
        <v>265</v>
      </c>
      <c r="J221" s="978" t="s">
        <v>265</v>
      </c>
      <c r="K221" s="345">
        <f t="shared" si="17"/>
        <v>250</v>
      </c>
      <c r="L221" s="345">
        <f t="shared" si="18"/>
        <v>475</v>
      </c>
      <c r="M221" s="345">
        <f t="shared" si="19"/>
        <v>475</v>
      </c>
    </row>
    <row r="222" spans="1:13" ht="14.25">
      <c r="A222" s="391" t="str">
        <f>VLOOKUP(G222,Lookup!C:D,2,0)</f>
        <v>FEBP</v>
      </c>
      <c r="B222" s="124" t="s">
        <v>463</v>
      </c>
      <c r="C222" s="969" t="s">
        <v>222</v>
      </c>
      <c r="D222" s="32" t="s">
        <v>137</v>
      </c>
      <c r="E222" s="439" t="s">
        <v>239</v>
      </c>
      <c r="F222" s="124"/>
      <c r="G222" s="977" t="s">
        <v>137</v>
      </c>
      <c r="H222" s="978" t="s">
        <v>243</v>
      </c>
      <c r="I222" s="978" t="s">
        <v>272</v>
      </c>
      <c r="J222" s="978" t="s">
        <v>272</v>
      </c>
      <c r="K222" s="345">
        <f t="shared" si="17"/>
        <v>200</v>
      </c>
      <c r="L222" s="345">
        <f t="shared" si="18"/>
        <v>300</v>
      </c>
      <c r="M222" s="345">
        <f t="shared" si="19"/>
        <v>300</v>
      </c>
    </row>
    <row r="223" spans="1:13" ht="14.25">
      <c r="A223" s="391" t="str">
        <f>VLOOKUP(G223,Lookup!C:D,2,0)</f>
        <v>FEBP</v>
      </c>
      <c r="B223" s="124" t="s">
        <v>464</v>
      </c>
      <c r="C223" s="969" t="s">
        <v>222</v>
      </c>
      <c r="D223" s="32" t="s">
        <v>140</v>
      </c>
      <c r="E223" s="439" t="s">
        <v>239</v>
      </c>
      <c r="F223" s="124"/>
      <c r="G223" s="977" t="s">
        <v>140</v>
      </c>
      <c r="H223" s="978" t="s">
        <v>465</v>
      </c>
      <c r="I223" s="978" t="s">
        <v>466</v>
      </c>
      <c r="J223" s="978" t="s">
        <v>466</v>
      </c>
      <c r="K223" s="345">
        <f t="shared" si="17"/>
        <v>495</v>
      </c>
      <c r="L223" s="345">
        <f t="shared" si="18"/>
        <v>615</v>
      </c>
      <c r="M223" s="345">
        <f t="shared" si="19"/>
        <v>615</v>
      </c>
    </row>
    <row r="224" spans="1:13" ht="14.25">
      <c r="A224" s="391" t="str">
        <f>VLOOKUP(G224,Lookup!C:D,2,0)</f>
        <v>FEBP</v>
      </c>
      <c r="B224" s="124" t="s">
        <v>467</v>
      </c>
      <c r="C224" s="969" t="s">
        <v>222</v>
      </c>
      <c r="D224" s="32" t="s">
        <v>168</v>
      </c>
      <c r="E224" s="439" t="s">
        <v>239</v>
      </c>
      <c r="F224" s="124"/>
      <c r="G224" s="977" t="s">
        <v>168</v>
      </c>
      <c r="H224" s="978" t="s">
        <v>251</v>
      </c>
      <c r="I224" s="978" t="s">
        <v>268</v>
      </c>
      <c r="J224" s="978" t="s">
        <v>268</v>
      </c>
      <c r="K224" s="345">
        <f t="shared" si="17"/>
        <v>250</v>
      </c>
      <c r="L224" s="345">
        <f t="shared" si="18"/>
        <v>400</v>
      </c>
      <c r="M224" s="345">
        <f t="shared" si="19"/>
        <v>400</v>
      </c>
    </row>
    <row r="225" spans="1:13" ht="14.25">
      <c r="A225" s="391" t="str">
        <f>VLOOKUP(G225,Lookup!C:D,2,0)</f>
        <v>FEBP</v>
      </c>
      <c r="B225" s="124" t="s">
        <v>468</v>
      </c>
      <c r="C225" s="969" t="s">
        <v>222</v>
      </c>
      <c r="D225" s="32" t="s">
        <v>134</v>
      </c>
      <c r="E225" s="439" t="s">
        <v>239</v>
      </c>
      <c r="F225" s="124"/>
      <c r="G225" s="977" t="s">
        <v>191</v>
      </c>
      <c r="H225" s="978" t="s">
        <v>243</v>
      </c>
      <c r="I225" s="978" t="s">
        <v>297</v>
      </c>
      <c r="J225" s="978" t="s">
        <v>297</v>
      </c>
      <c r="K225" s="345">
        <f t="shared" si="17"/>
        <v>200</v>
      </c>
      <c r="L225" s="345">
        <f t="shared" si="18"/>
        <v>275</v>
      </c>
      <c r="M225" s="345">
        <f t="shared" si="19"/>
        <v>275</v>
      </c>
    </row>
    <row r="226" spans="1:13" ht="14.25">
      <c r="A226" s="391" t="str">
        <f>VLOOKUP(G226,Lookup!C:D,2,0)</f>
        <v>FEBP</v>
      </c>
      <c r="B226" s="124" t="s">
        <v>468</v>
      </c>
      <c r="C226" s="969" t="s">
        <v>222</v>
      </c>
      <c r="D226" s="32" t="s">
        <v>146</v>
      </c>
      <c r="E226" s="439" t="s">
        <v>239</v>
      </c>
      <c r="F226" s="124"/>
      <c r="G226" s="977" t="s">
        <v>146</v>
      </c>
      <c r="H226" s="978" t="s">
        <v>297</v>
      </c>
      <c r="I226" s="978" t="s">
        <v>268</v>
      </c>
      <c r="J226" s="978" t="s">
        <v>268</v>
      </c>
      <c r="K226" s="345">
        <f t="shared" si="17"/>
        <v>275</v>
      </c>
      <c r="L226" s="345">
        <f t="shared" si="18"/>
        <v>400</v>
      </c>
      <c r="M226" s="345">
        <f t="shared" si="19"/>
        <v>400</v>
      </c>
    </row>
    <row r="227" spans="1:13" ht="14.25">
      <c r="A227" s="391" t="str">
        <f>VLOOKUP(G227,Lookup!C:D,2,0)</f>
        <v>FEBP</v>
      </c>
      <c r="B227" s="9" t="s">
        <v>469</v>
      </c>
      <c r="C227" s="969" t="s">
        <v>222</v>
      </c>
      <c r="D227" s="976" t="s">
        <v>170</v>
      </c>
      <c r="E227" s="439" t="s">
        <v>239</v>
      </c>
      <c r="G227" s="119" t="s">
        <v>170</v>
      </c>
      <c r="H227" s="975" t="s">
        <v>251</v>
      </c>
      <c r="I227" s="975" t="s">
        <v>252</v>
      </c>
      <c r="J227" s="975" t="s">
        <v>252</v>
      </c>
      <c r="K227" s="345">
        <f t="shared" si="17"/>
        <v>250</v>
      </c>
      <c r="L227" s="345">
        <f t="shared" si="18"/>
        <v>375</v>
      </c>
      <c r="M227" s="345">
        <f t="shared" si="19"/>
        <v>375</v>
      </c>
    </row>
  </sheetData>
  <autoFilter ref="A32:M227" xr:uid="{00000000-0009-0000-0000-000005000000}">
    <sortState xmlns:xlrd2="http://schemas.microsoft.com/office/spreadsheetml/2017/richdata2" ref="A33:M163">
      <sortCondition ref="B32:B163"/>
    </sortState>
  </autoFilter>
  <mergeCells count="2">
    <mergeCell ref="B17:M17"/>
    <mergeCell ref="B31:M31"/>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tint="-0.14999847407452621"/>
    <pageSetUpPr fitToPage="1"/>
  </sheetPr>
  <dimension ref="A1:M294"/>
  <sheetViews>
    <sheetView showGridLines="0" tabSelected="1" zoomScale="90" zoomScaleNormal="90" zoomScaleSheetLayoutView="75" workbookViewId="0"/>
  </sheetViews>
  <sheetFormatPr defaultColWidth="11.42578125" defaultRowHeight="12.75"/>
  <cols>
    <col min="1" max="1" width="8.5703125" style="9" customWidth="1"/>
    <col min="2" max="2" width="47.5703125" style="9" customWidth="1"/>
    <col min="3" max="3" width="60.5703125" style="9" customWidth="1"/>
    <col min="4" max="4" width="19.28515625" style="9" customWidth="1"/>
    <col min="5" max="5" width="20.7109375" style="9" customWidth="1"/>
    <col min="6" max="6" width="18.42578125" style="9" customWidth="1"/>
    <col min="7" max="7" width="12.42578125" style="9" customWidth="1"/>
    <col min="8" max="8" width="31.140625" style="9" bestFit="1" customWidth="1"/>
    <col min="9" max="9" width="15.85546875" style="9" customWidth="1"/>
    <col min="10" max="10" width="14.5703125" style="9" customWidth="1"/>
    <col min="11" max="11" width="16.42578125" style="9" customWidth="1"/>
    <col min="12" max="14" width="11.42578125" style="9" customWidth="1"/>
    <col min="15" max="16384" width="11.42578125" style="9"/>
  </cols>
  <sheetData>
    <row r="1" spans="1:13" ht="13.5" thickBot="1">
      <c r="A1" s="534"/>
    </row>
    <row r="2" spans="1:13" ht="12.75" customHeight="1">
      <c r="B2" s="535"/>
      <c r="C2" s="148"/>
      <c r="D2" s="148"/>
      <c r="E2" s="148"/>
      <c r="F2" s="148"/>
      <c r="G2" s="148"/>
      <c r="H2" s="160"/>
    </row>
    <row r="3" spans="1:13" ht="12.75" customHeight="1">
      <c r="B3" s="1089" t="s">
        <v>470</v>
      </c>
      <c r="C3" s="1083"/>
      <c r="D3" s="1083"/>
      <c r="E3" s="1083"/>
      <c r="F3" s="1083"/>
      <c r="G3" s="1083"/>
      <c r="H3" s="1090"/>
      <c r="I3" s="156"/>
    </row>
    <row r="4" spans="1:13" ht="12.75" customHeight="1">
      <c r="B4" s="1093" t="str">
        <f>Introduction!D8</f>
        <v xml:space="preserve">NEW: rate reference mentioned in your email </v>
      </c>
      <c r="C4" s="1094"/>
      <c r="D4" s="1094"/>
      <c r="E4" s="1094"/>
      <c r="F4" s="1094"/>
      <c r="G4" s="1094"/>
      <c r="H4" s="1095"/>
    </row>
    <row r="5" spans="1:13" ht="12.75" customHeight="1">
      <c r="B5" s="1096" t="str">
        <f>Introduction!B9</f>
        <v>valid as from 01.12.2025 - 31.01.2026</v>
      </c>
      <c r="C5" s="1071"/>
      <c r="D5" s="1071"/>
      <c r="E5" s="1071"/>
      <c r="F5" s="1071"/>
      <c r="G5" s="1071"/>
      <c r="H5" s="1097"/>
    </row>
    <row r="6" spans="1:13" ht="12.75" customHeight="1" thickBot="1">
      <c r="B6" s="1098"/>
      <c r="C6" s="1099"/>
      <c r="D6" s="1099"/>
      <c r="E6" s="1099"/>
      <c r="F6" s="1099"/>
      <c r="G6" s="1099"/>
      <c r="H6" s="1100"/>
    </row>
    <row r="7" spans="1:13" ht="12.75" customHeight="1">
      <c r="B7" s="536"/>
      <c r="C7" s="536"/>
      <c r="D7" s="536"/>
      <c r="E7" s="536"/>
      <c r="F7" s="536"/>
      <c r="G7" s="536"/>
      <c r="H7" s="536"/>
    </row>
    <row r="8" spans="1:13" ht="14.25" customHeight="1" thickBot="1">
      <c r="B8" s="536"/>
      <c r="C8" s="187"/>
      <c r="D8" s="536"/>
      <c r="E8" s="536"/>
      <c r="F8" s="536"/>
      <c r="G8" s="536"/>
      <c r="H8" s="536"/>
    </row>
    <row r="9" spans="1:13" ht="17.25" customHeight="1">
      <c r="B9" s="280" t="s">
        <v>471</v>
      </c>
      <c r="C9" s="1103" t="s">
        <v>472</v>
      </c>
      <c r="D9" s="1103"/>
      <c r="E9" s="1103"/>
      <c r="F9" s="1103"/>
      <c r="G9" s="1103"/>
      <c r="H9" s="1104"/>
    </row>
    <row r="10" spans="1:13" ht="17.25" customHeight="1" thickBot="1">
      <c r="B10" s="153" t="s">
        <v>473</v>
      </c>
      <c r="C10" s="152" t="s">
        <v>474</v>
      </c>
      <c r="D10" s="152" t="s">
        <v>475</v>
      </c>
      <c r="E10" s="152" t="s">
        <v>476</v>
      </c>
      <c r="F10" s="152" t="s">
        <v>477</v>
      </c>
      <c r="G10" s="257" t="s">
        <v>478</v>
      </c>
      <c r="H10" s="154" t="s">
        <v>479</v>
      </c>
    </row>
    <row r="11" spans="1:13" ht="17.25" customHeight="1">
      <c r="B11" s="1021" t="s">
        <v>480</v>
      </c>
      <c r="C11" s="1018" t="s">
        <v>35</v>
      </c>
      <c r="D11" s="1019">
        <f>'Rechenblatt neu'!FEBP20</f>
        <v>25</v>
      </c>
      <c r="E11" s="1019">
        <f>'Rechenblatt neu'!FEBP40</f>
        <v>25</v>
      </c>
      <c r="F11" s="1019">
        <f>'Rechenblatt neu'!FEBPHQ</f>
        <v>25</v>
      </c>
      <c r="G11" s="1020" t="s">
        <v>478</v>
      </c>
      <c r="H11" s="1022" t="s">
        <v>14</v>
      </c>
    </row>
    <row r="12" spans="1:13" ht="17.25" customHeight="1">
      <c r="B12" s="246" t="s">
        <v>481</v>
      </c>
      <c r="C12" s="1014" t="s">
        <v>40</v>
      </c>
      <c r="D12" s="1017">
        <f>'Rechenblatt neu'!FEBP20</f>
        <v>25</v>
      </c>
      <c r="E12" s="1017">
        <f>'Rechenblatt neu'!FEBP40</f>
        <v>25</v>
      </c>
      <c r="F12" s="1017">
        <f>'Rechenblatt neu'!FEBPHQ</f>
        <v>25</v>
      </c>
      <c r="G12" s="1016" t="s">
        <v>478</v>
      </c>
      <c r="H12" s="249" t="s">
        <v>15</v>
      </c>
    </row>
    <row r="13" spans="1:13" ht="17.25" customHeight="1">
      <c r="B13" s="246" t="s">
        <v>482</v>
      </c>
      <c r="C13" s="1014" t="s">
        <v>38</v>
      </c>
      <c r="D13" s="1017">
        <f>'Rechenblatt neu'!FEBP20</f>
        <v>25</v>
      </c>
      <c r="E13" s="1017">
        <f>'Rechenblatt neu'!FEBP40</f>
        <v>25</v>
      </c>
      <c r="F13" s="1017">
        <f>'Rechenblatt neu'!FEBPHQ</f>
        <v>25</v>
      </c>
      <c r="G13" s="1016" t="s">
        <v>478</v>
      </c>
      <c r="H13" s="249" t="s">
        <v>18</v>
      </c>
    </row>
    <row r="14" spans="1:13" ht="17.25" customHeight="1">
      <c r="B14" s="246" t="s">
        <v>483</v>
      </c>
      <c r="C14" s="1014" t="s">
        <v>484</v>
      </c>
      <c r="D14" s="1017">
        <f>'Rechenblatt neu'!FEBP20</f>
        <v>25</v>
      </c>
      <c r="E14" s="1017">
        <f>'Rechenblatt neu'!FEBP40</f>
        <v>25</v>
      </c>
      <c r="F14" s="1017">
        <f>'Rechenblatt neu'!FEBPHQ</f>
        <v>25</v>
      </c>
      <c r="G14" s="1016" t="s">
        <v>478</v>
      </c>
      <c r="H14" s="249" t="s">
        <v>485</v>
      </c>
    </row>
    <row r="15" spans="1:13" ht="17.25" customHeight="1">
      <c r="B15" s="1023" t="s">
        <v>483</v>
      </c>
      <c r="C15" s="1014" t="s">
        <v>34</v>
      </c>
      <c r="D15" s="1017">
        <f>'Rechenblatt neu'!FEBP20</f>
        <v>25</v>
      </c>
      <c r="E15" s="1017">
        <f>'Rechenblatt neu'!FEBP40</f>
        <v>25</v>
      </c>
      <c r="F15" s="1017">
        <f>'Rechenblatt neu'!FEBPHQ</f>
        <v>25</v>
      </c>
      <c r="G15" s="1016" t="s">
        <v>478</v>
      </c>
      <c r="H15" s="939" t="s">
        <v>486</v>
      </c>
      <c r="I15" s="1088"/>
      <c r="J15" s="1088"/>
      <c r="K15" s="1088"/>
      <c r="L15" s="1088"/>
      <c r="M15" s="1088"/>
    </row>
    <row r="16" spans="1:13" ht="17.25" customHeight="1">
      <c r="B16" s="246" t="s">
        <v>480</v>
      </c>
      <c r="C16" s="1014" t="s">
        <v>29</v>
      </c>
      <c r="D16" s="1017">
        <f>'Rechenblatt neu'!FEBP20</f>
        <v>25</v>
      </c>
      <c r="E16" s="1017">
        <f>'Rechenblatt neu'!FEBP40</f>
        <v>25</v>
      </c>
      <c r="F16" s="1017">
        <f>'Rechenblatt neu'!FEBPHQ</f>
        <v>25</v>
      </c>
      <c r="G16" s="1016" t="s">
        <v>478</v>
      </c>
      <c r="H16" s="249" t="s">
        <v>487</v>
      </c>
      <c r="I16" s="1088"/>
      <c r="J16" s="1088"/>
    </row>
    <row r="17" spans="2:13" ht="17.25" customHeight="1">
      <c r="B17" s="246" t="s">
        <v>483</v>
      </c>
      <c r="C17" s="1014" t="s">
        <v>488</v>
      </c>
      <c r="D17" s="1017">
        <f>'Rechenblatt neu'!FEBP20</f>
        <v>25</v>
      </c>
      <c r="E17" s="1017">
        <f>'Rechenblatt neu'!FEBP40</f>
        <v>25</v>
      </c>
      <c r="F17" s="1017">
        <f>'Rechenblatt neu'!FEBPHQ</f>
        <v>25</v>
      </c>
      <c r="G17" s="1016" t="s">
        <v>478</v>
      </c>
      <c r="H17" s="249" t="s">
        <v>489</v>
      </c>
      <c r="I17" s="1088"/>
      <c r="J17" s="1088"/>
      <c r="K17" s="1088"/>
      <c r="L17" s="1088"/>
      <c r="M17" s="1088"/>
    </row>
    <row r="18" spans="2:13" ht="17.25" customHeight="1">
      <c r="B18" s="1023" t="s">
        <v>483</v>
      </c>
      <c r="C18" s="1014" t="s">
        <v>28</v>
      </c>
      <c r="D18" s="1017">
        <f>'Rechenblatt neu'!FEBP20</f>
        <v>25</v>
      </c>
      <c r="E18" s="1017">
        <f>'Rechenblatt neu'!FEBP40</f>
        <v>25</v>
      </c>
      <c r="F18" s="1017">
        <f>'Rechenblatt neu'!FEBPHQ</f>
        <v>25</v>
      </c>
      <c r="G18" s="1016" t="s">
        <v>478</v>
      </c>
      <c r="H18" s="939" t="s">
        <v>490</v>
      </c>
      <c r="I18" s="1088"/>
      <c r="J18" s="1088"/>
      <c r="K18" s="1088"/>
      <c r="L18" s="1088"/>
      <c r="M18" s="1088"/>
    </row>
    <row r="19" spans="2:13" ht="17.25" customHeight="1">
      <c r="B19" s="246" t="s">
        <v>483</v>
      </c>
      <c r="C19" s="1014" t="s">
        <v>491</v>
      </c>
      <c r="D19" s="1017">
        <f>'Rechenblatt neu'!FEBP20</f>
        <v>25</v>
      </c>
      <c r="E19" s="1017">
        <f>'Rechenblatt neu'!FEBP40</f>
        <v>25</v>
      </c>
      <c r="F19" s="1017">
        <f>'Rechenblatt neu'!FEBPHQ</f>
        <v>25</v>
      </c>
      <c r="G19" s="1016" t="s">
        <v>478</v>
      </c>
      <c r="H19" s="249" t="s">
        <v>485</v>
      </c>
      <c r="J19" s="383"/>
      <c r="K19" s="384"/>
      <c r="L19" s="384"/>
      <c r="M19" s="384"/>
    </row>
    <row r="20" spans="2:13" ht="17.25" customHeight="1">
      <c r="B20" s="1023" t="s">
        <v>483</v>
      </c>
      <c r="C20" s="1014" t="s">
        <v>32</v>
      </c>
      <c r="D20" s="1017">
        <f>'Rechenblatt neu'!FEBP20</f>
        <v>25</v>
      </c>
      <c r="E20" s="1017">
        <f>'Rechenblatt neu'!FEBP40</f>
        <v>25</v>
      </c>
      <c r="F20" s="1017">
        <f>'Rechenblatt neu'!FEBPHQ</f>
        <v>25</v>
      </c>
      <c r="G20" s="1016" t="s">
        <v>478</v>
      </c>
      <c r="H20" s="249" t="s">
        <v>492</v>
      </c>
      <c r="I20" s="383"/>
      <c r="J20" s="383"/>
      <c r="K20" s="384"/>
      <c r="L20" s="384"/>
      <c r="M20" s="384"/>
    </row>
    <row r="21" spans="2:13" ht="17.25" customHeight="1">
      <c r="B21" s="246" t="s">
        <v>493</v>
      </c>
      <c r="C21" s="1014" t="s">
        <v>41</v>
      </c>
      <c r="D21" s="1017">
        <f>'Rechenblatt neu'!FEBP20</f>
        <v>25</v>
      </c>
      <c r="E21" s="1017">
        <f>'Rechenblatt neu'!FEBP40</f>
        <v>25</v>
      </c>
      <c r="F21" s="1017">
        <f>'Rechenblatt neu'!FEBPHQ</f>
        <v>25</v>
      </c>
      <c r="G21" s="1016" t="s">
        <v>478</v>
      </c>
      <c r="H21" s="249" t="s">
        <v>18</v>
      </c>
      <c r="I21" s="1088"/>
      <c r="J21" s="1088"/>
    </row>
    <row r="22" spans="2:13" ht="17.25" customHeight="1">
      <c r="B22" s="1024" t="s">
        <v>494</v>
      </c>
      <c r="C22" s="1015" t="s">
        <v>36</v>
      </c>
      <c r="D22" s="1017">
        <f>'Rechenblatt neu'!FEBP20</f>
        <v>25</v>
      </c>
      <c r="E22" s="1017">
        <f>'Rechenblatt neu'!FEBP40</f>
        <v>25</v>
      </c>
      <c r="F22" s="1017">
        <f>'Rechenblatt neu'!FEBPHQ</f>
        <v>25</v>
      </c>
      <c r="G22" s="1016" t="s">
        <v>478</v>
      </c>
      <c r="H22" s="939" t="s">
        <v>495</v>
      </c>
      <c r="I22" s="385"/>
      <c r="J22" s="385"/>
    </row>
    <row r="23" spans="2:13" ht="17.25" customHeight="1">
      <c r="B23" s="1024" t="s">
        <v>496</v>
      </c>
      <c r="C23" s="1015" t="s">
        <v>497</v>
      </c>
      <c r="D23" s="1017">
        <f>'Rechenblatt neu'!FEBP20</f>
        <v>25</v>
      </c>
      <c r="E23" s="1017">
        <f>'Rechenblatt neu'!FEBP40</f>
        <v>25</v>
      </c>
      <c r="F23" s="1017">
        <f>'Rechenblatt neu'!FEBPHQ</f>
        <v>25</v>
      </c>
      <c r="G23" s="1016" t="s">
        <v>325</v>
      </c>
      <c r="H23" s="939" t="s">
        <v>498</v>
      </c>
      <c r="I23" s="385"/>
      <c r="J23" s="385"/>
    </row>
    <row r="24" spans="2:13" ht="17.25" customHeight="1" thickBot="1">
      <c r="B24" s="250" t="s">
        <v>483</v>
      </c>
      <c r="C24" s="1025" t="s">
        <v>30</v>
      </c>
      <c r="D24" s="1026">
        <f>'Rechenblatt neu'!FEBP20</f>
        <v>25</v>
      </c>
      <c r="E24" s="1026">
        <f>'Rechenblatt neu'!FEBP40</f>
        <v>25</v>
      </c>
      <c r="F24" s="1026">
        <f>'Rechenblatt neu'!FEBPHQ</f>
        <v>25</v>
      </c>
      <c r="G24" s="1027" t="s">
        <v>478</v>
      </c>
      <c r="H24" s="300" t="s">
        <v>485</v>
      </c>
      <c r="I24" s="1088"/>
      <c r="J24" s="1088"/>
      <c r="K24" s="1088"/>
      <c r="L24" s="1088"/>
      <c r="M24" s="1088"/>
    </row>
    <row r="25" spans="2:13" ht="17.25" customHeight="1">
      <c r="B25" s="41"/>
      <c r="C25" s="91"/>
      <c r="D25" s="42"/>
      <c r="E25" s="42"/>
      <c r="F25" s="42"/>
      <c r="G25" s="42"/>
      <c r="H25" s="41"/>
      <c r="I25" s="385"/>
      <c r="J25" s="385"/>
      <c r="K25" s="385"/>
      <c r="L25" s="385"/>
      <c r="M25" s="385"/>
    </row>
    <row r="26" spans="2:13" ht="12.75" customHeight="1">
      <c r="B26" s="1105" t="s">
        <v>499</v>
      </c>
      <c r="C26" s="1105"/>
      <c r="D26" s="36"/>
      <c r="E26" s="536"/>
      <c r="F26" s="536"/>
      <c r="G26" s="536"/>
      <c r="H26" s="536"/>
    </row>
    <row r="27" spans="2:13" ht="12.75" customHeight="1">
      <c r="B27" s="397" t="s">
        <v>500</v>
      </c>
      <c r="C27" s="395"/>
      <c r="D27" s="36"/>
      <c r="E27" s="536"/>
      <c r="F27" s="536"/>
      <c r="G27" s="536"/>
      <c r="H27" s="536"/>
    </row>
    <row r="28" spans="2:13" ht="12.75" customHeight="1">
      <c r="B28" s="396"/>
      <c r="C28" s="395"/>
      <c r="D28" s="36"/>
      <c r="E28" s="536"/>
      <c r="F28" s="536"/>
      <c r="G28" s="536"/>
      <c r="H28" s="536"/>
    </row>
    <row r="29" spans="2:13" ht="12.75" customHeight="1">
      <c r="B29" s="1040" t="s">
        <v>501</v>
      </c>
      <c r="C29" s="40"/>
      <c r="D29" s="2"/>
      <c r="E29" s="536"/>
      <c r="F29" s="536"/>
      <c r="G29" s="536"/>
      <c r="H29" s="536"/>
    </row>
    <row r="30" spans="2:13" ht="12.75" customHeight="1">
      <c r="B30" s="397" t="s">
        <v>502</v>
      </c>
      <c r="C30" s="40"/>
      <c r="D30" s="2"/>
      <c r="E30" s="536"/>
      <c r="F30" s="536"/>
      <c r="G30" s="536"/>
      <c r="H30" s="536"/>
    </row>
    <row r="31" spans="2:13" ht="12.75" customHeight="1">
      <c r="B31" s="397" t="s">
        <v>503</v>
      </c>
      <c r="C31" s="40"/>
      <c r="D31" s="2"/>
      <c r="E31" s="536"/>
      <c r="F31" s="536"/>
      <c r="G31" s="536"/>
      <c r="H31" s="536"/>
    </row>
    <row r="32" spans="2:13" ht="17.25" customHeight="1" thickBot="1">
      <c r="B32" s="41"/>
      <c r="C32" s="91"/>
      <c r="D32" s="42"/>
      <c r="E32" s="42"/>
      <c r="F32" s="42"/>
      <c r="G32" s="42"/>
      <c r="H32" s="41"/>
    </row>
    <row r="33" spans="2:9" ht="18" customHeight="1" thickBot="1">
      <c r="B33" s="280" t="s">
        <v>504</v>
      </c>
      <c r="C33" s="1103" t="s">
        <v>505</v>
      </c>
      <c r="D33" s="1103"/>
      <c r="E33" s="1103"/>
      <c r="F33" s="1103"/>
      <c r="G33" s="1103"/>
      <c r="H33" s="1104"/>
    </row>
    <row r="34" spans="2:9" ht="18" customHeight="1" thickBot="1">
      <c r="B34" s="1032" t="s">
        <v>473</v>
      </c>
      <c r="C34" s="1033" t="s">
        <v>474</v>
      </c>
      <c r="D34" s="1033" t="s">
        <v>475</v>
      </c>
      <c r="E34" s="1033" t="s">
        <v>476</v>
      </c>
      <c r="F34" s="1033" t="s">
        <v>477</v>
      </c>
      <c r="G34" s="1034" t="s">
        <v>478</v>
      </c>
      <c r="H34" s="1035" t="s">
        <v>479</v>
      </c>
    </row>
    <row r="35" spans="2:9" ht="18" customHeight="1">
      <c r="B35" s="1028" t="s">
        <v>506</v>
      </c>
      <c r="C35" s="1029" t="s">
        <v>507</v>
      </c>
      <c r="D35" s="178">
        <v>1300</v>
      </c>
      <c r="E35" s="178">
        <v>1600</v>
      </c>
      <c r="F35" s="178">
        <v>1600</v>
      </c>
      <c r="G35" s="1030" t="s">
        <v>478</v>
      </c>
      <c r="H35" s="1031" t="s">
        <v>485</v>
      </c>
      <c r="I35" s="222"/>
    </row>
    <row r="36" spans="2:9" ht="18" customHeight="1" thickBot="1">
      <c r="B36" s="458" t="s">
        <v>493</v>
      </c>
      <c r="C36" s="459" t="s">
        <v>508</v>
      </c>
      <c r="D36" s="998">
        <v>550</v>
      </c>
      <c r="E36" s="998">
        <v>550</v>
      </c>
      <c r="F36" s="999">
        <v>550</v>
      </c>
      <c r="G36" s="460" t="s">
        <v>478</v>
      </c>
      <c r="H36" s="461" t="s">
        <v>18</v>
      </c>
      <c r="I36" s="222"/>
    </row>
    <row r="37" spans="2:9" ht="17.25" customHeight="1" thickBot="1">
      <c r="B37" s="41"/>
      <c r="C37" s="91"/>
      <c r="D37" s="42"/>
      <c r="E37" s="42"/>
      <c r="F37" s="42"/>
      <c r="G37" s="42"/>
      <c r="H37" s="41"/>
    </row>
    <row r="38" spans="2:9" ht="17.25" customHeight="1">
      <c r="B38" s="280" t="s">
        <v>509</v>
      </c>
      <c r="C38" s="1103" t="s">
        <v>472</v>
      </c>
      <c r="D38" s="1103"/>
      <c r="E38" s="1103"/>
      <c r="F38" s="1103"/>
      <c r="G38" s="1103"/>
      <c r="H38" s="1104"/>
    </row>
    <row r="39" spans="2:9" ht="18.75" customHeight="1" thickBot="1">
      <c r="B39" s="153" t="s">
        <v>473</v>
      </c>
      <c r="C39" s="152" t="s">
        <v>474</v>
      </c>
      <c r="D39" s="152" t="s">
        <v>475</v>
      </c>
      <c r="E39" s="152" t="s">
        <v>476</v>
      </c>
      <c r="F39" s="152" t="s">
        <v>477</v>
      </c>
      <c r="G39" s="257" t="s">
        <v>478</v>
      </c>
      <c r="H39" s="154" t="s">
        <v>479</v>
      </c>
    </row>
    <row r="40" spans="2:9" ht="17.25" customHeight="1">
      <c r="B40" s="301" t="s">
        <v>510</v>
      </c>
      <c r="C40" s="302" t="s">
        <v>511</v>
      </c>
      <c r="D40" s="303">
        <f>'Rechenblatt neu'!$C11</f>
        <v>400</v>
      </c>
      <c r="E40" s="303">
        <f>'Rechenblatt neu'!D11</f>
        <v>400</v>
      </c>
      <c r="F40" s="303">
        <f>E40</f>
        <v>400</v>
      </c>
      <c r="G40" s="441" t="s">
        <v>478</v>
      </c>
      <c r="H40" s="444" t="s">
        <v>512</v>
      </c>
    </row>
    <row r="41" spans="2:9" ht="17.25" customHeight="1">
      <c r="B41" s="246" t="s">
        <v>510</v>
      </c>
      <c r="C41" s="248" t="s">
        <v>513</v>
      </c>
      <c r="D41" s="247">
        <f t="shared" ref="D41:E43" si="0">D40</f>
        <v>400</v>
      </c>
      <c r="E41" s="247">
        <f t="shared" si="0"/>
        <v>400</v>
      </c>
      <c r="F41" s="247">
        <f>E41</f>
        <v>400</v>
      </c>
      <c r="G41" s="442" t="s">
        <v>478</v>
      </c>
      <c r="H41" s="249" t="s">
        <v>512</v>
      </c>
    </row>
    <row r="42" spans="2:9" ht="17.25" customHeight="1">
      <c r="B42" s="246" t="s">
        <v>510</v>
      </c>
      <c r="C42" s="248" t="s">
        <v>514</v>
      </c>
      <c r="D42" s="247">
        <f t="shared" si="0"/>
        <v>400</v>
      </c>
      <c r="E42" s="247">
        <f t="shared" si="0"/>
        <v>400</v>
      </c>
      <c r="F42" s="247">
        <f>E42</f>
        <v>400</v>
      </c>
      <c r="G42" s="442" t="s">
        <v>478</v>
      </c>
      <c r="H42" s="249" t="s">
        <v>512</v>
      </c>
    </row>
    <row r="43" spans="2:9" ht="17.25" customHeight="1">
      <c r="B43" s="246" t="s">
        <v>510</v>
      </c>
      <c r="C43" s="248" t="s">
        <v>515</v>
      </c>
      <c r="D43" s="247">
        <f t="shared" si="0"/>
        <v>400</v>
      </c>
      <c r="E43" s="247">
        <f t="shared" si="0"/>
        <v>400</v>
      </c>
      <c r="F43" s="247">
        <f>E43</f>
        <v>400</v>
      </c>
      <c r="G43" s="442" t="s">
        <v>478</v>
      </c>
      <c r="H43" s="249" t="s">
        <v>512</v>
      </c>
    </row>
    <row r="44" spans="2:9" ht="17.25" customHeight="1" thickBot="1">
      <c r="B44" s="250" t="s">
        <v>510</v>
      </c>
      <c r="C44" s="251" t="s">
        <v>516</v>
      </c>
      <c r="D44" s="304">
        <f>D43</f>
        <v>400</v>
      </c>
      <c r="E44" s="304">
        <f>E42</f>
        <v>400</v>
      </c>
      <c r="F44" s="304">
        <f>E44</f>
        <v>400</v>
      </c>
      <c r="G44" s="443" t="s">
        <v>478</v>
      </c>
      <c r="H44" s="300" t="s">
        <v>512</v>
      </c>
    </row>
    <row r="45" spans="2:9" ht="17.25" customHeight="1" thickBot="1">
      <c r="B45" s="35"/>
      <c r="C45" s="237"/>
      <c r="D45" s="238"/>
      <c r="E45" s="238"/>
      <c r="F45" s="238"/>
      <c r="G45" s="238"/>
      <c r="H45" s="41"/>
    </row>
    <row r="46" spans="2:9" ht="19.5" customHeight="1">
      <c r="B46" s="280" t="s">
        <v>517</v>
      </c>
      <c r="C46" s="1101" t="s">
        <v>472</v>
      </c>
      <c r="D46" s="1101"/>
      <c r="E46" s="1101"/>
      <c r="F46" s="1101"/>
      <c r="G46" s="1101"/>
      <c r="H46" s="1102"/>
    </row>
    <row r="47" spans="2:9" ht="13.5" thickBot="1">
      <c r="B47" s="227" t="s">
        <v>474</v>
      </c>
      <c r="C47" s="226" t="s">
        <v>518</v>
      </c>
      <c r="D47" s="226" t="s">
        <v>475</v>
      </c>
      <c r="E47" s="226" t="s">
        <v>476</v>
      </c>
      <c r="F47" s="226" t="s">
        <v>477</v>
      </c>
      <c r="G47" s="242" t="s">
        <v>478</v>
      </c>
      <c r="H47" s="228"/>
    </row>
    <row r="48" spans="2:9" ht="22.5" customHeight="1">
      <c r="B48" s="457" t="s">
        <v>237</v>
      </c>
      <c r="C48" s="445" t="s">
        <v>238</v>
      </c>
      <c r="D48" s="537">
        <v>950</v>
      </c>
      <c r="E48" s="537">
        <v>1150</v>
      </c>
      <c r="F48" s="537">
        <v>1150</v>
      </c>
      <c r="G48" s="445" t="s">
        <v>239</v>
      </c>
      <c r="H48" s="347"/>
    </row>
    <row r="49" spans="2:8" ht="22.5" customHeight="1">
      <c r="B49" s="457" t="s">
        <v>242</v>
      </c>
      <c r="C49" s="445" t="s">
        <v>141</v>
      </c>
      <c r="D49" s="537">
        <v>200</v>
      </c>
      <c r="E49" s="537">
        <v>325</v>
      </c>
      <c r="F49" s="537">
        <v>325</v>
      </c>
      <c r="G49" s="445" t="s">
        <v>239</v>
      </c>
      <c r="H49" s="348"/>
    </row>
    <row r="50" spans="2:8" ht="22.5" customHeight="1">
      <c r="B50" s="457" t="s">
        <v>245</v>
      </c>
      <c r="C50" s="445" t="s">
        <v>141</v>
      </c>
      <c r="D50" s="537">
        <v>225</v>
      </c>
      <c r="E50" s="537">
        <v>325</v>
      </c>
      <c r="F50" s="537">
        <v>325</v>
      </c>
      <c r="G50" s="445" t="s">
        <v>239</v>
      </c>
      <c r="H50" s="348"/>
    </row>
    <row r="51" spans="2:8" ht="22.5" customHeight="1">
      <c r="B51" s="457" t="s">
        <v>247</v>
      </c>
      <c r="C51" s="445" t="s">
        <v>142</v>
      </c>
      <c r="D51" s="537">
        <v>450</v>
      </c>
      <c r="E51" s="537">
        <v>725</v>
      </c>
      <c r="F51" s="537">
        <v>725</v>
      </c>
      <c r="G51" s="445" t="s">
        <v>239</v>
      </c>
      <c r="H51" s="349"/>
    </row>
    <row r="52" spans="2:8" ht="22.5" customHeight="1">
      <c r="B52" s="457" t="s">
        <v>250</v>
      </c>
      <c r="C52" s="445" t="s">
        <v>160</v>
      </c>
      <c r="D52" s="537">
        <v>250</v>
      </c>
      <c r="E52" s="537">
        <v>375</v>
      </c>
      <c r="F52" s="537">
        <v>375</v>
      </c>
      <c r="G52" s="445" t="s">
        <v>239</v>
      </c>
      <c r="H52" s="349"/>
    </row>
    <row r="53" spans="2:8" ht="22.5" customHeight="1">
      <c r="B53" s="457" t="s">
        <v>253</v>
      </c>
      <c r="C53" s="445" t="s">
        <v>134</v>
      </c>
      <c r="D53" s="537">
        <v>375</v>
      </c>
      <c r="E53" s="537">
        <v>575</v>
      </c>
      <c r="F53" s="537">
        <v>575</v>
      </c>
      <c r="G53" s="445" t="s">
        <v>239</v>
      </c>
      <c r="H53" s="349"/>
    </row>
    <row r="54" spans="2:8" ht="22.5" customHeight="1">
      <c r="B54" s="457" t="s">
        <v>254</v>
      </c>
      <c r="C54" s="445" t="s">
        <v>134</v>
      </c>
      <c r="D54" s="537">
        <v>150</v>
      </c>
      <c r="E54" s="537">
        <v>250</v>
      </c>
      <c r="F54" s="537">
        <v>250</v>
      </c>
      <c r="G54" s="445" t="s">
        <v>239</v>
      </c>
      <c r="H54" s="349"/>
    </row>
    <row r="55" spans="2:8" ht="22.5" customHeight="1">
      <c r="B55" s="457" t="s">
        <v>256</v>
      </c>
      <c r="C55" s="445" t="s">
        <v>160</v>
      </c>
      <c r="D55" s="537">
        <v>325</v>
      </c>
      <c r="E55" s="537">
        <v>500</v>
      </c>
      <c r="F55" s="537">
        <v>500</v>
      </c>
      <c r="G55" s="445" t="s">
        <v>239</v>
      </c>
      <c r="H55" s="349"/>
    </row>
    <row r="56" spans="2:8" ht="22.5" customHeight="1">
      <c r="B56" s="457" t="s">
        <v>258</v>
      </c>
      <c r="C56" s="445" t="s">
        <v>138</v>
      </c>
      <c r="D56" s="537">
        <v>775</v>
      </c>
      <c r="E56" s="537">
        <v>1375</v>
      </c>
      <c r="F56" s="537">
        <v>1375</v>
      </c>
      <c r="G56" s="445" t="s">
        <v>239</v>
      </c>
      <c r="H56" s="349"/>
    </row>
    <row r="57" spans="2:8" ht="22.5" customHeight="1">
      <c r="B57" s="457" t="s">
        <v>258</v>
      </c>
      <c r="C57" s="445" t="s">
        <v>142</v>
      </c>
      <c r="D57" s="537">
        <v>1075</v>
      </c>
      <c r="E57" s="537">
        <v>1875</v>
      </c>
      <c r="F57" s="537">
        <v>1875</v>
      </c>
      <c r="G57" s="445" t="s">
        <v>239</v>
      </c>
      <c r="H57" s="349"/>
    </row>
    <row r="58" spans="2:8" ht="22.5" customHeight="1">
      <c r="B58" s="457" t="s">
        <v>129</v>
      </c>
      <c r="C58" s="445" t="s">
        <v>137</v>
      </c>
      <c r="D58" s="537">
        <v>70</v>
      </c>
      <c r="E58" s="537">
        <v>90</v>
      </c>
      <c r="F58" s="537">
        <v>90</v>
      </c>
      <c r="G58" s="445" t="s">
        <v>239</v>
      </c>
      <c r="H58" s="349"/>
    </row>
    <row r="59" spans="2:8" ht="22.5" customHeight="1">
      <c r="B59" s="538" t="s">
        <v>264</v>
      </c>
      <c r="C59" s="445" t="s">
        <v>159</v>
      </c>
      <c r="D59" s="537">
        <v>475</v>
      </c>
      <c r="E59" s="537">
        <v>800</v>
      </c>
      <c r="F59" s="537">
        <v>800</v>
      </c>
      <c r="G59" s="445" t="s">
        <v>239</v>
      </c>
      <c r="H59" s="349"/>
    </row>
    <row r="60" spans="2:8" ht="22.5" customHeight="1">
      <c r="B60" s="457" t="s">
        <v>267</v>
      </c>
      <c r="C60" s="445" t="s">
        <v>141</v>
      </c>
      <c r="D60" s="537">
        <v>400</v>
      </c>
      <c r="E60" s="537">
        <v>725</v>
      </c>
      <c r="F60" s="537">
        <v>725</v>
      </c>
      <c r="G60" s="445" t="s">
        <v>239</v>
      </c>
      <c r="H60" s="349"/>
    </row>
    <row r="61" spans="2:8" ht="22.5" customHeight="1">
      <c r="B61" s="457" t="s">
        <v>269</v>
      </c>
      <c r="C61" s="445" t="s">
        <v>141</v>
      </c>
      <c r="D61" s="537">
        <v>350</v>
      </c>
      <c r="E61" s="537">
        <v>575</v>
      </c>
      <c r="F61" s="537">
        <v>575</v>
      </c>
      <c r="G61" s="445" t="s">
        <v>239</v>
      </c>
      <c r="H61" s="348"/>
    </row>
    <row r="62" spans="2:8" ht="22.5" customHeight="1">
      <c r="B62" s="457" t="s">
        <v>271</v>
      </c>
      <c r="C62" s="445" t="s">
        <v>141</v>
      </c>
      <c r="D62" s="537">
        <v>200</v>
      </c>
      <c r="E62" s="537">
        <v>300</v>
      </c>
      <c r="F62" s="537">
        <v>300</v>
      </c>
      <c r="G62" s="445" t="s">
        <v>239</v>
      </c>
      <c r="H62" s="349"/>
    </row>
    <row r="63" spans="2:8" ht="22.5" customHeight="1">
      <c r="B63" s="457" t="s">
        <v>273</v>
      </c>
      <c r="C63" s="445" t="s">
        <v>141</v>
      </c>
      <c r="D63" s="537">
        <v>200</v>
      </c>
      <c r="E63" s="537">
        <v>325</v>
      </c>
      <c r="F63" s="537">
        <v>325</v>
      </c>
      <c r="G63" s="445" t="s">
        <v>239</v>
      </c>
      <c r="H63" s="348"/>
    </row>
    <row r="64" spans="2:8" ht="22.5" customHeight="1">
      <c r="B64" s="457" t="s">
        <v>274</v>
      </c>
      <c r="C64" s="445" t="s">
        <v>141</v>
      </c>
      <c r="D64" s="537">
        <v>1275</v>
      </c>
      <c r="E64" s="537">
        <v>1625</v>
      </c>
      <c r="F64" s="537">
        <v>1625</v>
      </c>
      <c r="G64" s="445" t="s">
        <v>239</v>
      </c>
      <c r="H64" s="349"/>
    </row>
    <row r="65" spans="2:8" ht="22.5" customHeight="1">
      <c r="B65" s="457" t="s">
        <v>277</v>
      </c>
      <c r="C65" s="445" t="s">
        <v>141</v>
      </c>
      <c r="D65" s="537">
        <v>425</v>
      </c>
      <c r="E65" s="537">
        <v>750</v>
      </c>
      <c r="F65" s="537">
        <v>750</v>
      </c>
      <c r="G65" s="445" t="s">
        <v>239</v>
      </c>
      <c r="H65" s="348"/>
    </row>
    <row r="66" spans="2:8" ht="22.5" customHeight="1">
      <c r="B66" s="457" t="s">
        <v>280</v>
      </c>
      <c r="C66" s="445" t="s">
        <v>142</v>
      </c>
      <c r="D66" s="537">
        <v>900</v>
      </c>
      <c r="E66" s="537">
        <v>1575</v>
      </c>
      <c r="F66" s="537">
        <v>1575</v>
      </c>
      <c r="G66" s="445" t="s">
        <v>239</v>
      </c>
      <c r="H66" s="349"/>
    </row>
    <row r="67" spans="2:8" ht="22.5" customHeight="1">
      <c r="B67" s="457" t="s">
        <v>283</v>
      </c>
      <c r="C67" s="445" t="s">
        <v>141</v>
      </c>
      <c r="D67" s="537">
        <v>250</v>
      </c>
      <c r="E67" s="537">
        <v>375</v>
      </c>
      <c r="F67" s="537">
        <v>375</v>
      </c>
      <c r="G67" s="445" t="s">
        <v>239</v>
      </c>
      <c r="H67" s="348"/>
    </row>
    <row r="68" spans="2:8" ht="22.5" customHeight="1">
      <c r="B68" s="457" t="s">
        <v>284</v>
      </c>
      <c r="C68" s="445" t="s">
        <v>142</v>
      </c>
      <c r="D68" s="537">
        <v>975</v>
      </c>
      <c r="E68" s="537">
        <v>1775</v>
      </c>
      <c r="F68" s="537">
        <v>1775</v>
      </c>
      <c r="G68" s="445" t="s">
        <v>239</v>
      </c>
      <c r="H68" s="348"/>
    </row>
    <row r="69" spans="2:8" ht="22.5" customHeight="1">
      <c r="B69" s="457" t="s">
        <v>287</v>
      </c>
      <c r="C69" s="445" t="s">
        <v>170</v>
      </c>
      <c r="D69" s="537">
        <v>225</v>
      </c>
      <c r="E69" s="537">
        <v>350</v>
      </c>
      <c r="F69" s="537">
        <v>350</v>
      </c>
      <c r="G69" s="445" t="s">
        <v>239</v>
      </c>
      <c r="H69" s="349"/>
    </row>
    <row r="70" spans="2:8" ht="22.5" customHeight="1">
      <c r="B70" s="457" t="s">
        <v>288</v>
      </c>
      <c r="C70" s="445" t="s">
        <v>134</v>
      </c>
      <c r="D70" s="537">
        <v>175</v>
      </c>
      <c r="E70" s="537">
        <v>325</v>
      </c>
      <c r="F70" s="537">
        <v>325</v>
      </c>
      <c r="G70" s="445" t="s">
        <v>239</v>
      </c>
      <c r="H70" s="348"/>
    </row>
    <row r="71" spans="2:8" ht="21.75" customHeight="1">
      <c r="B71" s="457" t="s">
        <v>290</v>
      </c>
      <c r="C71" s="445" t="s">
        <v>146</v>
      </c>
      <c r="D71" s="537">
        <v>405</v>
      </c>
      <c r="E71" s="537">
        <v>710</v>
      </c>
      <c r="F71" s="537">
        <v>710</v>
      </c>
      <c r="G71" s="445" t="s">
        <v>239</v>
      </c>
      <c r="H71" s="349"/>
    </row>
    <row r="72" spans="2:8" ht="22.5" customHeight="1">
      <c r="B72" s="457" t="s">
        <v>293</v>
      </c>
      <c r="C72" s="445" t="s">
        <v>170</v>
      </c>
      <c r="D72" s="537">
        <v>175</v>
      </c>
      <c r="E72" s="537">
        <v>300</v>
      </c>
      <c r="F72" s="537">
        <v>300</v>
      </c>
      <c r="G72" s="445" t="s">
        <v>239</v>
      </c>
      <c r="H72" s="348"/>
    </row>
    <row r="73" spans="2:8" ht="22.5" customHeight="1">
      <c r="B73" s="457" t="s">
        <v>294</v>
      </c>
      <c r="C73" s="445" t="s">
        <v>155</v>
      </c>
      <c r="D73" s="537">
        <v>900</v>
      </c>
      <c r="E73" s="537">
        <v>1100</v>
      </c>
      <c r="F73" s="537">
        <v>1100</v>
      </c>
      <c r="G73" s="445" t="s">
        <v>239</v>
      </c>
      <c r="H73" s="349"/>
    </row>
    <row r="74" spans="2:8" ht="22.5" customHeight="1">
      <c r="B74" s="457" t="s">
        <v>296</v>
      </c>
      <c r="C74" s="445" t="s">
        <v>159</v>
      </c>
      <c r="D74" s="537">
        <v>150</v>
      </c>
      <c r="E74" s="537">
        <v>275</v>
      </c>
      <c r="F74" s="537">
        <v>275</v>
      </c>
      <c r="G74" s="445" t="s">
        <v>239</v>
      </c>
      <c r="H74" s="349"/>
    </row>
    <row r="75" spans="2:8" ht="22.5" customHeight="1">
      <c r="B75" s="457" t="s">
        <v>296</v>
      </c>
      <c r="C75" s="445" t="s">
        <v>137</v>
      </c>
      <c r="D75" s="537">
        <v>250</v>
      </c>
      <c r="E75" s="537">
        <v>425</v>
      </c>
      <c r="F75" s="537">
        <v>425</v>
      </c>
      <c r="G75" s="445" t="s">
        <v>239</v>
      </c>
      <c r="H75" s="349"/>
    </row>
    <row r="76" spans="2:8" ht="22.5" customHeight="1">
      <c r="B76" s="457" t="s">
        <v>298</v>
      </c>
      <c r="C76" s="445" t="s">
        <v>178</v>
      </c>
      <c r="D76" s="537">
        <v>225</v>
      </c>
      <c r="E76" s="537">
        <v>375</v>
      </c>
      <c r="F76" s="537">
        <v>375</v>
      </c>
      <c r="G76" s="445" t="s">
        <v>239</v>
      </c>
      <c r="H76" s="349"/>
    </row>
    <row r="77" spans="2:8" ht="22.5" customHeight="1">
      <c r="B77" s="457" t="s">
        <v>298</v>
      </c>
      <c r="C77" s="445" t="s">
        <v>159</v>
      </c>
      <c r="D77" s="537">
        <v>300</v>
      </c>
      <c r="E77" s="537">
        <v>450</v>
      </c>
      <c r="F77" s="537">
        <v>450</v>
      </c>
      <c r="G77" s="445" t="s">
        <v>239</v>
      </c>
      <c r="H77" s="349"/>
    </row>
    <row r="78" spans="2:8" ht="22.5" customHeight="1">
      <c r="B78" s="457" t="s">
        <v>299</v>
      </c>
      <c r="C78" s="445" t="s">
        <v>134</v>
      </c>
      <c r="D78" s="537">
        <v>250</v>
      </c>
      <c r="E78" s="537">
        <v>375</v>
      </c>
      <c r="F78" s="537">
        <v>375</v>
      </c>
      <c r="G78" s="445" t="s">
        <v>239</v>
      </c>
      <c r="H78" s="348"/>
    </row>
    <row r="79" spans="2:8" ht="22.5" customHeight="1">
      <c r="B79" s="457" t="s">
        <v>299</v>
      </c>
      <c r="C79" s="445" t="s">
        <v>146</v>
      </c>
      <c r="D79" s="537">
        <v>325</v>
      </c>
      <c r="E79" s="537">
        <v>475</v>
      </c>
      <c r="F79" s="537">
        <v>475</v>
      </c>
      <c r="G79" s="445" t="s">
        <v>239</v>
      </c>
      <c r="H79" s="348"/>
    </row>
    <row r="80" spans="2:8" ht="22.5" customHeight="1">
      <c r="B80" s="457" t="s">
        <v>300</v>
      </c>
      <c r="C80" s="445" t="s">
        <v>134</v>
      </c>
      <c r="D80" s="537">
        <v>175</v>
      </c>
      <c r="E80" s="537">
        <v>300</v>
      </c>
      <c r="F80" s="537">
        <v>300</v>
      </c>
      <c r="G80" s="445" t="s">
        <v>239</v>
      </c>
      <c r="H80" s="348"/>
    </row>
    <row r="81" spans="2:8" ht="22.5" customHeight="1">
      <c r="B81" s="457" t="s">
        <v>300</v>
      </c>
      <c r="C81" s="445" t="s">
        <v>146</v>
      </c>
      <c r="D81" s="537">
        <v>275</v>
      </c>
      <c r="E81" s="537">
        <v>400</v>
      </c>
      <c r="F81" s="537">
        <v>400</v>
      </c>
      <c r="G81" s="445" t="s">
        <v>239</v>
      </c>
      <c r="H81" s="349"/>
    </row>
    <row r="82" spans="2:8" ht="22.5" customHeight="1">
      <c r="B82" s="457" t="s">
        <v>301</v>
      </c>
      <c r="C82" s="445" t="s">
        <v>134</v>
      </c>
      <c r="D82" s="537">
        <v>175</v>
      </c>
      <c r="E82" s="537">
        <v>325</v>
      </c>
      <c r="F82" s="537">
        <v>325</v>
      </c>
      <c r="G82" s="445" t="s">
        <v>239</v>
      </c>
      <c r="H82" s="349"/>
    </row>
    <row r="83" spans="2:8" ht="22.5" customHeight="1">
      <c r="B83" s="457" t="s">
        <v>301</v>
      </c>
      <c r="C83" s="445" t="s">
        <v>146</v>
      </c>
      <c r="D83" s="537">
        <v>250</v>
      </c>
      <c r="E83" s="537">
        <v>350</v>
      </c>
      <c r="F83" s="537">
        <v>350</v>
      </c>
      <c r="G83" s="445" t="s">
        <v>239</v>
      </c>
      <c r="H83" s="350"/>
    </row>
    <row r="84" spans="2:8" ht="22.5" customHeight="1">
      <c r="B84" s="457" t="s">
        <v>302</v>
      </c>
      <c r="C84" s="445" t="s">
        <v>134</v>
      </c>
      <c r="D84" s="537">
        <v>250</v>
      </c>
      <c r="E84" s="537">
        <v>450</v>
      </c>
      <c r="F84" s="537">
        <v>450</v>
      </c>
      <c r="G84" s="445" t="s">
        <v>239</v>
      </c>
      <c r="H84" s="349"/>
    </row>
    <row r="85" spans="2:8" ht="22.5" customHeight="1">
      <c r="B85" s="457" t="s">
        <v>303</v>
      </c>
      <c r="C85" s="445" t="s">
        <v>129</v>
      </c>
      <c r="D85" s="537">
        <v>850</v>
      </c>
      <c r="E85" s="537">
        <v>1050</v>
      </c>
      <c r="F85" s="537">
        <v>1050</v>
      </c>
      <c r="G85" s="445" t="s">
        <v>239</v>
      </c>
      <c r="H85" s="349"/>
    </row>
    <row r="86" spans="2:8" ht="22.5" customHeight="1">
      <c r="B86" s="457" t="s">
        <v>303</v>
      </c>
      <c r="C86" s="445" t="s">
        <v>159</v>
      </c>
      <c r="D86" s="537">
        <v>850</v>
      </c>
      <c r="E86" s="537">
        <v>1050</v>
      </c>
      <c r="F86" s="537">
        <v>1050</v>
      </c>
      <c r="G86" s="445" t="s">
        <v>239</v>
      </c>
      <c r="H86" s="350"/>
    </row>
    <row r="87" spans="2:8" ht="22.5" customHeight="1">
      <c r="B87" s="457" t="s">
        <v>305</v>
      </c>
      <c r="C87" s="445" t="s">
        <v>134</v>
      </c>
      <c r="D87" s="537">
        <v>225</v>
      </c>
      <c r="E87" s="537">
        <v>325</v>
      </c>
      <c r="F87" s="537">
        <v>325</v>
      </c>
      <c r="G87" s="445" t="s">
        <v>239</v>
      </c>
      <c r="H87" s="349"/>
    </row>
    <row r="88" spans="2:8" ht="22.5" customHeight="1">
      <c r="B88" s="457" t="s">
        <v>305</v>
      </c>
      <c r="C88" s="445" t="s">
        <v>138</v>
      </c>
      <c r="D88" s="537">
        <v>175</v>
      </c>
      <c r="E88" s="537">
        <v>300</v>
      </c>
      <c r="F88" s="537">
        <v>300</v>
      </c>
      <c r="G88" s="445" t="s">
        <v>239</v>
      </c>
      <c r="H88" s="350"/>
    </row>
    <row r="89" spans="2:8" ht="22.5" customHeight="1">
      <c r="B89" s="457" t="s">
        <v>305</v>
      </c>
      <c r="C89" s="445" t="s">
        <v>142</v>
      </c>
      <c r="D89" s="537">
        <v>225</v>
      </c>
      <c r="E89" s="537">
        <v>325</v>
      </c>
      <c r="F89" s="537">
        <v>325</v>
      </c>
      <c r="G89" s="445" t="s">
        <v>239</v>
      </c>
      <c r="H89" s="350"/>
    </row>
    <row r="90" spans="2:8" ht="22.5" customHeight="1">
      <c r="B90" s="457" t="s">
        <v>306</v>
      </c>
      <c r="C90" s="445" t="s">
        <v>146</v>
      </c>
      <c r="D90" s="537">
        <v>325</v>
      </c>
      <c r="E90" s="537">
        <v>475</v>
      </c>
      <c r="F90" s="537">
        <v>475</v>
      </c>
      <c r="G90" s="445" t="s">
        <v>239</v>
      </c>
      <c r="H90" s="349"/>
    </row>
    <row r="91" spans="2:8" ht="22.5" customHeight="1">
      <c r="B91" s="457" t="s">
        <v>307</v>
      </c>
      <c r="C91" s="445" t="s">
        <v>129</v>
      </c>
      <c r="D91" s="537">
        <v>875</v>
      </c>
      <c r="E91" s="537">
        <v>1150</v>
      </c>
      <c r="F91" s="537">
        <v>1150</v>
      </c>
      <c r="G91" s="445" t="s">
        <v>239</v>
      </c>
      <c r="H91" s="349"/>
    </row>
    <row r="92" spans="2:8" ht="22.5" customHeight="1">
      <c r="B92" s="457" t="s">
        <v>308</v>
      </c>
      <c r="C92" s="445" t="s">
        <v>137</v>
      </c>
      <c r="D92" s="537">
        <v>325</v>
      </c>
      <c r="E92" s="537">
        <v>450</v>
      </c>
      <c r="F92" s="537">
        <v>450</v>
      </c>
      <c r="G92" s="445" t="s">
        <v>239</v>
      </c>
      <c r="H92" s="349"/>
    </row>
    <row r="93" spans="2:8" ht="22.5" customHeight="1">
      <c r="B93" s="457" t="s">
        <v>309</v>
      </c>
      <c r="C93" s="445" t="s">
        <v>141</v>
      </c>
      <c r="D93" s="537">
        <v>325</v>
      </c>
      <c r="E93" s="537">
        <v>500</v>
      </c>
      <c r="F93" s="537">
        <v>500</v>
      </c>
      <c r="G93" s="445" t="s">
        <v>239</v>
      </c>
      <c r="H93" s="348"/>
    </row>
    <row r="94" spans="2:8" ht="22.5" customHeight="1">
      <c r="B94" s="457" t="s">
        <v>310</v>
      </c>
      <c r="C94" s="445" t="s">
        <v>170</v>
      </c>
      <c r="D94" s="537">
        <v>225</v>
      </c>
      <c r="E94" s="537">
        <v>325</v>
      </c>
      <c r="F94" s="537">
        <v>325</v>
      </c>
      <c r="G94" s="445" t="s">
        <v>239</v>
      </c>
      <c r="H94" s="349"/>
    </row>
    <row r="95" spans="2:8" ht="22.5" customHeight="1">
      <c r="B95" s="457" t="s">
        <v>311</v>
      </c>
      <c r="C95" s="445" t="s">
        <v>155</v>
      </c>
      <c r="D95" s="537">
        <v>850</v>
      </c>
      <c r="E95" s="537">
        <v>1025</v>
      </c>
      <c r="F95" s="537">
        <v>1025</v>
      </c>
      <c r="G95" s="445" t="s">
        <v>239</v>
      </c>
      <c r="H95" s="348"/>
    </row>
    <row r="96" spans="2:8" ht="22.5" customHeight="1">
      <c r="B96" s="457" t="s">
        <v>147</v>
      </c>
      <c r="C96" s="445" t="s">
        <v>160</v>
      </c>
      <c r="D96" s="537">
        <v>175</v>
      </c>
      <c r="E96" s="537">
        <v>300</v>
      </c>
      <c r="F96" s="537">
        <v>300</v>
      </c>
      <c r="G96" s="445" t="s">
        <v>239</v>
      </c>
      <c r="H96" s="350" t="s">
        <v>519</v>
      </c>
    </row>
    <row r="97" spans="2:8" ht="22.5" customHeight="1">
      <c r="B97" s="457" t="s">
        <v>313</v>
      </c>
      <c r="C97" s="445" t="s">
        <v>155</v>
      </c>
      <c r="D97" s="537">
        <v>750</v>
      </c>
      <c r="E97" s="537">
        <v>850</v>
      </c>
      <c r="F97" s="537">
        <v>850</v>
      </c>
      <c r="G97" s="445" t="s">
        <v>239</v>
      </c>
      <c r="H97" s="350"/>
    </row>
    <row r="98" spans="2:8" ht="22.5" customHeight="1">
      <c r="B98" s="457" t="s">
        <v>314</v>
      </c>
      <c r="C98" s="445" t="s">
        <v>170</v>
      </c>
      <c r="D98" s="537">
        <v>175</v>
      </c>
      <c r="E98" s="537">
        <v>275</v>
      </c>
      <c r="F98" s="537">
        <v>275</v>
      </c>
      <c r="G98" s="445" t="s">
        <v>239</v>
      </c>
      <c r="H98" s="350"/>
    </row>
    <row r="99" spans="2:8" ht="22.5" customHeight="1">
      <c r="B99" s="457" t="s">
        <v>315</v>
      </c>
      <c r="C99" s="445" t="s">
        <v>170</v>
      </c>
      <c r="D99" s="537">
        <v>225</v>
      </c>
      <c r="E99" s="537">
        <v>300</v>
      </c>
      <c r="F99" s="537">
        <v>300</v>
      </c>
      <c r="G99" s="445" t="s">
        <v>239</v>
      </c>
      <c r="H99" s="350"/>
    </row>
    <row r="100" spans="2:8" ht="22.5" customHeight="1">
      <c r="B100" s="457" t="s">
        <v>316</v>
      </c>
      <c r="C100" s="445" t="s">
        <v>141</v>
      </c>
      <c r="D100" s="537">
        <v>225</v>
      </c>
      <c r="E100" s="537">
        <v>325</v>
      </c>
      <c r="F100" s="537">
        <v>325</v>
      </c>
      <c r="G100" s="445" t="s">
        <v>239</v>
      </c>
      <c r="H100" s="350"/>
    </row>
    <row r="101" spans="2:8" ht="22.5" customHeight="1">
      <c r="B101" s="457" t="s">
        <v>317</v>
      </c>
      <c r="C101" s="445" t="s">
        <v>155</v>
      </c>
      <c r="D101" s="537">
        <v>800</v>
      </c>
      <c r="E101" s="537">
        <v>1000</v>
      </c>
      <c r="F101" s="537">
        <v>1000</v>
      </c>
      <c r="G101" s="445" t="s">
        <v>239</v>
      </c>
      <c r="H101" s="350"/>
    </row>
    <row r="102" spans="2:8" ht="22.5" customHeight="1">
      <c r="B102" s="457" t="s">
        <v>319</v>
      </c>
      <c r="C102" s="445" t="s">
        <v>155</v>
      </c>
      <c r="D102" s="537">
        <v>800</v>
      </c>
      <c r="E102" s="537">
        <v>1000</v>
      </c>
      <c r="F102" s="537">
        <v>1000</v>
      </c>
      <c r="G102" s="445" t="s">
        <v>239</v>
      </c>
      <c r="H102" s="350"/>
    </row>
    <row r="103" spans="2:8" ht="22.5" customHeight="1">
      <c r="B103" s="457" t="s">
        <v>320</v>
      </c>
      <c r="C103" s="445" t="s">
        <v>155</v>
      </c>
      <c r="D103" s="537">
        <v>750</v>
      </c>
      <c r="E103" s="537">
        <v>950</v>
      </c>
      <c r="F103" s="537">
        <v>950</v>
      </c>
      <c r="G103" s="445" t="s">
        <v>239</v>
      </c>
      <c r="H103" s="349"/>
    </row>
    <row r="104" spans="2:8" ht="22.5" customHeight="1">
      <c r="B104" s="457" t="s">
        <v>321</v>
      </c>
      <c r="C104" s="445" t="s">
        <v>155</v>
      </c>
      <c r="D104" s="537">
        <v>800</v>
      </c>
      <c r="E104" s="537">
        <v>1000</v>
      </c>
      <c r="F104" s="537">
        <v>1000</v>
      </c>
      <c r="G104" s="445" t="s">
        <v>239</v>
      </c>
      <c r="H104" s="348"/>
    </row>
    <row r="105" spans="2:8" ht="22.5" customHeight="1">
      <c r="B105" s="457" t="s">
        <v>153</v>
      </c>
      <c r="C105" s="445" t="s">
        <v>160</v>
      </c>
      <c r="D105" s="537">
        <v>300</v>
      </c>
      <c r="E105" s="537">
        <v>425</v>
      </c>
      <c r="F105" s="537">
        <v>425</v>
      </c>
      <c r="G105" s="445" t="s">
        <v>239</v>
      </c>
      <c r="H105" s="349"/>
    </row>
    <row r="106" spans="2:8" ht="22.5" customHeight="1">
      <c r="B106" s="457" t="s">
        <v>322</v>
      </c>
      <c r="C106" s="445" t="s">
        <v>134</v>
      </c>
      <c r="D106" s="537">
        <v>175</v>
      </c>
      <c r="E106" s="537">
        <v>250</v>
      </c>
      <c r="F106" s="537">
        <v>250</v>
      </c>
      <c r="G106" s="445" t="s">
        <v>239</v>
      </c>
      <c r="H106" s="349"/>
    </row>
    <row r="107" spans="2:8" ht="22.5" customHeight="1">
      <c r="B107" s="457" t="s">
        <v>322</v>
      </c>
      <c r="C107" s="445" t="s">
        <v>146</v>
      </c>
      <c r="D107" s="537">
        <v>250</v>
      </c>
      <c r="E107" s="537">
        <v>400</v>
      </c>
      <c r="F107" s="537">
        <v>400</v>
      </c>
      <c r="G107" s="445" t="s">
        <v>239</v>
      </c>
      <c r="H107" s="349"/>
    </row>
    <row r="108" spans="2:8" ht="22.5" customHeight="1">
      <c r="B108" s="457" t="s">
        <v>323</v>
      </c>
      <c r="C108" s="445" t="s">
        <v>159</v>
      </c>
      <c r="D108" s="537">
        <v>300</v>
      </c>
      <c r="E108" s="537">
        <v>450</v>
      </c>
      <c r="F108" s="537">
        <v>450</v>
      </c>
      <c r="G108" s="445" t="s">
        <v>239</v>
      </c>
      <c r="H108" s="349"/>
    </row>
    <row r="109" spans="2:8" ht="22.5" customHeight="1">
      <c r="B109" s="457" t="s">
        <v>324</v>
      </c>
      <c r="C109" s="445" t="s">
        <v>141</v>
      </c>
      <c r="D109" s="537">
        <v>200</v>
      </c>
      <c r="E109" s="537">
        <v>325</v>
      </c>
      <c r="F109" s="537">
        <v>325</v>
      </c>
      <c r="G109" s="445" t="s">
        <v>239</v>
      </c>
      <c r="H109" s="349"/>
    </row>
    <row r="110" spans="2:8" ht="22.5" customHeight="1">
      <c r="B110" s="457" t="s">
        <v>324</v>
      </c>
      <c r="C110" s="445" t="s">
        <v>137</v>
      </c>
      <c r="D110" s="537">
        <v>200</v>
      </c>
      <c r="E110" s="537">
        <v>325</v>
      </c>
      <c r="F110" s="537">
        <v>325</v>
      </c>
      <c r="G110" s="445" t="s">
        <v>325</v>
      </c>
      <c r="H110" s="349"/>
    </row>
    <row r="111" spans="2:8" ht="22.5" customHeight="1">
      <c r="B111" s="457" t="s">
        <v>326</v>
      </c>
      <c r="C111" s="445" t="s">
        <v>134</v>
      </c>
      <c r="D111" s="537">
        <v>175</v>
      </c>
      <c r="E111" s="537">
        <v>300</v>
      </c>
      <c r="F111" s="537">
        <v>300</v>
      </c>
      <c r="G111" s="445" t="s">
        <v>239</v>
      </c>
      <c r="H111" s="349"/>
    </row>
    <row r="112" spans="2:8" ht="22.5" customHeight="1">
      <c r="B112" s="457" t="s">
        <v>326</v>
      </c>
      <c r="C112" s="445" t="s">
        <v>146</v>
      </c>
      <c r="D112" s="537">
        <v>250</v>
      </c>
      <c r="E112" s="537">
        <v>350</v>
      </c>
      <c r="F112" s="537">
        <v>350</v>
      </c>
      <c r="G112" s="445" t="s">
        <v>239</v>
      </c>
      <c r="H112" s="348"/>
    </row>
    <row r="113" spans="2:8" ht="22.5" customHeight="1">
      <c r="B113" s="457" t="s">
        <v>327</v>
      </c>
      <c r="C113" s="445" t="s">
        <v>141</v>
      </c>
      <c r="D113" s="537">
        <v>175</v>
      </c>
      <c r="E113" s="537">
        <v>275</v>
      </c>
      <c r="F113" s="537">
        <v>275</v>
      </c>
      <c r="G113" s="445" t="s">
        <v>239</v>
      </c>
      <c r="H113" s="348"/>
    </row>
    <row r="114" spans="2:8" ht="22.5" customHeight="1">
      <c r="B114" s="457" t="s">
        <v>328</v>
      </c>
      <c r="C114" s="445" t="s">
        <v>141</v>
      </c>
      <c r="D114" s="537">
        <v>350</v>
      </c>
      <c r="E114" s="537">
        <v>575</v>
      </c>
      <c r="F114" s="537">
        <v>575</v>
      </c>
      <c r="G114" s="445" t="s">
        <v>239</v>
      </c>
      <c r="H114" s="348"/>
    </row>
    <row r="115" spans="2:8" ht="22.5" customHeight="1">
      <c r="B115" s="457" t="s">
        <v>329</v>
      </c>
      <c r="C115" s="445" t="s">
        <v>134</v>
      </c>
      <c r="D115" s="537">
        <v>150</v>
      </c>
      <c r="E115" s="537">
        <v>250</v>
      </c>
      <c r="F115" s="537">
        <v>250</v>
      </c>
      <c r="G115" s="445" t="s">
        <v>239</v>
      </c>
      <c r="H115" s="348"/>
    </row>
    <row r="116" spans="2:8" ht="22.5" customHeight="1">
      <c r="B116" s="457" t="s">
        <v>330</v>
      </c>
      <c r="C116" s="445" t="s">
        <v>141</v>
      </c>
      <c r="D116" s="537">
        <v>200</v>
      </c>
      <c r="E116" s="537">
        <v>250</v>
      </c>
      <c r="F116" s="537">
        <v>250</v>
      </c>
      <c r="G116" s="445" t="s">
        <v>239</v>
      </c>
      <c r="H116" s="348"/>
    </row>
    <row r="117" spans="2:8" ht="22.5" customHeight="1">
      <c r="B117" s="457" t="s">
        <v>331</v>
      </c>
      <c r="C117" s="445" t="s">
        <v>129</v>
      </c>
      <c r="D117" s="537">
        <v>800</v>
      </c>
      <c r="E117" s="537">
        <v>1100</v>
      </c>
      <c r="F117" s="537">
        <v>1100</v>
      </c>
      <c r="G117" s="445" t="s">
        <v>239</v>
      </c>
      <c r="H117" s="349"/>
    </row>
    <row r="118" spans="2:8" ht="22.5" customHeight="1">
      <c r="B118" s="457" t="s">
        <v>332</v>
      </c>
      <c r="C118" s="445" t="s">
        <v>135</v>
      </c>
      <c r="D118" s="537">
        <v>375</v>
      </c>
      <c r="E118" s="537">
        <v>375</v>
      </c>
      <c r="F118" s="537">
        <v>375</v>
      </c>
      <c r="G118" s="445" t="s">
        <v>239</v>
      </c>
      <c r="H118" s="349"/>
    </row>
    <row r="119" spans="2:8" ht="22.5" customHeight="1">
      <c r="B119" s="457" t="s">
        <v>333</v>
      </c>
      <c r="C119" s="445" t="s">
        <v>138</v>
      </c>
      <c r="D119" s="537">
        <v>775</v>
      </c>
      <c r="E119" s="537">
        <v>1375</v>
      </c>
      <c r="F119" s="537">
        <v>1375</v>
      </c>
      <c r="G119" s="445" t="s">
        <v>239</v>
      </c>
      <c r="H119" s="349"/>
    </row>
    <row r="120" spans="2:8" ht="22.5" customHeight="1">
      <c r="B120" s="457" t="s">
        <v>333</v>
      </c>
      <c r="C120" s="445" t="s">
        <v>142</v>
      </c>
      <c r="D120" s="537">
        <v>875</v>
      </c>
      <c r="E120" s="537">
        <v>1525</v>
      </c>
      <c r="F120" s="537">
        <v>1525</v>
      </c>
      <c r="G120" s="445" t="s">
        <v>239</v>
      </c>
      <c r="H120" s="349"/>
    </row>
    <row r="121" spans="2:8" ht="22.5" customHeight="1">
      <c r="B121" s="457" t="s">
        <v>336</v>
      </c>
      <c r="C121" s="445" t="s">
        <v>142</v>
      </c>
      <c r="D121" s="537">
        <v>325</v>
      </c>
      <c r="E121" s="537">
        <v>525</v>
      </c>
      <c r="F121" s="537">
        <v>525</v>
      </c>
      <c r="G121" s="445" t="s">
        <v>239</v>
      </c>
      <c r="H121" s="349"/>
    </row>
    <row r="122" spans="2:8" ht="22.5" customHeight="1">
      <c r="B122" s="457" t="s">
        <v>337</v>
      </c>
      <c r="C122" s="445" t="s">
        <v>138</v>
      </c>
      <c r="D122" s="537">
        <v>675</v>
      </c>
      <c r="E122" s="537">
        <v>1175</v>
      </c>
      <c r="F122" s="537">
        <v>1175</v>
      </c>
      <c r="G122" s="445" t="s">
        <v>239</v>
      </c>
      <c r="H122" s="349"/>
    </row>
    <row r="123" spans="2:8" ht="22.5" customHeight="1">
      <c r="B123" s="457" t="s">
        <v>337</v>
      </c>
      <c r="C123" s="445" t="s">
        <v>142</v>
      </c>
      <c r="D123" s="537">
        <v>925</v>
      </c>
      <c r="E123" s="537">
        <v>1625</v>
      </c>
      <c r="F123" s="537">
        <v>1625</v>
      </c>
      <c r="G123" s="445" t="s">
        <v>239</v>
      </c>
      <c r="H123" s="349"/>
    </row>
    <row r="124" spans="2:8" ht="22.5" customHeight="1">
      <c r="B124" s="457" t="s">
        <v>340</v>
      </c>
      <c r="C124" s="445" t="s">
        <v>155</v>
      </c>
      <c r="D124" s="537">
        <v>700</v>
      </c>
      <c r="E124" s="537">
        <v>850</v>
      </c>
      <c r="F124" s="537">
        <v>850</v>
      </c>
      <c r="G124" s="445" t="s">
        <v>239</v>
      </c>
      <c r="H124" s="348"/>
    </row>
    <row r="125" spans="2:8" ht="22.5" customHeight="1">
      <c r="B125" s="457" t="s">
        <v>341</v>
      </c>
      <c r="C125" s="445" t="s">
        <v>129</v>
      </c>
      <c r="D125" s="537">
        <v>225</v>
      </c>
      <c r="E125" s="537">
        <v>325</v>
      </c>
      <c r="F125" s="537">
        <v>325</v>
      </c>
      <c r="G125" s="445" t="s">
        <v>239</v>
      </c>
      <c r="H125" s="348"/>
    </row>
    <row r="126" spans="2:8" ht="22.5" customHeight="1">
      <c r="B126" s="457" t="s">
        <v>342</v>
      </c>
      <c r="C126" s="445" t="s">
        <v>138</v>
      </c>
      <c r="D126" s="537">
        <v>1075</v>
      </c>
      <c r="E126" s="537">
        <v>1975</v>
      </c>
      <c r="F126" s="537">
        <v>1975</v>
      </c>
      <c r="G126" s="445" t="s">
        <v>239</v>
      </c>
      <c r="H126" s="348"/>
    </row>
    <row r="127" spans="2:8" ht="22.5" customHeight="1">
      <c r="B127" s="457" t="s">
        <v>344</v>
      </c>
      <c r="C127" s="445" t="s">
        <v>160</v>
      </c>
      <c r="D127" s="537">
        <v>225</v>
      </c>
      <c r="E127" s="537">
        <v>350</v>
      </c>
      <c r="F127" s="537">
        <v>350</v>
      </c>
      <c r="G127" s="445" t="s">
        <v>239</v>
      </c>
      <c r="H127" s="348"/>
    </row>
    <row r="128" spans="2:8" ht="22.5" customHeight="1">
      <c r="B128" s="457" t="s">
        <v>345</v>
      </c>
      <c r="C128" s="445" t="s">
        <v>160</v>
      </c>
      <c r="D128" s="537">
        <v>275</v>
      </c>
      <c r="E128" s="537">
        <v>395</v>
      </c>
      <c r="F128" s="537">
        <v>395</v>
      </c>
      <c r="G128" s="445" t="s">
        <v>239</v>
      </c>
      <c r="H128" s="348"/>
    </row>
    <row r="129" spans="2:8" ht="22.5" customHeight="1">
      <c r="B129" s="457" t="s">
        <v>347</v>
      </c>
      <c r="C129" s="445" t="s">
        <v>146</v>
      </c>
      <c r="D129" s="537">
        <v>250</v>
      </c>
      <c r="E129" s="537">
        <v>375</v>
      </c>
      <c r="F129" s="537">
        <v>375</v>
      </c>
      <c r="G129" s="445" t="s">
        <v>239</v>
      </c>
      <c r="H129" s="348"/>
    </row>
    <row r="130" spans="2:8" ht="22.5" customHeight="1">
      <c r="B130" s="457" t="s">
        <v>348</v>
      </c>
      <c r="C130" s="445" t="s">
        <v>170</v>
      </c>
      <c r="D130" s="537">
        <v>300</v>
      </c>
      <c r="E130" s="537">
        <v>400</v>
      </c>
      <c r="F130" s="537">
        <v>400</v>
      </c>
      <c r="G130" s="445" t="s">
        <v>239</v>
      </c>
      <c r="H130" s="348"/>
    </row>
    <row r="131" spans="2:8" ht="22.5" customHeight="1">
      <c r="B131" s="457" t="s">
        <v>349</v>
      </c>
      <c r="C131" s="445" t="s">
        <v>520</v>
      </c>
      <c r="D131" s="537">
        <v>300</v>
      </c>
      <c r="E131" s="537">
        <v>525</v>
      </c>
      <c r="F131" s="537">
        <v>525</v>
      </c>
      <c r="G131" s="445" t="s">
        <v>239</v>
      </c>
      <c r="H131" s="348"/>
    </row>
    <row r="132" spans="2:8" ht="22.5" customHeight="1">
      <c r="B132" s="457" t="s">
        <v>350</v>
      </c>
      <c r="C132" s="445" t="s">
        <v>140</v>
      </c>
      <c r="D132" s="537">
        <v>305</v>
      </c>
      <c r="E132" s="537">
        <v>375</v>
      </c>
      <c r="F132" s="537">
        <v>375</v>
      </c>
      <c r="G132" s="445" t="s">
        <v>325</v>
      </c>
      <c r="H132" s="349"/>
    </row>
    <row r="133" spans="2:8" ht="22.5" customHeight="1">
      <c r="B133" s="457" t="s">
        <v>352</v>
      </c>
      <c r="C133" s="445" t="s">
        <v>141</v>
      </c>
      <c r="D133" s="537">
        <v>550</v>
      </c>
      <c r="E133" s="537">
        <v>950</v>
      </c>
      <c r="F133" s="537">
        <v>950</v>
      </c>
      <c r="G133" s="445" t="s">
        <v>239</v>
      </c>
      <c r="H133" s="348"/>
    </row>
    <row r="134" spans="2:8" ht="22.5" customHeight="1">
      <c r="B134" s="457" t="s">
        <v>355</v>
      </c>
      <c r="C134" s="445" t="s">
        <v>141</v>
      </c>
      <c r="D134" s="537">
        <v>225</v>
      </c>
      <c r="E134" s="537">
        <v>350</v>
      </c>
      <c r="F134" s="537">
        <v>350</v>
      </c>
      <c r="G134" s="445" t="s">
        <v>239</v>
      </c>
      <c r="H134" s="349"/>
    </row>
    <row r="135" spans="2:8" ht="22.5" customHeight="1">
      <c r="B135" s="457" t="s">
        <v>356</v>
      </c>
      <c r="C135" s="445" t="s">
        <v>134</v>
      </c>
      <c r="D135" s="537">
        <v>375</v>
      </c>
      <c r="E135" s="537">
        <v>600</v>
      </c>
      <c r="F135" s="537">
        <v>600</v>
      </c>
      <c r="G135" s="445" t="s">
        <v>239</v>
      </c>
      <c r="H135" s="348"/>
    </row>
    <row r="136" spans="2:8" ht="22.5" customHeight="1">
      <c r="B136" s="457" t="s">
        <v>358</v>
      </c>
      <c r="C136" s="445" t="s">
        <v>155</v>
      </c>
      <c r="D136" s="537">
        <v>900</v>
      </c>
      <c r="E136" s="537">
        <v>1000</v>
      </c>
      <c r="F136" s="537">
        <v>1000</v>
      </c>
      <c r="G136" s="445" t="s">
        <v>239</v>
      </c>
      <c r="H136" s="349"/>
    </row>
    <row r="137" spans="2:8" ht="22.5" customHeight="1">
      <c r="B137" s="457" t="s">
        <v>359</v>
      </c>
      <c r="C137" s="445" t="s">
        <v>134</v>
      </c>
      <c r="D137" s="537">
        <v>450</v>
      </c>
      <c r="E137" s="537">
        <v>700</v>
      </c>
      <c r="F137" s="537">
        <v>700</v>
      </c>
      <c r="G137" s="445" t="s">
        <v>239</v>
      </c>
      <c r="H137" s="348"/>
    </row>
    <row r="138" spans="2:8" ht="22.5" customHeight="1">
      <c r="B138" s="457" t="s">
        <v>359</v>
      </c>
      <c r="C138" s="445" t="s">
        <v>159</v>
      </c>
      <c r="D138" s="537">
        <v>450</v>
      </c>
      <c r="E138" s="537">
        <v>700</v>
      </c>
      <c r="F138" s="537">
        <v>700</v>
      </c>
      <c r="G138" s="445" t="s">
        <v>239</v>
      </c>
      <c r="H138" s="539"/>
    </row>
    <row r="139" spans="2:8" ht="22.5" customHeight="1">
      <c r="B139" s="457" t="s">
        <v>359</v>
      </c>
      <c r="C139" s="445" t="s">
        <v>142</v>
      </c>
      <c r="D139" s="537">
        <v>450</v>
      </c>
      <c r="E139" s="537">
        <v>700</v>
      </c>
      <c r="F139" s="537">
        <v>700</v>
      </c>
      <c r="G139" s="445" t="s">
        <v>239</v>
      </c>
      <c r="H139" s="348"/>
    </row>
    <row r="140" spans="2:8" ht="22.5" customHeight="1">
      <c r="B140" s="457" t="s">
        <v>361</v>
      </c>
      <c r="C140" s="445" t="s">
        <v>155</v>
      </c>
      <c r="D140" s="537">
        <v>800</v>
      </c>
      <c r="E140" s="537">
        <v>1000</v>
      </c>
      <c r="F140" s="537">
        <v>1000</v>
      </c>
      <c r="G140" s="445" t="s">
        <v>239</v>
      </c>
      <c r="H140" s="349"/>
    </row>
    <row r="141" spans="2:8" ht="22.5" customHeight="1">
      <c r="B141" s="457" t="s">
        <v>362</v>
      </c>
      <c r="C141" s="445" t="s">
        <v>178</v>
      </c>
      <c r="D141" s="537">
        <v>225</v>
      </c>
      <c r="E141" s="537">
        <v>375</v>
      </c>
      <c r="F141" s="537">
        <v>375</v>
      </c>
      <c r="G141" s="445" t="s">
        <v>239</v>
      </c>
      <c r="H141" s="348"/>
    </row>
    <row r="142" spans="2:8" ht="22.5" customHeight="1">
      <c r="B142" s="457" t="s">
        <v>363</v>
      </c>
      <c r="C142" s="445" t="s">
        <v>155</v>
      </c>
      <c r="D142" s="537">
        <v>800</v>
      </c>
      <c r="E142" s="537">
        <v>1000</v>
      </c>
      <c r="F142" s="537">
        <v>1000</v>
      </c>
      <c r="G142" s="445" t="s">
        <v>239</v>
      </c>
      <c r="H142" s="349"/>
    </row>
    <row r="143" spans="2:8" ht="22.5" customHeight="1">
      <c r="B143" s="457" t="s">
        <v>364</v>
      </c>
      <c r="C143" s="445" t="s">
        <v>155</v>
      </c>
      <c r="D143" s="537">
        <v>750</v>
      </c>
      <c r="E143" s="537">
        <v>900</v>
      </c>
      <c r="F143" s="537">
        <v>900</v>
      </c>
      <c r="G143" s="445" t="s">
        <v>239</v>
      </c>
      <c r="H143" s="348"/>
    </row>
    <row r="144" spans="2:8" ht="22.5" customHeight="1">
      <c r="B144" s="457" t="s">
        <v>365</v>
      </c>
      <c r="C144" s="445" t="s">
        <v>138</v>
      </c>
      <c r="D144" s="537">
        <v>825</v>
      </c>
      <c r="E144" s="537">
        <v>1475</v>
      </c>
      <c r="F144" s="537">
        <v>1475</v>
      </c>
      <c r="G144" s="445" t="s">
        <v>239</v>
      </c>
      <c r="H144" s="349"/>
    </row>
    <row r="145" spans="2:8" ht="22.5" customHeight="1">
      <c r="B145" s="457" t="s">
        <v>365</v>
      </c>
      <c r="C145" s="445" t="s">
        <v>142</v>
      </c>
      <c r="D145" s="537">
        <v>875</v>
      </c>
      <c r="E145" s="537">
        <v>1525</v>
      </c>
      <c r="F145" s="537">
        <v>1525</v>
      </c>
      <c r="G145" s="445" t="s">
        <v>239</v>
      </c>
      <c r="H145" s="348"/>
    </row>
    <row r="146" spans="2:8" ht="22.5" customHeight="1">
      <c r="B146" s="457" t="s">
        <v>368</v>
      </c>
      <c r="C146" s="445" t="s">
        <v>155</v>
      </c>
      <c r="D146" s="537">
        <v>950</v>
      </c>
      <c r="E146" s="537">
        <v>1250</v>
      </c>
      <c r="F146" s="537">
        <v>1250</v>
      </c>
      <c r="G146" s="445" t="s">
        <v>239</v>
      </c>
      <c r="H146" s="348"/>
    </row>
    <row r="147" spans="2:8" ht="22.5" customHeight="1">
      <c r="B147" s="457" t="s">
        <v>369</v>
      </c>
      <c r="C147" s="445" t="s">
        <v>159</v>
      </c>
      <c r="D147" s="537">
        <v>1250</v>
      </c>
      <c r="E147" s="537">
        <v>1600</v>
      </c>
      <c r="F147" s="537">
        <v>1600</v>
      </c>
      <c r="G147" s="445" t="s">
        <v>239</v>
      </c>
      <c r="H147" s="349"/>
    </row>
    <row r="148" spans="2:8" ht="22.5" customHeight="1">
      <c r="B148" s="457" t="s">
        <v>371</v>
      </c>
      <c r="C148" s="445" t="s">
        <v>141</v>
      </c>
      <c r="D148" s="537">
        <v>325</v>
      </c>
      <c r="E148" s="537">
        <v>550</v>
      </c>
      <c r="F148" s="537">
        <v>550</v>
      </c>
      <c r="G148" s="445" t="s">
        <v>239</v>
      </c>
      <c r="H148" s="349"/>
    </row>
    <row r="149" spans="2:8" ht="22.5" customHeight="1">
      <c r="B149" s="457" t="s">
        <v>372</v>
      </c>
      <c r="C149" s="445" t="s">
        <v>170</v>
      </c>
      <c r="D149" s="537">
        <v>275</v>
      </c>
      <c r="E149" s="537">
        <v>375</v>
      </c>
      <c r="F149" s="537">
        <v>375</v>
      </c>
      <c r="G149" s="445" t="s">
        <v>239</v>
      </c>
      <c r="H149" s="349"/>
    </row>
    <row r="150" spans="2:8" ht="22.5" customHeight="1">
      <c r="B150" s="457" t="s">
        <v>373</v>
      </c>
      <c r="C150" s="445" t="s">
        <v>168</v>
      </c>
      <c r="D150" s="537">
        <v>200</v>
      </c>
      <c r="E150" s="537">
        <v>300</v>
      </c>
      <c r="F150" s="537">
        <v>300</v>
      </c>
      <c r="G150" s="445" t="s">
        <v>239</v>
      </c>
      <c r="H150" s="349"/>
    </row>
    <row r="151" spans="2:8" ht="22.5" customHeight="1">
      <c r="B151" s="457" t="s">
        <v>375</v>
      </c>
      <c r="C151" s="445" t="s">
        <v>141</v>
      </c>
      <c r="D151" s="537">
        <v>200</v>
      </c>
      <c r="E151" s="537">
        <v>300</v>
      </c>
      <c r="F151" s="537">
        <v>300</v>
      </c>
      <c r="G151" s="445" t="s">
        <v>239</v>
      </c>
      <c r="H151" s="348"/>
    </row>
    <row r="152" spans="2:8" ht="22.5" customHeight="1">
      <c r="B152" s="457" t="s">
        <v>375</v>
      </c>
      <c r="C152" s="445" t="s">
        <v>137</v>
      </c>
      <c r="D152" s="537">
        <v>200</v>
      </c>
      <c r="E152" s="537">
        <v>300</v>
      </c>
      <c r="F152" s="537">
        <v>300</v>
      </c>
      <c r="G152" s="445" t="s">
        <v>239</v>
      </c>
      <c r="H152" s="348"/>
    </row>
    <row r="153" spans="2:8" ht="22.5" customHeight="1">
      <c r="B153" s="457" t="s">
        <v>376</v>
      </c>
      <c r="C153" s="445" t="s">
        <v>129</v>
      </c>
      <c r="D153" s="537">
        <v>800</v>
      </c>
      <c r="E153" s="537">
        <v>1100</v>
      </c>
      <c r="F153" s="537">
        <v>1100</v>
      </c>
      <c r="G153" s="445" t="s">
        <v>239</v>
      </c>
      <c r="H153" s="348"/>
    </row>
    <row r="154" spans="2:8" ht="22.5" customHeight="1">
      <c r="B154" s="457" t="s">
        <v>376</v>
      </c>
      <c r="C154" s="445" t="s">
        <v>238</v>
      </c>
      <c r="D154" s="537">
        <v>1100</v>
      </c>
      <c r="E154" s="537">
        <v>1600</v>
      </c>
      <c r="F154" s="537">
        <v>1600</v>
      </c>
      <c r="G154" s="445" t="s">
        <v>239</v>
      </c>
      <c r="H154" s="349"/>
    </row>
    <row r="155" spans="2:8" ht="22.5" customHeight="1">
      <c r="B155" s="457" t="s">
        <v>377</v>
      </c>
      <c r="C155" s="445" t="s">
        <v>155</v>
      </c>
      <c r="D155" s="537">
        <v>600</v>
      </c>
      <c r="E155" s="537">
        <v>700</v>
      </c>
      <c r="F155" s="537">
        <v>700</v>
      </c>
      <c r="G155" s="445" t="s">
        <v>239</v>
      </c>
      <c r="H155" s="348"/>
    </row>
    <row r="156" spans="2:8" ht="22.5" customHeight="1">
      <c r="B156" s="457" t="s">
        <v>378</v>
      </c>
      <c r="C156" s="445" t="s">
        <v>142</v>
      </c>
      <c r="D156" s="537">
        <v>425</v>
      </c>
      <c r="E156" s="537">
        <v>650</v>
      </c>
      <c r="F156" s="537">
        <v>650</v>
      </c>
      <c r="G156" s="445" t="s">
        <v>239</v>
      </c>
      <c r="H156" s="348"/>
    </row>
    <row r="157" spans="2:8" ht="22.5" customHeight="1">
      <c r="B157" s="457" t="s">
        <v>379</v>
      </c>
      <c r="C157" s="445" t="s">
        <v>142</v>
      </c>
      <c r="D157" s="537">
        <v>425</v>
      </c>
      <c r="E157" s="537">
        <v>675</v>
      </c>
      <c r="F157" s="537">
        <v>675</v>
      </c>
      <c r="G157" s="445" t="s">
        <v>239</v>
      </c>
      <c r="H157" s="348"/>
    </row>
    <row r="158" spans="2:8" ht="22.5" customHeight="1">
      <c r="B158" s="457" t="s">
        <v>380</v>
      </c>
      <c r="C158" s="445" t="s">
        <v>142</v>
      </c>
      <c r="D158" s="537">
        <v>450</v>
      </c>
      <c r="E158" s="537">
        <v>725</v>
      </c>
      <c r="F158" s="537">
        <v>725</v>
      </c>
      <c r="G158" s="445" t="s">
        <v>239</v>
      </c>
      <c r="H158" s="349"/>
    </row>
    <row r="159" spans="2:8" ht="22.5" customHeight="1">
      <c r="B159" s="457" t="s">
        <v>381</v>
      </c>
      <c r="C159" s="445" t="s">
        <v>146</v>
      </c>
      <c r="D159" s="537">
        <v>150</v>
      </c>
      <c r="E159" s="537">
        <v>250</v>
      </c>
      <c r="F159" s="537">
        <v>250</v>
      </c>
      <c r="G159" s="445" t="s">
        <v>239</v>
      </c>
      <c r="H159" s="348"/>
    </row>
    <row r="160" spans="2:8" ht="22.5" customHeight="1">
      <c r="B160" s="457" t="s">
        <v>382</v>
      </c>
      <c r="C160" s="445" t="s">
        <v>160</v>
      </c>
      <c r="D160" s="537">
        <v>225</v>
      </c>
      <c r="E160" s="537">
        <v>325</v>
      </c>
      <c r="F160" s="537">
        <v>325</v>
      </c>
      <c r="G160" s="445" t="s">
        <v>239</v>
      </c>
      <c r="H160" s="349"/>
    </row>
    <row r="161" spans="2:8" ht="22.5" customHeight="1">
      <c r="B161" s="457" t="s">
        <v>383</v>
      </c>
      <c r="C161" s="445" t="s">
        <v>142</v>
      </c>
      <c r="D161" s="537">
        <v>585</v>
      </c>
      <c r="E161" s="537">
        <v>795</v>
      </c>
      <c r="F161" s="537">
        <v>795</v>
      </c>
      <c r="G161" s="445" t="s">
        <v>239</v>
      </c>
      <c r="H161" s="348"/>
    </row>
    <row r="162" spans="2:8" ht="22.5" customHeight="1">
      <c r="B162" s="457" t="s">
        <v>386</v>
      </c>
      <c r="C162" s="445" t="s">
        <v>160</v>
      </c>
      <c r="D162" s="537">
        <v>250</v>
      </c>
      <c r="E162" s="537">
        <v>350</v>
      </c>
      <c r="F162" s="537">
        <v>350</v>
      </c>
      <c r="G162" s="445" t="s">
        <v>239</v>
      </c>
      <c r="H162" s="348"/>
    </row>
    <row r="163" spans="2:8" ht="22.5" customHeight="1">
      <c r="B163" s="457" t="s">
        <v>387</v>
      </c>
      <c r="C163" s="445" t="s">
        <v>142</v>
      </c>
      <c r="D163" s="537">
        <v>675</v>
      </c>
      <c r="E163" s="537">
        <v>975</v>
      </c>
      <c r="F163" s="537">
        <v>975</v>
      </c>
      <c r="G163" s="445" t="s">
        <v>239</v>
      </c>
      <c r="H163" s="349"/>
    </row>
    <row r="164" spans="2:8" ht="22.5" customHeight="1">
      <c r="B164" s="457" t="s">
        <v>388</v>
      </c>
      <c r="C164" s="445" t="s">
        <v>145</v>
      </c>
      <c r="D164" s="537">
        <v>225</v>
      </c>
      <c r="E164" s="537">
        <v>375</v>
      </c>
      <c r="F164" s="537">
        <v>375</v>
      </c>
      <c r="G164" s="445" t="s">
        <v>239</v>
      </c>
      <c r="H164" s="348"/>
    </row>
    <row r="165" spans="2:8" ht="22.5" customHeight="1">
      <c r="B165" s="457" t="s">
        <v>389</v>
      </c>
      <c r="C165" s="445" t="s">
        <v>146</v>
      </c>
      <c r="D165" s="537">
        <v>450</v>
      </c>
      <c r="E165" s="537">
        <v>725</v>
      </c>
      <c r="F165" s="537">
        <v>725</v>
      </c>
      <c r="G165" s="445" t="s">
        <v>239</v>
      </c>
      <c r="H165" s="349"/>
    </row>
    <row r="166" spans="2:8" ht="22.5" customHeight="1">
      <c r="B166" s="457" t="s">
        <v>390</v>
      </c>
      <c r="C166" s="445" t="s">
        <v>521</v>
      </c>
      <c r="D166" s="537">
        <v>325</v>
      </c>
      <c r="E166" s="537">
        <v>525</v>
      </c>
      <c r="F166" s="537">
        <v>525</v>
      </c>
      <c r="G166" s="445" t="s">
        <v>239</v>
      </c>
      <c r="H166" s="348"/>
    </row>
    <row r="167" spans="2:8" ht="22.5" customHeight="1">
      <c r="B167" s="457" t="s">
        <v>391</v>
      </c>
      <c r="C167" s="445" t="s">
        <v>142</v>
      </c>
      <c r="D167" s="537">
        <v>575</v>
      </c>
      <c r="E167" s="537">
        <v>1025</v>
      </c>
      <c r="F167" s="537">
        <v>1025</v>
      </c>
      <c r="G167" s="445" t="s">
        <v>239</v>
      </c>
      <c r="H167" s="348"/>
    </row>
    <row r="168" spans="2:8" ht="22.5" customHeight="1">
      <c r="B168" s="457" t="s">
        <v>393</v>
      </c>
      <c r="C168" s="445" t="s">
        <v>140</v>
      </c>
      <c r="D168" s="537">
        <v>175</v>
      </c>
      <c r="E168" s="537">
        <v>250</v>
      </c>
      <c r="F168" s="537">
        <v>250</v>
      </c>
      <c r="G168" s="445" t="s">
        <v>239</v>
      </c>
      <c r="H168" s="349"/>
    </row>
    <row r="169" spans="2:8" ht="22.5" customHeight="1">
      <c r="B169" s="457" t="s">
        <v>394</v>
      </c>
      <c r="C169" s="445" t="s">
        <v>141</v>
      </c>
      <c r="D169" s="537">
        <v>200</v>
      </c>
      <c r="E169" s="537">
        <v>325</v>
      </c>
      <c r="F169" s="537">
        <v>325</v>
      </c>
      <c r="G169" s="445" t="s">
        <v>239</v>
      </c>
      <c r="H169" s="348"/>
    </row>
    <row r="170" spans="2:8" ht="22.5" customHeight="1">
      <c r="B170" s="457" t="s">
        <v>395</v>
      </c>
      <c r="C170" s="445" t="s">
        <v>155</v>
      </c>
      <c r="D170" s="537">
        <v>900</v>
      </c>
      <c r="E170" s="537">
        <v>1000</v>
      </c>
      <c r="F170" s="537">
        <v>1000</v>
      </c>
      <c r="G170" s="445" t="s">
        <v>239</v>
      </c>
      <c r="H170" s="349"/>
    </row>
    <row r="171" spans="2:8" ht="22.5" customHeight="1">
      <c r="B171" s="457" t="s">
        <v>396</v>
      </c>
      <c r="C171" s="445" t="s">
        <v>138</v>
      </c>
      <c r="D171" s="537">
        <v>875</v>
      </c>
      <c r="E171" s="537">
        <v>1575</v>
      </c>
      <c r="F171" s="537">
        <v>1575</v>
      </c>
      <c r="G171" s="445" t="s">
        <v>239</v>
      </c>
      <c r="H171" s="349"/>
    </row>
    <row r="172" spans="2:8" ht="22.5" customHeight="1">
      <c r="B172" s="457" t="s">
        <v>397</v>
      </c>
      <c r="C172" s="445" t="s">
        <v>170</v>
      </c>
      <c r="D172" s="537">
        <v>275</v>
      </c>
      <c r="E172" s="537">
        <v>375</v>
      </c>
      <c r="F172" s="537">
        <v>375</v>
      </c>
      <c r="G172" s="445" t="s">
        <v>239</v>
      </c>
      <c r="H172" s="349"/>
    </row>
    <row r="173" spans="2:8" ht="22.5" customHeight="1">
      <c r="B173" s="457" t="s">
        <v>398</v>
      </c>
      <c r="C173" s="445" t="s">
        <v>170</v>
      </c>
      <c r="D173" s="537">
        <v>250</v>
      </c>
      <c r="E173" s="537">
        <v>375</v>
      </c>
      <c r="F173" s="537">
        <v>375</v>
      </c>
      <c r="G173" s="445" t="s">
        <v>239</v>
      </c>
      <c r="H173" s="348"/>
    </row>
    <row r="174" spans="2:8" ht="22.5" customHeight="1">
      <c r="B174" s="457" t="s">
        <v>399</v>
      </c>
      <c r="C174" s="445" t="s">
        <v>155</v>
      </c>
      <c r="D174" s="537">
        <v>1000</v>
      </c>
      <c r="E174" s="537">
        <v>1350</v>
      </c>
      <c r="F174" s="537">
        <v>1350</v>
      </c>
      <c r="G174" s="445" t="s">
        <v>239</v>
      </c>
      <c r="H174" s="348"/>
    </row>
    <row r="175" spans="2:8" ht="22.5" customHeight="1">
      <c r="B175" s="457" t="s">
        <v>400</v>
      </c>
      <c r="C175" s="445" t="s">
        <v>160</v>
      </c>
      <c r="D175" s="537">
        <v>375</v>
      </c>
      <c r="E175" s="537">
        <v>425</v>
      </c>
      <c r="F175" s="537">
        <v>425</v>
      </c>
      <c r="G175" s="445" t="s">
        <v>239</v>
      </c>
      <c r="H175" s="349"/>
    </row>
    <row r="176" spans="2:8" ht="22.5" customHeight="1">
      <c r="B176" s="457" t="s">
        <v>401</v>
      </c>
      <c r="C176" s="445" t="s">
        <v>402</v>
      </c>
      <c r="D176" s="537">
        <v>1150</v>
      </c>
      <c r="E176" s="537">
        <v>1600</v>
      </c>
      <c r="F176" s="537">
        <v>1600</v>
      </c>
      <c r="G176" s="445" t="s">
        <v>239</v>
      </c>
      <c r="H176" s="349"/>
    </row>
    <row r="177" spans="2:8" ht="22.5" customHeight="1">
      <c r="B177" s="457" t="s">
        <v>403</v>
      </c>
      <c r="C177" s="445" t="s">
        <v>134</v>
      </c>
      <c r="D177" s="537">
        <v>225</v>
      </c>
      <c r="E177" s="537">
        <v>250</v>
      </c>
      <c r="F177" s="537">
        <v>250</v>
      </c>
      <c r="G177" s="445" t="s">
        <v>239</v>
      </c>
      <c r="H177" s="349"/>
    </row>
    <row r="178" spans="2:8" ht="22.5" customHeight="1">
      <c r="B178" s="457" t="s">
        <v>403</v>
      </c>
      <c r="C178" s="445" t="s">
        <v>146</v>
      </c>
      <c r="D178" s="537">
        <v>300</v>
      </c>
      <c r="E178" s="537">
        <v>475</v>
      </c>
      <c r="F178" s="537">
        <v>475</v>
      </c>
      <c r="G178" s="445" t="s">
        <v>239</v>
      </c>
      <c r="H178" s="348"/>
    </row>
    <row r="179" spans="2:8" ht="22.5" customHeight="1">
      <c r="B179" s="457" t="s">
        <v>404</v>
      </c>
      <c r="C179" s="445" t="s">
        <v>141</v>
      </c>
      <c r="D179" s="537">
        <v>325</v>
      </c>
      <c r="E179" s="537">
        <v>575</v>
      </c>
      <c r="F179" s="537">
        <v>575</v>
      </c>
      <c r="G179" s="445" t="s">
        <v>239</v>
      </c>
      <c r="H179" s="348"/>
    </row>
    <row r="180" spans="2:8" ht="22.5" customHeight="1">
      <c r="B180" s="457" t="s">
        <v>405</v>
      </c>
      <c r="C180" s="445" t="s">
        <v>170</v>
      </c>
      <c r="D180" s="537">
        <v>250</v>
      </c>
      <c r="E180" s="537">
        <v>375</v>
      </c>
      <c r="F180" s="537">
        <v>375</v>
      </c>
      <c r="G180" s="445" t="s">
        <v>239</v>
      </c>
      <c r="H180" s="349"/>
    </row>
    <row r="181" spans="2:8" ht="22.5" customHeight="1">
      <c r="B181" s="457" t="s">
        <v>406</v>
      </c>
      <c r="C181" s="445" t="s">
        <v>155</v>
      </c>
      <c r="D181" s="537">
        <v>700</v>
      </c>
      <c r="E181" s="537">
        <v>750</v>
      </c>
      <c r="F181" s="537">
        <v>750</v>
      </c>
      <c r="G181" s="445" t="s">
        <v>239</v>
      </c>
      <c r="H181" s="349"/>
    </row>
    <row r="182" spans="2:8" ht="22.5" customHeight="1">
      <c r="B182" s="457" t="s">
        <v>407</v>
      </c>
      <c r="C182" s="445" t="s">
        <v>170</v>
      </c>
      <c r="D182" s="537">
        <v>250</v>
      </c>
      <c r="E182" s="537">
        <v>350</v>
      </c>
      <c r="F182" s="537">
        <v>350</v>
      </c>
      <c r="G182" s="445" t="s">
        <v>239</v>
      </c>
      <c r="H182" s="348"/>
    </row>
    <row r="183" spans="2:8" ht="22.5" customHeight="1">
      <c r="B183" s="457" t="s">
        <v>408</v>
      </c>
      <c r="C183" s="445" t="s">
        <v>134</v>
      </c>
      <c r="D183" s="537">
        <v>175</v>
      </c>
      <c r="E183" s="537">
        <v>250</v>
      </c>
      <c r="F183" s="537">
        <v>250</v>
      </c>
      <c r="G183" s="445" t="s">
        <v>239</v>
      </c>
      <c r="H183" s="349"/>
    </row>
    <row r="184" spans="2:8" ht="22.5" customHeight="1">
      <c r="B184" s="457" t="s">
        <v>409</v>
      </c>
      <c r="C184" s="445" t="s">
        <v>138</v>
      </c>
      <c r="D184" s="537">
        <v>775</v>
      </c>
      <c r="E184" s="537">
        <v>1375</v>
      </c>
      <c r="F184" s="537">
        <v>1375</v>
      </c>
      <c r="G184" s="445" t="s">
        <v>239</v>
      </c>
      <c r="H184" s="349"/>
    </row>
    <row r="185" spans="2:8" ht="22.5" customHeight="1">
      <c r="B185" s="457" t="s">
        <v>410</v>
      </c>
      <c r="C185" s="445" t="s">
        <v>160</v>
      </c>
      <c r="D185" s="537">
        <v>450</v>
      </c>
      <c r="E185" s="537">
        <v>775</v>
      </c>
      <c r="F185" s="537">
        <v>775</v>
      </c>
      <c r="G185" s="445" t="s">
        <v>239</v>
      </c>
      <c r="H185" s="349"/>
    </row>
    <row r="186" spans="2:8" ht="22.5" customHeight="1">
      <c r="B186" s="457" t="s">
        <v>411</v>
      </c>
      <c r="C186" s="445" t="s">
        <v>142</v>
      </c>
      <c r="D186" s="537">
        <v>250</v>
      </c>
      <c r="E186" s="537">
        <v>500</v>
      </c>
      <c r="F186" s="537">
        <v>500</v>
      </c>
      <c r="G186" s="445" t="s">
        <v>239</v>
      </c>
      <c r="H186" s="349"/>
    </row>
    <row r="187" spans="2:8" ht="22.5" customHeight="1">
      <c r="B187" s="457" t="s">
        <v>412</v>
      </c>
      <c r="C187" s="445" t="s">
        <v>160</v>
      </c>
      <c r="D187" s="537">
        <v>375</v>
      </c>
      <c r="E187" s="537">
        <v>425</v>
      </c>
      <c r="F187" s="537">
        <v>425</v>
      </c>
      <c r="G187" s="445" t="s">
        <v>239</v>
      </c>
      <c r="H187" s="348"/>
    </row>
    <row r="188" spans="2:8" ht="22.5" customHeight="1">
      <c r="B188" s="457" t="s">
        <v>413</v>
      </c>
      <c r="C188" s="445" t="s">
        <v>168</v>
      </c>
      <c r="D188" s="537">
        <v>200</v>
      </c>
      <c r="E188" s="537">
        <v>325</v>
      </c>
      <c r="F188" s="537">
        <v>325</v>
      </c>
      <c r="G188" s="445" t="s">
        <v>239</v>
      </c>
      <c r="H188" s="349"/>
    </row>
    <row r="189" spans="2:8" ht="22.5" customHeight="1">
      <c r="B189" s="457" t="s">
        <v>414</v>
      </c>
      <c r="C189" s="445" t="s">
        <v>179</v>
      </c>
      <c r="D189" s="537">
        <v>175</v>
      </c>
      <c r="E189" s="537">
        <v>275</v>
      </c>
      <c r="F189" s="537">
        <v>275</v>
      </c>
      <c r="G189" s="445" t="s">
        <v>239</v>
      </c>
      <c r="H189" s="349"/>
    </row>
    <row r="190" spans="2:8" ht="22.5" customHeight="1">
      <c r="B190" s="457" t="s">
        <v>415</v>
      </c>
      <c r="C190" s="445" t="s">
        <v>141</v>
      </c>
      <c r="D190" s="537">
        <v>200</v>
      </c>
      <c r="E190" s="537">
        <v>325</v>
      </c>
      <c r="F190" s="537">
        <v>325</v>
      </c>
      <c r="G190" s="445" t="s">
        <v>239</v>
      </c>
      <c r="H190" s="349"/>
    </row>
    <row r="191" spans="2:8" ht="22.5" customHeight="1">
      <c r="B191" s="457" t="s">
        <v>416</v>
      </c>
      <c r="C191" s="445" t="s">
        <v>155</v>
      </c>
      <c r="D191" s="537">
        <v>800</v>
      </c>
      <c r="E191" s="537">
        <v>1000</v>
      </c>
      <c r="F191" s="537">
        <v>1000</v>
      </c>
      <c r="G191" s="445" t="s">
        <v>239</v>
      </c>
      <c r="H191" s="349"/>
    </row>
    <row r="192" spans="2:8" ht="22.5" customHeight="1">
      <c r="B192" s="457" t="s">
        <v>417</v>
      </c>
      <c r="C192" s="445" t="s">
        <v>160</v>
      </c>
      <c r="D192" s="537">
        <v>175</v>
      </c>
      <c r="E192" s="537">
        <v>325</v>
      </c>
      <c r="F192" s="537">
        <v>325</v>
      </c>
      <c r="G192" s="445" t="s">
        <v>239</v>
      </c>
      <c r="H192" s="349"/>
    </row>
    <row r="193" spans="2:8" ht="22.5" customHeight="1">
      <c r="B193" s="457" t="s">
        <v>418</v>
      </c>
      <c r="C193" s="445" t="s">
        <v>142</v>
      </c>
      <c r="D193" s="537">
        <v>275</v>
      </c>
      <c r="E193" s="537">
        <v>375</v>
      </c>
      <c r="F193" s="537">
        <v>375</v>
      </c>
      <c r="G193" s="445" t="s">
        <v>239</v>
      </c>
      <c r="H193" s="349"/>
    </row>
    <row r="194" spans="2:8" ht="22.5" customHeight="1">
      <c r="B194" s="457" t="s">
        <v>419</v>
      </c>
      <c r="C194" s="445" t="s">
        <v>159</v>
      </c>
      <c r="D194" s="537">
        <v>300</v>
      </c>
      <c r="E194" s="537">
        <v>300</v>
      </c>
      <c r="F194" s="537">
        <v>300</v>
      </c>
      <c r="G194" s="445" t="s">
        <v>239</v>
      </c>
      <c r="H194" s="349"/>
    </row>
    <row r="195" spans="2:8" ht="22.5" customHeight="1">
      <c r="B195" s="457" t="s">
        <v>420</v>
      </c>
      <c r="C195" s="445" t="s">
        <v>138</v>
      </c>
      <c r="D195" s="537">
        <v>875</v>
      </c>
      <c r="E195" s="537">
        <v>1575</v>
      </c>
      <c r="F195" s="537">
        <v>1575</v>
      </c>
      <c r="G195" s="445" t="s">
        <v>239</v>
      </c>
      <c r="H195" s="349"/>
    </row>
    <row r="196" spans="2:8" ht="22.5" customHeight="1">
      <c r="B196" s="457" t="s">
        <v>421</v>
      </c>
      <c r="C196" s="445" t="s">
        <v>155</v>
      </c>
      <c r="D196" s="537">
        <v>800</v>
      </c>
      <c r="E196" s="537">
        <v>1000</v>
      </c>
      <c r="F196" s="537">
        <v>1000</v>
      </c>
      <c r="G196" s="445" t="s">
        <v>239</v>
      </c>
      <c r="H196" s="349"/>
    </row>
    <row r="197" spans="2:8" ht="22.5" customHeight="1">
      <c r="B197" s="457" t="s">
        <v>422</v>
      </c>
      <c r="C197" s="445" t="s">
        <v>155</v>
      </c>
      <c r="D197" s="537">
        <v>700</v>
      </c>
      <c r="E197" s="537">
        <v>800</v>
      </c>
      <c r="F197" s="537">
        <v>800</v>
      </c>
      <c r="G197" s="445" t="s">
        <v>239</v>
      </c>
      <c r="H197" s="349"/>
    </row>
    <row r="198" spans="2:8" ht="22.5" customHeight="1">
      <c r="B198" s="457" t="s">
        <v>423</v>
      </c>
      <c r="C198" s="445" t="s">
        <v>129</v>
      </c>
      <c r="D198" s="537">
        <v>1175</v>
      </c>
      <c r="E198" s="537">
        <v>1650</v>
      </c>
      <c r="F198" s="537">
        <v>1650</v>
      </c>
      <c r="G198" s="445" t="s">
        <v>239</v>
      </c>
      <c r="H198" s="348"/>
    </row>
    <row r="199" spans="2:8" ht="22.5" customHeight="1">
      <c r="B199" s="457" t="s">
        <v>423</v>
      </c>
      <c r="C199" s="445" t="s">
        <v>164</v>
      </c>
      <c r="D199" s="537">
        <v>775</v>
      </c>
      <c r="E199" s="537">
        <v>925</v>
      </c>
      <c r="F199" s="537">
        <v>925</v>
      </c>
      <c r="G199" s="445" t="s">
        <v>239</v>
      </c>
      <c r="H199" s="349"/>
    </row>
    <row r="200" spans="2:8" ht="22.5" customHeight="1">
      <c r="B200" s="457" t="s">
        <v>425</v>
      </c>
      <c r="C200" s="445" t="s">
        <v>141</v>
      </c>
      <c r="D200" s="537">
        <v>225</v>
      </c>
      <c r="E200" s="537">
        <v>325</v>
      </c>
      <c r="F200" s="537">
        <v>325</v>
      </c>
      <c r="G200" s="445" t="s">
        <v>239</v>
      </c>
      <c r="H200" s="349"/>
    </row>
    <row r="201" spans="2:8" ht="22.5" customHeight="1">
      <c r="B201" s="457" t="s">
        <v>426</v>
      </c>
      <c r="C201" s="445" t="s">
        <v>129</v>
      </c>
      <c r="D201" s="537">
        <v>800</v>
      </c>
      <c r="E201" s="537">
        <v>1100</v>
      </c>
      <c r="F201" s="537">
        <v>1100</v>
      </c>
      <c r="G201" s="445" t="s">
        <v>239</v>
      </c>
      <c r="H201" s="349"/>
    </row>
    <row r="202" spans="2:8" ht="22.5" customHeight="1">
      <c r="B202" s="457" t="s">
        <v>426</v>
      </c>
      <c r="C202" s="445" t="s">
        <v>238</v>
      </c>
      <c r="D202" s="537">
        <v>1100</v>
      </c>
      <c r="E202" s="537">
        <v>1600</v>
      </c>
      <c r="F202" s="537">
        <v>1600</v>
      </c>
      <c r="G202" s="445" t="s">
        <v>239</v>
      </c>
      <c r="H202" s="349"/>
    </row>
    <row r="203" spans="2:8" ht="22.5" customHeight="1">
      <c r="B203" s="457" t="s">
        <v>427</v>
      </c>
      <c r="C203" s="445" t="s">
        <v>155</v>
      </c>
      <c r="D203" s="537">
        <v>900</v>
      </c>
      <c r="E203" s="537">
        <v>1000</v>
      </c>
      <c r="F203" s="537">
        <v>1000</v>
      </c>
      <c r="G203" s="445" t="s">
        <v>239</v>
      </c>
      <c r="H203" s="348"/>
    </row>
    <row r="204" spans="2:8" ht="22.5" customHeight="1">
      <c r="B204" s="457" t="s">
        <v>428</v>
      </c>
      <c r="C204" s="445" t="s">
        <v>155</v>
      </c>
      <c r="D204" s="537">
        <v>900</v>
      </c>
      <c r="E204" s="537">
        <v>1200</v>
      </c>
      <c r="F204" s="537">
        <v>1200</v>
      </c>
      <c r="G204" s="445" t="s">
        <v>239</v>
      </c>
      <c r="H204" s="349"/>
    </row>
    <row r="205" spans="2:8" ht="22.5" customHeight="1">
      <c r="B205" s="457" t="s">
        <v>429</v>
      </c>
      <c r="C205" s="445" t="s">
        <v>159</v>
      </c>
      <c r="D205" s="537">
        <v>180</v>
      </c>
      <c r="E205" s="537">
        <v>200</v>
      </c>
      <c r="F205" s="537">
        <v>200</v>
      </c>
      <c r="G205" s="445" t="s">
        <v>239</v>
      </c>
      <c r="H205" s="349"/>
    </row>
    <row r="206" spans="2:8" ht="22.5" customHeight="1">
      <c r="B206" s="457" t="s">
        <v>429</v>
      </c>
      <c r="C206" s="445" t="s">
        <v>138</v>
      </c>
      <c r="D206" s="537">
        <v>100</v>
      </c>
      <c r="E206" s="537">
        <v>100</v>
      </c>
      <c r="F206" s="537">
        <v>100</v>
      </c>
      <c r="G206" s="445" t="s">
        <v>239</v>
      </c>
      <c r="H206" s="349"/>
    </row>
    <row r="207" spans="2:8" ht="22.5" customHeight="1">
      <c r="B207" s="457" t="s">
        <v>431</v>
      </c>
      <c r="C207" s="445" t="s">
        <v>155</v>
      </c>
      <c r="D207" s="537">
        <v>800</v>
      </c>
      <c r="E207" s="537">
        <v>1000</v>
      </c>
      <c r="F207" s="537">
        <v>1000</v>
      </c>
      <c r="G207" s="445" t="s">
        <v>239</v>
      </c>
      <c r="H207" s="349"/>
    </row>
    <row r="208" spans="2:8" ht="22.5" customHeight="1">
      <c r="B208" s="457" t="s">
        <v>432</v>
      </c>
      <c r="C208" s="445" t="s">
        <v>140</v>
      </c>
      <c r="D208" s="537">
        <v>200</v>
      </c>
      <c r="E208" s="537">
        <v>275</v>
      </c>
      <c r="F208" s="537">
        <v>275</v>
      </c>
      <c r="G208" s="445" t="s">
        <v>239</v>
      </c>
      <c r="H208" s="349"/>
    </row>
    <row r="209" spans="2:8" ht="22.5" customHeight="1">
      <c r="B209" s="457" t="s">
        <v>433</v>
      </c>
      <c r="C209" s="445" t="s">
        <v>137</v>
      </c>
      <c r="D209" s="537">
        <v>225</v>
      </c>
      <c r="E209" s="537">
        <v>375</v>
      </c>
      <c r="F209" s="537">
        <v>375</v>
      </c>
      <c r="G209" s="445" t="s">
        <v>239</v>
      </c>
      <c r="H209" s="349"/>
    </row>
    <row r="210" spans="2:8" ht="22.5" customHeight="1">
      <c r="B210" s="457" t="s">
        <v>434</v>
      </c>
      <c r="C210" s="445" t="s">
        <v>141</v>
      </c>
      <c r="D210" s="537">
        <v>275</v>
      </c>
      <c r="E210" s="537">
        <v>450</v>
      </c>
      <c r="F210" s="537">
        <v>450</v>
      </c>
      <c r="G210" s="445" t="s">
        <v>325</v>
      </c>
      <c r="H210" s="349"/>
    </row>
    <row r="211" spans="2:8" ht="22.5" customHeight="1">
      <c r="B211" s="457" t="s">
        <v>435</v>
      </c>
      <c r="C211" s="445" t="s">
        <v>141</v>
      </c>
      <c r="D211" s="537">
        <v>225</v>
      </c>
      <c r="E211" s="537">
        <v>325</v>
      </c>
      <c r="F211" s="537">
        <v>325</v>
      </c>
      <c r="G211" s="445" t="s">
        <v>239</v>
      </c>
      <c r="H211" s="349"/>
    </row>
    <row r="212" spans="2:8" ht="22.5" customHeight="1">
      <c r="B212" s="457" t="s">
        <v>436</v>
      </c>
      <c r="C212" s="445" t="s">
        <v>135</v>
      </c>
      <c r="D212" s="537">
        <v>375</v>
      </c>
      <c r="E212" s="537">
        <v>375</v>
      </c>
      <c r="F212" s="537">
        <v>375</v>
      </c>
      <c r="G212" s="445" t="s">
        <v>239</v>
      </c>
      <c r="H212" s="349"/>
    </row>
    <row r="213" spans="2:8" ht="22.5" customHeight="1">
      <c r="B213" s="457" t="s">
        <v>437</v>
      </c>
      <c r="C213" s="445" t="s">
        <v>141</v>
      </c>
      <c r="D213" s="537">
        <v>275</v>
      </c>
      <c r="E213" s="537">
        <v>375</v>
      </c>
      <c r="F213" s="537">
        <v>375</v>
      </c>
      <c r="G213" s="445" t="s">
        <v>239</v>
      </c>
      <c r="H213" s="349"/>
    </row>
    <row r="214" spans="2:8" ht="22.5" customHeight="1">
      <c r="B214" s="457" t="s">
        <v>438</v>
      </c>
      <c r="C214" s="445" t="s">
        <v>140</v>
      </c>
      <c r="D214" s="537">
        <v>765</v>
      </c>
      <c r="E214" s="537">
        <v>1100</v>
      </c>
      <c r="F214" s="537">
        <v>1100</v>
      </c>
      <c r="G214" s="445" t="s">
        <v>239</v>
      </c>
      <c r="H214" s="349"/>
    </row>
    <row r="215" spans="2:8" ht="22.5" customHeight="1">
      <c r="B215" s="457" t="s">
        <v>441</v>
      </c>
      <c r="C215" s="445" t="s">
        <v>134</v>
      </c>
      <c r="D215" s="537">
        <v>200</v>
      </c>
      <c r="E215" s="537">
        <v>325</v>
      </c>
      <c r="F215" s="537">
        <v>325</v>
      </c>
      <c r="G215" s="445" t="s">
        <v>239</v>
      </c>
      <c r="H215" s="348"/>
    </row>
    <row r="216" spans="2:8" ht="22.5" customHeight="1">
      <c r="B216" s="457" t="s">
        <v>442</v>
      </c>
      <c r="C216" s="445" t="s">
        <v>134</v>
      </c>
      <c r="D216" s="537">
        <v>210</v>
      </c>
      <c r="E216" s="537">
        <v>370</v>
      </c>
      <c r="F216" s="537">
        <v>370</v>
      </c>
      <c r="G216" s="445" t="s">
        <v>239</v>
      </c>
      <c r="H216" s="349"/>
    </row>
    <row r="217" spans="2:8" ht="22.5" customHeight="1">
      <c r="B217" s="457" t="s">
        <v>445</v>
      </c>
      <c r="C217" s="445" t="s">
        <v>134</v>
      </c>
      <c r="D217" s="537">
        <v>200</v>
      </c>
      <c r="E217" s="537">
        <v>250</v>
      </c>
      <c r="F217" s="537">
        <v>250</v>
      </c>
      <c r="G217" s="445" t="s">
        <v>239</v>
      </c>
      <c r="H217" s="349"/>
    </row>
    <row r="218" spans="2:8" ht="22.5" customHeight="1">
      <c r="B218" s="457" t="s">
        <v>446</v>
      </c>
      <c r="C218" s="445" t="s">
        <v>146</v>
      </c>
      <c r="D218" s="537">
        <v>250</v>
      </c>
      <c r="E218" s="537">
        <v>350</v>
      </c>
      <c r="F218" s="537">
        <v>350</v>
      </c>
      <c r="G218" s="445" t="s">
        <v>239</v>
      </c>
      <c r="H218" s="349"/>
    </row>
    <row r="219" spans="2:8" ht="22.5" customHeight="1">
      <c r="B219" s="457" t="s">
        <v>447</v>
      </c>
      <c r="C219" s="445" t="s">
        <v>146</v>
      </c>
      <c r="D219" s="537">
        <v>200</v>
      </c>
      <c r="E219" s="537">
        <v>275</v>
      </c>
      <c r="F219" s="537">
        <v>275</v>
      </c>
      <c r="G219" s="445" t="s">
        <v>239</v>
      </c>
      <c r="H219" s="349"/>
    </row>
    <row r="220" spans="2:8" ht="22.5" customHeight="1">
      <c r="B220" s="457" t="s">
        <v>448</v>
      </c>
      <c r="C220" s="445" t="s">
        <v>160</v>
      </c>
      <c r="D220" s="537">
        <v>475</v>
      </c>
      <c r="E220" s="537">
        <v>925</v>
      </c>
      <c r="F220" s="537">
        <v>925</v>
      </c>
      <c r="G220" s="445" t="s">
        <v>239</v>
      </c>
      <c r="H220" s="349"/>
    </row>
    <row r="221" spans="2:8" ht="22.5" customHeight="1">
      <c r="B221" s="457" t="s">
        <v>449</v>
      </c>
      <c r="C221" s="445" t="s">
        <v>134</v>
      </c>
      <c r="D221" s="537">
        <v>210</v>
      </c>
      <c r="E221" s="537">
        <v>370</v>
      </c>
      <c r="F221" s="537">
        <v>370</v>
      </c>
      <c r="G221" s="445" t="s">
        <v>239</v>
      </c>
      <c r="H221" s="349"/>
    </row>
    <row r="222" spans="2:8" ht="22.5" customHeight="1">
      <c r="B222" s="457" t="s">
        <v>449</v>
      </c>
      <c r="C222" s="445" t="s">
        <v>146</v>
      </c>
      <c r="D222" s="537">
        <v>245</v>
      </c>
      <c r="E222" s="537">
        <v>435</v>
      </c>
      <c r="F222" s="537">
        <v>435</v>
      </c>
      <c r="G222" s="445" t="s">
        <v>239</v>
      </c>
      <c r="H222" s="349"/>
    </row>
    <row r="223" spans="2:8" ht="22.5" customHeight="1">
      <c r="B223" s="457" t="s">
        <v>452</v>
      </c>
      <c r="C223" s="445" t="s">
        <v>141</v>
      </c>
      <c r="D223" s="537">
        <v>200</v>
      </c>
      <c r="E223" s="537">
        <v>325</v>
      </c>
      <c r="F223" s="537">
        <v>325</v>
      </c>
      <c r="G223" s="445" t="s">
        <v>239</v>
      </c>
      <c r="H223" s="349"/>
    </row>
    <row r="224" spans="2:8" ht="22.5" customHeight="1">
      <c r="B224" s="457" t="s">
        <v>453</v>
      </c>
      <c r="C224" s="445" t="s">
        <v>140</v>
      </c>
      <c r="D224" s="537">
        <v>200</v>
      </c>
      <c r="E224" s="537">
        <v>300</v>
      </c>
      <c r="F224" s="537">
        <v>300</v>
      </c>
      <c r="G224" s="445" t="s">
        <v>239</v>
      </c>
      <c r="H224" s="349"/>
    </row>
    <row r="225" spans="2:8" ht="22.5" customHeight="1">
      <c r="B225" s="457" t="s">
        <v>454</v>
      </c>
      <c r="C225" s="445" t="s">
        <v>186</v>
      </c>
      <c r="D225" s="537">
        <v>775</v>
      </c>
      <c r="E225" s="537">
        <v>975</v>
      </c>
      <c r="F225" s="537">
        <v>975</v>
      </c>
      <c r="G225" s="445" t="s">
        <v>239</v>
      </c>
      <c r="H225" s="349"/>
    </row>
    <row r="226" spans="2:8" ht="22.5" customHeight="1">
      <c r="B226" s="457" t="s">
        <v>455</v>
      </c>
      <c r="C226" s="445" t="s">
        <v>141</v>
      </c>
      <c r="D226" s="537">
        <v>575</v>
      </c>
      <c r="E226" s="537">
        <v>975</v>
      </c>
      <c r="F226" s="537">
        <v>975</v>
      </c>
      <c r="G226" s="445" t="s">
        <v>239</v>
      </c>
      <c r="H226" s="349"/>
    </row>
    <row r="227" spans="2:8" ht="22.5" customHeight="1">
      <c r="B227" s="457" t="s">
        <v>456</v>
      </c>
      <c r="C227" s="445" t="s">
        <v>141</v>
      </c>
      <c r="D227" s="537">
        <v>375</v>
      </c>
      <c r="E227" s="537">
        <v>625</v>
      </c>
      <c r="F227" s="537">
        <v>625</v>
      </c>
      <c r="G227" s="445" t="s">
        <v>239</v>
      </c>
      <c r="H227" s="349"/>
    </row>
    <row r="228" spans="2:8" ht="22.5" customHeight="1">
      <c r="B228" s="457" t="s">
        <v>457</v>
      </c>
      <c r="C228" s="445" t="s">
        <v>132</v>
      </c>
      <c r="D228" s="537">
        <v>225</v>
      </c>
      <c r="E228" s="537">
        <v>375</v>
      </c>
      <c r="F228" s="537">
        <v>375</v>
      </c>
      <c r="G228" s="445" t="s">
        <v>239</v>
      </c>
      <c r="H228" s="349"/>
    </row>
    <row r="229" spans="2:8" ht="22.5" customHeight="1">
      <c r="B229" s="457" t="s">
        <v>458</v>
      </c>
      <c r="C229" s="445" t="s">
        <v>175</v>
      </c>
      <c r="D229" s="537">
        <v>625</v>
      </c>
      <c r="E229" s="537">
        <v>800</v>
      </c>
      <c r="F229" s="537">
        <v>800</v>
      </c>
      <c r="G229" s="445" t="s">
        <v>239</v>
      </c>
      <c r="H229" s="348"/>
    </row>
    <row r="230" spans="2:8" ht="22.5" customHeight="1">
      <c r="B230" s="457" t="s">
        <v>459</v>
      </c>
      <c r="C230" s="445" t="s">
        <v>141</v>
      </c>
      <c r="D230" s="537">
        <v>325</v>
      </c>
      <c r="E230" s="537">
        <v>575</v>
      </c>
      <c r="F230" s="537">
        <v>575</v>
      </c>
      <c r="G230" s="445" t="s">
        <v>239</v>
      </c>
      <c r="H230" s="349"/>
    </row>
    <row r="231" spans="2:8" ht="22.5" customHeight="1">
      <c r="B231" s="457" t="s">
        <v>460</v>
      </c>
      <c r="C231" s="445" t="s">
        <v>134</v>
      </c>
      <c r="D231" s="537">
        <v>175</v>
      </c>
      <c r="E231" s="537">
        <v>300</v>
      </c>
      <c r="F231" s="537">
        <v>300</v>
      </c>
      <c r="G231" s="445" t="s">
        <v>239</v>
      </c>
      <c r="H231" s="349"/>
    </row>
    <row r="232" spans="2:8" ht="22.5" customHeight="1">
      <c r="B232" s="457" t="s">
        <v>461</v>
      </c>
      <c r="C232" s="445" t="s">
        <v>168</v>
      </c>
      <c r="D232" s="537">
        <v>250</v>
      </c>
      <c r="E232" s="537">
        <v>400</v>
      </c>
      <c r="F232" s="537">
        <v>400</v>
      </c>
      <c r="G232" s="445" t="s">
        <v>239</v>
      </c>
      <c r="H232" s="349"/>
    </row>
    <row r="233" spans="2:8" ht="22.5" customHeight="1">
      <c r="B233" s="457" t="s">
        <v>461</v>
      </c>
      <c r="C233" s="445" t="s">
        <v>146</v>
      </c>
      <c r="D233" s="537">
        <v>325</v>
      </c>
      <c r="E233" s="537">
        <v>500</v>
      </c>
      <c r="F233" s="537">
        <v>500</v>
      </c>
      <c r="G233" s="445" t="s">
        <v>239</v>
      </c>
      <c r="H233" s="349"/>
    </row>
    <row r="234" spans="2:8" ht="22.5" customHeight="1">
      <c r="B234" s="457" t="s">
        <v>462</v>
      </c>
      <c r="C234" s="445" t="s">
        <v>146</v>
      </c>
      <c r="D234" s="537">
        <v>250</v>
      </c>
      <c r="E234" s="537">
        <v>475</v>
      </c>
      <c r="F234" s="537">
        <v>475</v>
      </c>
      <c r="G234" s="445" t="s">
        <v>239</v>
      </c>
      <c r="H234" s="348"/>
    </row>
    <row r="235" spans="2:8" ht="22.5" customHeight="1">
      <c r="B235" s="457" t="s">
        <v>463</v>
      </c>
      <c r="C235" s="445" t="s">
        <v>137</v>
      </c>
      <c r="D235" s="537">
        <v>200</v>
      </c>
      <c r="E235" s="537">
        <v>300</v>
      </c>
      <c r="F235" s="537">
        <v>300</v>
      </c>
      <c r="G235" s="445" t="s">
        <v>239</v>
      </c>
      <c r="H235" s="349"/>
    </row>
    <row r="236" spans="2:8" ht="22.5" customHeight="1">
      <c r="B236" s="457" t="s">
        <v>464</v>
      </c>
      <c r="C236" s="445" t="s">
        <v>140</v>
      </c>
      <c r="D236" s="537">
        <v>495</v>
      </c>
      <c r="E236" s="537">
        <v>615</v>
      </c>
      <c r="F236" s="537">
        <v>615</v>
      </c>
      <c r="G236" s="445" t="s">
        <v>239</v>
      </c>
      <c r="H236" s="349"/>
    </row>
    <row r="237" spans="2:8" ht="22.5" customHeight="1">
      <c r="B237" s="457" t="s">
        <v>467</v>
      </c>
      <c r="C237" s="445" t="s">
        <v>168</v>
      </c>
      <c r="D237" s="537">
        <v>250</v>
      </c>
      <c r="E237" s="537">
        <v>400</v>
      </c>
      <c r="F237" s="537">
        <v>400</v>
      </c>
      <c r="G237" s="445" t="s">
        <v>239</v>
      </c>
      <c r="H237" s="349"/>
    </row>
    <row r="238" spans="2:8" ht="22.5" customHeight="1">
      <c r="B238" s="457" t="s">
        <v>468</v>
      </c>
      <c r="C238" s="445" t="s">
        <v>134</v>
      </c>
      <c r="D238" s="537">
        <v>200</v>
      </c>
      <c r="E238" s="537">
        <v>275</v>
      </c>
      <c r="F238" s="537">
        <v>275</v>
      </c>
      <c r="G238" s="445" t="s">
        <v>239</v>
      </c>
      <c r="H238" s="349"/>
    </row>
    <row r="239" spans="2:8" ht="22.5" customHeight="1">
      <c r="B239" s="457" t="s">
        <v>468</v>
      </c>
      <c r="C239" s="445" t="s">
        <v>146</v>
      </c>
      <c r="D239" s="537">
        <v>275</v>
      </c>
      <c r="E239" s="537">
        <v>400</v>
      </c>
      <c r="F239" s="537">
        <v>400</v>
      </c>
      <c r="G239" s="445" t="s">
        <v>239</v>
      </c>
      <c r="H239" s="349"/>
    </row>
    <row r="240" spans="2:8" ht="22.5" customHeight="1" thickBot="1">
      <c r="B240" s="457" t="s">
        <v>469</v>
      </c>
      <c r="C240" s="445" t="s">
        <v>170</v>
      </c>
      <c r="D240" s="537">
        <v>250</v>
      </c>
      <c r="E240" s="537">
        <v>375</v>
      </c>
      <c r="F240" s="537">
        <v>375</v>
      </c>
      <c r="G240" s="445" t="s">
        <v>239</v>
      </c>
      <c r="H240" s="348"/>
    </row>
    <row r="241" spans="1:10">
      <c r="B241" s="1091" t="s">
        <v>522</v>
      </c>
      <c r="C241" s="1091"/>
      <c r="D241" s="1091"/>
      <c r="E241" s="1091"/>
      <c r="F241" s="1091"/>
      <c r="G241" s="1091"/>
      <c r="H241" s="1091"/>
    </row>
    <row r="242" spans="1:10">
      <c r="B242" s="1092" t="s">
        <v>523</v>
      </c>
      <c r="C242" s="1092"/>
      <c r="D242" s="1092"/>
      <c r="E242" s="1092"/>
      <c r="F242" s="1092"/>
      <c r="G242" s="1092"/>
      <c r="H242" s="1092"/>
    </row>
    <row r="243" spans="1:10">
      <c r="B243" s="1092" t="s">
        <v>524</v>
      </c>
      <c r="C243" s="1092"/>
      <c r="D243" s="1092"/>
      <c r="E243" s="1092"/>
      <c r="F243" s="1092"/>
      <c r="G243" s="1092"/>
      <c r="H243" s="1092"/>
    </row>
    <row r="244" spans="1:10">
      <c r="B244" s="37"/>
      <c r="C244" s="31"/>
      <c r="D244" s="36"/>
      <c r="E244" s="87"/>
      <c r="F244" s="87"/>
      <c r="G244" s="87"/>
      <c r="H244" s="87"/>
    </row>
    <row r="245" spans="1:10">
      <c r="B245" s="37"/>
      <c r="C245" s="31"/>
      <c r="D245" s="36"/>
      <c r="E245" s="87"/>
      <c r="F245" s="87"/>
      <c r="G245" s="87"/>
      <c r="H245" s="87"/>
    </row>
    <row r="246" spans="1:10" s="187" customFormat="1" ht="18.75" customHeight="1">
      <c r="B246" s="540"/>
      <c r="C246" s="540"/>
      <c r="D246" s="540"/>
      <c r="E246" s="540"/>
      <c r="F246" s="540"/>
      <c r="G246" s="540"/>
      <c r="H246" s="540"/>
      <c r="I246" s="540"/>
      <c r="J246" s="540"/>
    </row>
    <row r="247" spans="1:10" ht="15" customHeight="1">
      <c r="B247" s="464" t="s">
        <v>525</v>
      </c>
      <c r="C247" s="40"/>
      <c r="D247" s="2"/>
      <c r="E247" s="2"/>
      <c r="F247" s="2"/>
      <c r="G247" s="2"/>
      <c r="H247" s="2"/>
    </row>
    <row r="248" spans="1:10" ht="15" customHeight="1">
      <c r="B248" s="40" t="s">
        <v>526</v>
      </c>
      <c r="C248" s="40"/>
      <c r="D248" s="2"/>
      <c r="E248" s="2"/>
      <c r="F248" s="2"/>
      <c r="G248" s="2"/>
      <c r="H248" s="2"/>
    </row>
    <row r="249" spans="1:10" ht="15" customHeight="1">
      <c r="B249" s="93" t="s">
        <v>527</v>
      </c>
      <c r="C249" s="40"/>
      <c r="D249" s="33"/>
      <c r="E249" s="33"/>
      <c r="F249" s="33"/>
      <c r="G249" s="33"/>
      <c r="H249" s="33"/>
    </row>
    <row r="250" spans="1:10">
      <c r="B250" s="34"/>
      <c r="C250" s="186"/>
      <c r="D250" s="33"/>
      <c r="E250" s="33"/>
      <c r="F250" s="33"/>
      <c r="G250" s="33"/>
      <c r="H250" s="33"/>
    </row>
    <row r="251" spans="1:10" ht="15" customHeight="1">
      <c r="B251" s="93" t="s">
        <v>528</v>
      </c>
      <c r="C251" s="102" t="s">
        <v>529</v>
      </c>
      <c r="D251" s="186"/>
      <c r="E251" s="186"/>
      <c r="F251" s="33"/>
      <c r="G251" s="33"/>
      <c r="H251" s="33"/>
    </row>
    <row r="252" spans="1:10" ht="15" customHeight="1">
      <c r="B252" s="93" t="s">
        <v>530</v>
      </c>
      <c r="C252" s="40" t="s">
        <v>531</v>
      </c>
      <c r="D252" s="33"/>
      <c r="E252" s="33"/>
      <c r="F252" s="33"/>
      <c r="G252" s="33"/>
      <c r="H252" s="33"/>
    </row>
    <row r="253" spans="1:10" ht="15" customHeight="1">
      <c r="B253" s="93" t="s">
        <v>532</v>
      </c>
      <c r="C253" s="40" t="s">
        <v>533</v>
      </c>
      <c r="D253" s="33"/>
      <c r="E253" s="33"/>
      <c r="F253" s="33"/>
      <c r="G253" s="33"/>
      <c r="H253" s="33"/>
    </row>
    <row r="254" spans="1:10" ht="15" customHeight="1">
      <c r="B254" s="93" t="s">
        <v>534</v>
      </c>
      <c r="C254" s="40" t="s">
        <v>535</v>
      </c>
      <c r="D254" s="185"/>
      <c r="E254" s="185"/>
      <c r="F254" s="33"/>
      <c r="G254" s="33"/>
      <c r="H254" s="33"/>
    </row>
    <row r="255" spans="1:10" ht="15" customHeight="1">
      <c r="B255" s="104" t="s">
        <v>536</v>
      </c>
      <c r="C255" s="40" t="s">
        <v>537</v>
      </c>
      <c r="D255" s="185"/>
      <c r="E255" s="185"/>
      <c r="F255" s="33"/>
      <c r="G255" s="33"/>
      <c r="H255" s="33"/>
    </row>
    <row r="256" spans="1:10" ht="15" customHeight="1">
      <c r="A256" s="34"/>
      <c r="B256" s="34" t="s">
        <v>538</v>
      </c>
      <c r="C256" s="33" t="s">
        <v>539</v>
      </c>
      <c r="D256" s="33"/>
      <c r="E256" s="34"/>
      <c r="F256" s="33"/>
      <c r="G256" s="34"/>
      <c r="H256" s="33"/>
      <c r="I256" s="34"/>
      <c r="J256" s="33"/>
    </row>
    <row r="257" spans="1:10" ht="15" customHeight="1">
      <c r="A257" s="34"/>
      <c r="B257" s="34" t="s">
        <v>540</v>
      </c>
      <c r="C257" s="33" t="s">
        <v>541</v>
      </c>
      <c r="D257" s="33"/>
      <c r="E257" s="34"/>
      <c r="F257" s="33"/>
      <c r="G257" s="34"/>
      <c r="H257" s="33"/>
      <c r="I257" s="34"/>
      <c r="J257" s="33"/>
    </row>
    <row r="258" spans="1:10" ht="15" customHeight="1">
      <c r="B258" s="40"/>
      <c r="C258" s="93"/>
      <c r="D258" s="33"/>
      <c r="E258" s="33"/>
      <c r="F258" s="33"/>
      <c r="G258" s="33"/>
      <c r="H258" s="33"/>
    </row>
    <row r="259" spans="1:10" ht="15" customHeight="1">
      <c r="B259" s="541" t="s">
        <v>542</v>
      </c>
      <c r="C259" s="2"/>
      <c r="D259" s="2"/>
      <c r="E259" s="2"/>
      <c r="F259" s="2"/>
      <c r="G259" s="2"/>
      <c r="H259" s="2"/>
    </row>
    <row r="260" spans="1:10" ht="15" customHeight="1">
      <c r="B260" s="541" t="s">
        <v>543</v>
      </c>
      <c r="C260" s="2"/>
      <c r="D260" s="2"/>
      <c r="E260" s="2"/>
      <c r="F260" s="2"/>
      <c r="G260" s="2"/>
      <c r="H260" s="2"/>
    </row>
    <row r="261" spans="1:10" ht="15" customHeight="1">
      <c r="B261" s="541"/>
      <c r="C261" s="2"/>
      <c r="D261" s="2"/>
      <c r="E261" s="2"/>
      <c r="F261" s="2"/>
      <c r="G261" s="2"/>
      <c r="H261" s="2"/>
    </row>
    <row r="262" spans="1:10" ht="15" customHeight="1">
      <c r="B262" s="93" t="s">
        <v>544</v>
      </c>
      <c r="C262" s="2"/>
      <c r="D262" s="2"/>
      <c r="E262" s="2"/>
      <c r="F262" s="2"/>
      <c r="G262" s="2"/>
      <c r="H262" s="2"/>
    </row>
    <row r="263" spans="1:10" ht="15" customHeight="1">
      <c r="B263" s="541"/>
      <c r="C263" s="2"/>
      <c r="D263" s="2"/>
      <c r="E263" s="2"/>
      <c r="F263" s="2"/>
      <c r="G263" s="2"/>
      <c r="H263" s="2"/>
    </row>
    <row r="264" spans="1:10" ht="15" customHeight="1">
      <c r="B264" s="40" t="s">
        <v>545</v>
      </c>
      <c r="C264" s="2"/>
      <c r="D264" s="2"/>
      <c r="E264" s="2"/>
      <c r="F264" s="2"/>
      <c r="G264" s="2"/>
      <c r="H264" s="2"/>
    </row>
    <row r="265" spans="1:10" ht="15" customHeight="1">
      <c r="B265" s="40" t="s">
        <v>546</v>
      </c>
      <c r="C265" s="2"/>
      <c r="D265" s="2"/>
      <c r="E265" s="2"/>
      <c r="F265" s="2"/>
      <c r="G265" s="2"/>
      <c r="H265" s="2"/>
    </row>
    <row r="266" spans="1:10" ht="15" customHeight="1">
      <c r="B266" s="40" t="s">
        <v>547</v>
      </c>
      <c r="C266" s="2"/>
      <c r="D266" s="2"/>
      <c r="E266" s="2"/>
      <c r="F266" s="2"/>
      <c r="G266" s="2"/>
      <c r="H266" s="2"/>
    </row>
    <row r="267" spans="1:10" ht="15" customHeight="1">
      <c r="B267" s="40" t="s">
        <v>548</v>
      </c>
      <c r="C267" s="2"/>
      <c r="D267" s="2"/>
      <c r="E267" s="2"/>
      <c r="F267" s="2"/>
      <c r="G267" s="2"/>
      <c r="H267" s="2"/>
    </row>
    <row r="268" spans="1:10" ht="15" customHeight="1">
      <c r="B268" s="40" t="s">
        <v>549</v>
      </c>
      <c r="C268" s="2"/>
      <c r="D268" s="2"/>
      <c r="E268" s="2"/>
      <c r="F268" s="2"/>
      <c r="G268" s="2"/>
      <c r="H268" s="2"/>
    </row>
    <row r="269" spans="1:10" ht="15" customHeight="1">
      <c r="B269" s="40" t="s">
        <v>550</v>
      </c>
      <c r="C269" s="2"/>
      <c r="D269" s="2"/>
      <c r="E269" s="2"/>
      <c r="F269" s="2"/>
      <c r="G269" s="2"/>
      <c r="H269" s="2"/>
    </row>
    <row r="270" spans="1:10" ht="15" customHeight="1">
      <c r="B270" s="40" t="s">
        <v>551</v>
      </c>
      <c r="C270" s="2"/>
      <c r="D270" s="2"/>
      <c r="E270" s="2"/>
      <c r="F270" s="2"/>
      <c r="G270" s="2"/>
      <c r="H270" s="2"/>
    </row>
    <row r="271" spans="1:10" ht="15" customHeight="1">
      <c r="B271" s="40" t="s">
        <v>552</v>
      </c>
      <c r="C271" s="2"/>
      <c r="D271" s="2"/>
      <c r="E271" s="2"/>
      <c r="F271" s="2"/>
      <c r="G271" s="2"/>
      <c r="H271" s="2"/>
    </row>
    <row r="272" spans="1:10" ht="15" customHeight="1">
      <c r="B272" s="40" t="s">
        <v>553</v>
      </c>
      <c r="C272" s="2"/>
      <c r="D272" s="2"/>
      <c r="E272" s="2"/>
      <c r="F272" s="2"/>
      <c r="G272" s="2"/>
      <c r="H272" s="2"/>
    </row>
    <row r="273" spans="2:8" ht="15" customHeight="1">
      <c r="B273" s="40"/>
      <c r="C273" s="2"/>
      <c r="D273" s="2"/>
      <c r="E273" s="2"/>
      <c r="F273" s="2"/>
      <c r="G273" s="2"/>
      <c r="H273" s="2"/>
    </row>
    <row r="274" spans="2:8" ht="15" customHeight="1">
      <c r="B274" s="40"/>
      <c r="C274" s="2"/>
      <c r="D274" s="2"/>
      <c r="E274" s="2"/>
      <c r="F274" s="2"/>
      <c r="G274" s="2"/>
      <c r="H274" s="2"/>
    </row>
    <row r="275" spans="2:8" ht="15" customHeight="1">
      <c r="B275" s="40" t="s">
        <v>554</v>
      </c>
      <c r="C275" s="2"/>
      <c r="D275" s="2"/>
      <c r="E275" s="2"/>
      <c r="F275" s="2"/>
      <c r="G275" s="2"/>
      <c r="H275" s="2"/>
    </row>
    <row r="276" spans="2:8" ht="15" customHeight="1">
      <c r="B276" s="40" t="s">
        <v>555</v>
      </c>
      <c r="C276" s="40" t="s">
        <v>556</v>
      </c>
      <c r="D276" s="40"/>
      <c r="E276" s="2"/>
      <c r="F276" s="2"/>
      <c r="G276" s="2"/>
      <c r="H276" s="2"/>
    </row>
    <row r="277" spans="2:8" ht="15" customHeight="1">
      <c r="B277" s="40" t="s">
        <v>557</v>
      </c>
      <c r="C277" s="40" t="s">
        <v>558</v>
      </c>
      <c r="D277" s="40"/>
      <c r="E277" s="2"/>
      <c r="F277" s="2"/>
      <c r="G277" s="2"/>
      <c r="H277" s="2"/>
    </row>
    <row r="278" spans="2:8" ht="15" customHeight="1">
      <c r="B278" s="40" t="s">
        <v>559</v>
      </c>
      <c r="C278" s="40" t="s">
        <v>560</v>
      </c>
      <c r="D278" s="40"/>
      <c r="E278" s="2"/>
      <c r="F278" s="2"/>
      <c r="G278" s="2"/>
      <c r="H278" s="2"/>
    </row>
    <row r="279" spans="2:8" ht="15" customHeight="1">
      <c r="B279" s="40" t="s">
        <v>561</v>
      </c>
      <c r="C279" s="40" t="s">
        <v>562</v>
      </c>
      <c r="D279" s="40"/>
      <c r="E279" s="2"/>
      <c r="F279" s="2"/>
      <c r="G279" s="2"/>
      <c r="H279" s="2"/>
    </row>
    <row r="280" spans="2:8" ht="15" customHeight="1">
      <c r="B280" s="40" t="s">
        <v>563</v>
      </c>
      <c r="C280" s="40" t="s">
        <v>564</v>
      </c>
      <c r="D280" s="40"/>
      <c r="E280" s="2"/>
      <c r="F280" s="2"/>
      <c r="G280" s="2"/>
      <c r="H280" s="2"/>
    </row>
    <row r="281" spans="2:8" ht="15" customHeight="1">
      <c r="B281" s="40" t="s">
        <v>565</v>
      </c>
      <c r="C281" s="40" t="s">
        <v>566</v>
      </c>
      <c r="D281" s="40"/>
      <c r="E281" s="2"/>
      <c r="F281" s="2"/>
      <c r="G281" s="2"/>
      <c r="H281" s="2"/>
    </row>
    <row r="282" spans="2:8" ht="15" customHeight="1">
      <c r="B282" s="40" t="s">
        <v>567</v>
      </c>
      <c r="C282" s="40" t="s">
        <v>568</v>
      </c>
      <c r="D282" s="40"/>
      <c r="E282" s="2"/>
      <c r="F282" s="2"/>
      <c r="G282" s="2"/>
      <c r="H282" s="2"/>
    </row>
    <row r="283" spans="2:8" ht="15" customHeight="1">
      <c r="B283" s="40" t="s">
        <v>569</v>
      </c>
      <c r="C283" s="40" t="s">
        <v>570</v>
      </c>
      <c r="D283" s="40"/>
      <c r="E283" s="2"/>
      <c r="F283" s="2"/>
      <c r="G283" s="2"/>
      <c r="H283" s="2"/>
    </row>
    <row r="284" spans="2:8" ht="15" customHeight="1">
      <c r="B284" s="40" t="s">
        <v>571</v>
      </c>
      <c r="C284" s="40" t="s">
        <v>572</v>
      </c>
      <c r="D284" s="40"/>
      <c r="E284" s="2"/>
      <c r="F284" s="2"/>
      <c r="G284" s="2"/>
      <c r="H284" s="2"/>
    </row>
    <row r="285" spans="2:8" ht="15" customHeight="1">
      <c r="B285" s="40"/>
      <c r="C285" s="2"/>
      <c r="D285" s="2"/>
      <c r="E285" s="2"/>
      <c r="F285" s="2"/>
      <c r="G285" s="2"/>
      <c r="H285" s="2"/>
    </row>
    <row r="286" spans="2:8" ht="15" customHeight="1">
      <c r="B286" s="93" t="s">
        <v>573</v>
      </c>
      <c r="C286" s="31"/>
      <c r="D286" s="30"/>
      <c r="E286" s="29"/>
      <c r="F286" s="29"/>
      <c r="G286" s="29"/>
      <c r="H286" s="29"/>
    </row>
    <row r="287" spans="2:8" ht="15" customHeight="1">
      <c r="B287" s="40" t="s">
        <v>574</v>
      </c>
      <c r="C287" s="2"/>
      <c r="D287" s="30"/>
      <c r="E287" s="29"/>
      <c r="F287" s="29"/>
      <c r="G287" s="29"/>
      <c r="H287" s="29"/>
    </row>
    <row r="288" spans="2:8" ht="15" customHeight="1">
      <c r="B288" s="541"/>
      <c r="C288" s="2"/>
      <c r="D288" s="30"/>
      <c r="E288" s="29"/>
      <c r="F288" s="29"/>
      <c r="G288" s="29"/>
      <c r="H288" s="29"/>
    </row>
    <row r="289" spans="2:8" ht="15" customHeight="1">
      <c r="B289" s="202" t="s">
        <v>575</v>
      </c>
      <c r="C289" s="40"/>
      <c r="D289" s="40"/>
      <c r="E289" s="29"/>
      <c r="F289" s="29"/>
      <c r="G289" s="29"/>
      <c r="H289" s="29"/>
    </row>
    <row r="290" spans="2:8" ht="15" customHeight="1">
      <c r="B290" s="43"/>
      <c r="C290" s="40"/>
      <c r="D290" s="40"/>
      <c r="E290" s="29"/>
      <c r="F290" s="29"/>
      <c r="G290" s="29"/>
      <c r="H290" s="29"/>
    </row>
    <row r="291" spans="2:8" ht="15" customHeight="1">
      <c r="B291" s="542" t="s">
        <v>576</v>
      </c>
      <c r="C291" s="6"/>
      <c r="D291" s="30"/>
      <c r="E291" s="29"/>
      <c r="F291" s="29"/>
      <c r="G291" s="29"/>
      <c r="H291" s="29"/>
    </row>
    <row r="292" spans="2:8" ht="15" customHeight="1">
      <c r="B292" s="202"/>
      <c r="D292" s="28"/>
      <c r="E292" s="28"/>
      <c r="F292" s="28"/>
      <c r="G292" s="28"/>
      <c r="H292" s="28"/>
    </row>
    <row r="293" spans="2:8">
      <c r="B293" s="43"/>
      <c r="C293" s="358"/>
      <c r="D293" s="358"/>
      <c r="E293" s="358"/>
      <c r="F293" s="358"/>
    </row>
    <row r="294" spans="2:8">
      <c r="B294" s="542"/>
      <c r="D294" s="9" t="s">
        <v>577</v>
      </c>
    </row>
  </sheetData>
  <autoFilter ref="B47:G243" xr:uid="{00000000-0009-0000-0000-000006000000}"/>
  <mergeCells count="18">
    <mergeCell ref="B3:H3"/>
    <mergeCell ref="B241:H241"/>
    <mergeCell ref="B242:H242"/>
    <mergeCell ref="B243:H243"/>
    <mergeCell ref="B4:H4"/>
    <mergeCell ref="B5:H5"/>
    <mergeCell ref="B6:H6"/>
    <mergeCell ref="C46:H46"/>
    <mergeCell ref="C38:H38"/>
    <mergeCell ref="C33:H33"/>
    <mergeCell ref="C9:H9"/>
    <mergeCell ref="B26:C26"/>
    <mergeCell ref="I15:M15"/>
    <mergeCell ref="I24:M24"/>
    <mergeCell ref="I16:J16"/>
    <mergeCell ref="I21:J21"/>
    <mergeCell ref="I18:M18"/>
    <mergeCell ref="I17:M17"/>
  </mergeCells>
  <phoneticPr fontId="139" type="noConversion"/>
  <hyperlinks>
    <hyperlink ref="B259" r:id="rId1" display="http://www.oocl.com/eng/resourcecenter/globalinfo/Pages/default.aspx" xr:uid="{00000000-0004-0000-0600-000002000000}"/>
    <hyperlink ref="B260" r:id="rId2" display="http://www.oocl.com/eng/resourcecenter/globalinfo/Pages/default.aspx" xr:uid="{00000000-0004-0000-0600-000003000000}"/>
  </hyperlinks>
  <pageMargins left="0.62" right="0.82" top="1.1499999999999999" bottom="1.1100000000000001" header="0.4921259845" footer="0.4921259845"/>
  <pageSetup paperSize="9" scale="60" orientation="portrait" r:id="rId3"/>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0000"/>
  </sheetPr>
  <dimension ref="B1:G89"/>
  <sheetViews>
    <sheetView workbookViewId="0">
      <selection activeCell="E33" sqref="E33:E89"/>
    </sheetView>
  </sheetViews>
  <sheetFormatPr defaultColWidth="9.140625" defaultRowHeight="12.75"/>
  <cols>
    <col min="1" max="1" width="9.140625" style="9"/>
    <col min="2" max="2" width="6" style="9" bestFit="1" customWidth="1"/>
    <col min="3" max="3" width="101.42578125" style="9" bestFit="1" customWidth="1"/>
    <col min="4" max="4" width="12.140625" style="9" bestFit="1" customWidth="1"/>
    <col min="5" max="5" width="14.28515625" style="9" bestFit="1" customWidth="1"/>
    <col min="6" max="16384" width="9.140625" style="9"/>
  </cols>
  <sheetData>
    <row r="1" spans="2:7" ht="15">
      <c r="B1" s="141" t="s">
        <v>122</v>
      </c>
      <c r="C1" s="142" t="s">
        <v>123</v>
      </c>
      <c r="D1" s="142" t="s">
        <v>124</v>
      </c>
      <c r="E1" s="142" t="s">
        <v>125</v>
      </c>
    </row>
    <row r="2" spans="2:7">
      <c r="B2" s="143" t="str">
        <f t="shared" ref="B2:B19" si="0">D2</f>
        <v>FEBP</v>
      </c>
      <c r="C2" s="144" t="s">
        <v>129</v>
      </c>
      <c r="D2" s="144" t="s">
        <v>130</v>
      </c>
      <c r="E2" s="144" t="s">
        <v>131</v>
      </c>
    </row>
    <row r="3" spans="2:7">
      <c r="B3" s="143" t="str">
        <f t="shared" si="0"/>
        <v>FEBP</v>
      </c>
      <c r="C3" s="144" t="s">
        <v>136</v>
      </c>
      <c r="D3" s="144" t="s">
        <v>130</v>
      </c>
      <c r="E3" s="144" t="s">
        <v>131</v>
      </c>
    </row>
    <row r="4" spans="2:7">
      <c r="B4" s="143" t="str">
        <f t="shared" si="0"/>
        <v>FEBP</v>
      </c>
      <c r="C4" s="144" t="s">
        <v>137</v>
      </c>
      <c r="D4" s="144" t="s">
        <v>130</v>
      </c>
      <c r="E4" s="144" t="s">
        <v>133</v>
      </c>
    </row>
    <row r="5" spans="2:7">
      <c r="B5" s="143" t="str">
        <f t="shared" si="0"/>
        <v>FEBP</v>
      </c>
      <c r="C5" s="144" t="s">
        <v>138</v>
      </c>
      <c r="D5" s="144" t="s">
        <v>130</v>
      </c>
      <c r="E5" s="144" t="s">
        <v>131</v>
      </c>
    </row>
    <row r="6" spans="2:7">
      <c r="B6" s="143" t="str">
        <f t="shared" si="0"/>
        <v>FEBP</v>
      </c>
      <c r="C6" s="144" t="s">
        <v>141</v>
      </c>
      <c r="D6" s="144" t="s">
        <v>130</v>
      </c>
      <c r="E6" s="144" t="s">
        <v>133</v>
      </c>
    </row>
    <row r="7" spans="2:7">
      <c r="B7" s="143" t="str">
        <f t="shared" si="0"/>
        <v>FEBP</v>
      </c>
      <c r="C7" s="144" t="s">
        <v>578</v>
      </c>
      <c r="D7" s="144" t="s">
        <v>130</v>
      </c>
      <c r="E7" s="144" t="s">
        <v>131</v>
      </c>
    </row>
    <row r="8" spans="2:7">
      <c r="B8" s="143" t="str">
        <f t="shared" si="0"/>
        <v>JED</v>
      </c>
      <c r="C8" s="144" t="s">
        <v>151</v>
      </c>
      <c r="D8" s="144" t="s">
        <v>152</v>
      </c>
      <c r="E8" s="144" t="s">
        <v>128</v>
      </c>
    </row>
    <row r="9" spans="2:7" ht="20.25">
      <c r="B9" s="143" t="str">
        <f t="shared" si="0"/>
        <v>FEBP</v>
      </c>
      <c r="C9" s="145" t="s">
        <v>579</v>
      </c>
      <c r="D9" s="144" t="s">
        <v>130</v>
      </c>
      <c r="E9" s="144" t="s">
        <v>161</v>
      </c>
      <c r="G9" s="146" t="s">
        <v>162</v>
      </c>
    </row>
    <row r="10" spans="2:7" ht="14.25">
      <c r="B10" s="143" t="str">
        <f t="shared" si="0"/>
        <v>FEBP</v>
      </c>
      <c r="C10" s="145" t="s">
        <v>164</v>
      </c>
      <c r="D10" s="144" t="s">
        <v>130</v>
      </c>
      <c r="E10" s="144" t="s">
        <v>161</v>
      </c>
      <c r="G10" s="146"/>
    </row>
    <row r="11" spans="2:7" ht="14.25">
      <c r="B11" s="143" t="str">
        <f t="shared" si="0"/>
        <v>FEBP</v>
      </c>
      <c r="C11" s="194" t="s">
        <v>580</v>
      </c>
      <c r="D11" s="144" t="s">
        <v>130</v>
      </c>
      <c r="E11" s="144" t="s">
        <v>161</v>
      </c>
      <c r="G11" s="146"/>
    </row>
    <row r="12" spans="2:7">
      <c r="B12" s="143" t="str">
        <f t="shared" si="0"/>
        <v>FEBP</v>
      </c>
      <c r="C12" s="145" t="s">
        <v>581</v>
      </c>
      <c r="D12" s="144" t="s">
        <v>130</v>
      </c>
      <c r="E12" s="144" t="s">
        <v>161</v>
      </c>
    </row>
    <row r="13" spans="2:7">
      <c r="B13" s="143" t="str">
        <f t="shared" si="0"/>
        <v>FEBP</v>
      </c>
      <c r="C13" s="145" t="s">
        <v>164</v>
      </c>
      <c r="D13" s="144" t="s">
        <v>130</v>
      </c>
      <c r="E13" s="144" t="s">
        <v>161</v>
      </c>
    </row>
    <row r="14" spans="2:7">
      <c r="B14" s="143" t="s">
        <v>130</v>
      </c>
      <c r="C14" s="145" t="s">
        <v>582</v>
      </c>
      <c r="D14" s="144" t="s">
        <v>130</v>
      </c>
      <c r="E14" s="144" t="s">
        <v>161</v>
      </c>
    </row>
    <row r="15" spans="2:7">
      <c r="B15" s="143" t="str">
        <f t="shared" si="0"/>
        <v>FEBP</v>
      </c>
      <c r="C15" s="145" t="s">
        <v>583</v>
      </c>
      <c r="D15" s="144" t="s">
        <v>130</v>
      </c>
      <c r="E15" s="144" t="s">
        <v>161</v>
      </c>
    </row>
    <row r="16" spans="2:7">
      <c r="B16" s="143" t="str">
        <f t="shared" si="0"/>
        <v>FEBP</v>
      </c>
      <c r="C16" s="145" t="s">
        <v>171</v>
      </c>
      <c r="D16" s="144" t="s">
        <v>130</v>
      </c>
      <c r="E16" s="144" t="s">
        <v>161</v>
      </c>
    </row>
    <row r="17" spans="2:5">
      <c r="B17" s="143" t="str">
        <f t="shared" si="0"/>
        <v>FEBP</v>
      </c>
      <c r="C17" s="145" t="s">
        <v>168</v>
      </c>
      <c r="D17" s="144" t="s">
        <v>130</v>
      </c>
      <c r="E17" s="144" t="s">
        <v>161</v>
      </c>
    </row>
    <row r="18" spans="2:5">
      <c r="B18" s="143" t="str">
        <f t="shared" si="0"/>
        <v>FEBP</v>
      </c>
      <c r="C18" s="145" t="s">
        <v>160</v>
      </c>
      <c r="D18" s="144" t="s">
        <v>130</v>
      </c>
      <c r="E18" s="144" t="s">
        <v>161</v>
      </c>
    </row>
    <row r="19" spans="2:5">
      <c r="B19" s="143" t="str">
        <f t="shared" si="0"/>
        <v>FEBP</v>
      </c>
      <c r="C19" s="124" t="s">
        <v>184</v>
      </c>
      <c r="D19" s="144" t="s">
        <v>130</v>
      </c>
      <c r="E19" s="144" t="s">
        <v>161</v>
      </c>
    </row>
    <row r="20" spans="2:5">
      <c r="B20" s="143" t="str">
        <f>D20</f>
        <v>FEBP</v>
      </c>
      <c r="C20" s="124" t="s">
        <v>168</v>
      </c>
      <c r="D20" s="144" t="s">
        <v>130</v>
      </c>
      <c r="E20" s="144" t="s">
        <v>161</v>
      </c>
    </row>
    <row r="21" spans="2:5">
      <c r="B21" s="143" t="str">
        <f t="shared" ref="B21:B23" si="1">D21</f>
        <v>HKG</v>
      </c>
      <c r="C21" s="124" t="s">
        <v>134</v>
      </c>
      <c r="D21" s="144" t="s">
        <v>584</v>
      </c>
      <c r="E21" s="144" t="s">
        <v>131</v>
      </c>
    </row>
    <row r="22" spans="2:5">
      <c r="B22" s="143" t="str">
        <f t="shared" si="1"/>
        <v>SIN</v>
      </c>
      <c r="C22" s="124" t="s">
        <v>142</v>
      </c>
      <c r="D22" s="144" t="s">
        <v>585</v>
      </c>
      <c r="E22" s="144" t="s">
        <v>131</v>
      </c>
    </row>
    <row r="23" spans="2:5">
      <c r="B23" s="143" t="str">
        <f t="shared" si="1"/>
        <v>FEBP</v>
      </c>
      <c r="C23" s="124" t="s">
        <v>146</v>
      </c>
      <c r="D23" s="144" t="s">
        <v>130</v>
      </c>
      <c r="E23" s="144" t="s">
        <v>131</v>
      </c>
    </row>
    <row r="24" spans="2:5">
      <c r="B24" s="143" t="s">
        <v>130</v>
      </c>
      <c r="C24" t="s">
        <v>187</v>
      </c>
      <c r="D24" s="9" t="s">
        <v>130</v>
      </c>
      <c r="E24" s="9" t="s">
        <v>161</v>
      </c>
    </row>
    <row r="25" spans="2:5">
      <c r="B25" s="9" t="s">
        <v>130</v>
      </c>
      <c r="C25" t="s">
        <v>178</v>
      </c>
      <c r="D25" s="9" t="s">
        <v>130</v>
      </c>
      <c r="E25" s="9" t="s">
        <v>131</v>
      </c>
    </row>
    <row r="26" spans="2:5">
      <c r="B26" s="9" t="s">
        <v>130</v>
      </c>
      <c r="C26" t="s">
        <v>165</v>
      </c>
      <c r="D26" s="9" t="s">
        <v>130</v>
      </c>
      <c r="E26" s="9" t="s">
        <v>161</v>
      </c>
    </row>
    <row r="27" spans="2:5">
      <c r="B27" s="9" t="s">
        <v>130</v>
      </c>
      <c r="C27" t="s">
        <v>189</v>
      </c>
      <c r="D27" s="9" t="s">
        <v>130</v>
      </c>
      <c r="E27" s="9" t="s">
        <v>161</v>
      </c>
    </row>
    <row r="28" spans="2:5">
      <c r="B28" s="9" t="s">
        <v>130</v>
      </c>
      <c r="C28" t="s">
        <v>188</v>
      </c>
      <c r="D28" s="9" t="s">
        <v>130</v>
      </c>
      <c r="E28" s="9" t="s">
        <v>161</v>
      </c>
    </row>
    <row r="29" spans="2:5">
      <c r="B29" s="9" t="s">
        <v>130</v>
      </c>
      <c r="C29" t="s">
        <v>169</v>
      </c>
      <c r="D29" s="9" t="s">
        <v>130</v>
      </c>
      <c r="E29" s="9" t="s">
        <v>161</v>
      </c>
    </row>
    <row r="30" spans="2:5">
      <c r="B30" s="9" t="s">
        <v>130</v>
      </c>
      <c r="C30" t="s">
        <v>190</v>
      </c>
      <c r="D30" s="9" t="s">
        <v>130</v>
      </c>
      <c r="E30" s="9" t="s">
        <v>161</v>
      </c>
    </row>
    <row r="31" spans="2:5">
      <c r="B31" s="9" t="s">
        <v>130</v>
      </c>
      <c r="C31" t="s">
        <v>586</v>
      </c>
      <c r="D31" s="9" t="s">
        <v>130</v>
      </c>
      <c r="E31" s="9" t="s">
        <v>161</v>
      </c>
    </row>
    <row r="32" spans="2:5">
      <c r="B32" s="9" t="s">
        <v>130</v>
      </c>
      <c r="C32" t="s">
        <v>179</v>
      </c>
      <c r="D32" s="9" t="s">
        <v>130</v>
      </c>
      <c r="E32" s="9" t="s">
        <v>161</v>
      </c>
    </row>
    <row r="33" spans="2:5">
      <c r="B33" s="9" t="s">
        <v>130</v>
      </c>
      <c r="C33" s="439" t="s">
        <v>135</v>
      </c>
      <c r="D33" s="9" t="s">
        <v>130</v>
      </c>
      <c r="E33" s="9" t="s">
        <v>161</v>
      </c>
    </row>
    <row r="34" spans="2:5">
      <c r="B34" s="9" t="s">
        <v>130</v>
      </c>
      <c r="C34" t="s">
        <v>145</v>
      </c>
      <c r="D34" s="9" t="s">
        <v>130</v>
      </c>
      <c r="E34" s="9" t="s">
        <v>161</v>
      </c>
    </row>
    <row r="35" spans="2:5">
      <c r="B35" s="9" t="s">
        <v>130</v>
      </c>
      <c r="C35" t="s">
        <v>185</v>
      </c>
      <c r="D35" s="9" t="s">
        <v>130</v>
      </c>
      <c r="E35" s="9" t="s">
        <v>161</v>
      </c>
    </row>
    <row r="36" spans="2:5">
      <c r="B36" s="9" t="s">
        <v>130</v>
      </c>
      <c r="C36" t="s">
        <v>142</v>
      </c>
      <c r="D36" s="9" t="s">
        <v>130</v>
      </c>
      <c r="E36" s="9" t="s">
        <v>161</v>
      </c>
    </row>
    <row r="37" spans="2:5">
      <c r="B37" s="9" t="s">
        <v>130</v>
      </c>
      <c r="C37" t="s">
        <v>140</v>
      </c>
      <c r="D37" s="9" t="s">
        <v>130</v>
      </c>
      <c r="E37" s="9" t="s">
        <v>161</v>
      </c>
    </row>
    <row r="38" spans="2:5">
      <c r="B38" s="9" t="s">
        <v>130</v>
      </c>
      <c r="C38" t="s">
        <v>141</v>
      </c>
      <c r="D38" s="9" t="s">
        <v>130</v>
      </c>
      <c r="E38" s="9" t="s">
        <v>161</v>
      </c>
    </row>
    <row r="39" spans="2:5">
      <c r="B39" s="9" t="s">
        <v>130</v>
      </c>
      <c r="C39" t="s">
        <v>138</v>
      </c>
      <c r="D39" s="9" t="s">
        <v>130</v>
      </c>
      <c r="E39" s="9" t="s">
        <v>161</v>
      </c>
    </row>
    <row r="40" spans="2:5">
      <c r="B40" s="9" t="s">
        <v>130</v>
      </c>
      <c r="C40" t="s">
        <v>187</v>
      </c>
      <c r="D40" s="9" t="s">
        <v>130</v>
      </c>
      <c r="E40" s="9" t="s">
        <v>161</v>
      </c>
    </row>
    <row r="41" spans="2:5">
      <c r="B41" s="9" t="s">
        <v>130</v>
      </c>
      <c r="C41" t="s">
        <v>177</v>
      </c>
      <c r="D41" s="9" t="s">
        <v>130</v>
      </c>
      <c r="E41" s="9" t="s">
        <v>161</v>
      </c>
    </row>
    <row r="42" spans="2:5">
      <c r="B42" s="9" t="s">
        <v>130</v>
      </c>
      <c r="C42" t="s">
        <v>160</v>
      </c>
      <c r="D42" s="9" t="s">
        <v>130</v>
      </c>
      <c r="E42" s="9" t="s">
        <v>161</v>
      </c>
    </row>
    <row r="43" spans="2:5">
      <c r="B43" s="9" t="s">
        <v>130</v>
      </c>
      <c r="C43" t="s">
        <v>134</v>
      </c>
      <c r="D43" s="9" t="s">
        <v>130</v>
      </c>
      <c r="E43" s="9" t="s">
        <v>161</v>
      </c>
    </row>
    <row r="44" spans="2:5">
      <c r="B44" s="9" t="s">
        <v>130</v>
      </c>
      <c r="C44" t="s">
        <v>141</v>
      </c>
      <c r="D44" s="9" t="s">
        <v>130</v>
      </c>
      <c r="E44" s="9" t="s">
        <v>161</v>
      </c>
    </row>
    <row r="45" spans="2:5">
      <c r="B45" s="9" t="s">
        <v>130</v>
      </c>
      <c r="C45" t="s">
        <v>187</v>
      </c>
      <c r="D45" s="9" t="s">
        <v>130</v>
      </c>
      <c r="E45" s="9" t="s">
        <v>161</v>
      </c>
    </row>
    <row r="46" spans="2:5">
      <c r="B46" s="9" t="s">
        <v>130</v>
      </c>
      <c r="C46" t="s">
        <v>187</v>
      </c>
      <c r="D46" s="9" t="s">
        <v>130</v>
      </c>
      <c r="E46" s="9" t="s">
        <v>161</v>
      </c>
    </row>
    <row r="47" spans="2:5">
      <c r="B47" s="9" t="s">
        <v>130</v>
      </c>
      <c r="C47" t="s">
        <v>134</v>
      </c>
      <c r="D47" s="9" t="s">
        <v>130</v>
      </c>
      <c r="E47" s="9" t="s">
        <v>161</v>
      </c>
    </row>
    <row r="48" spans="2:5">
      <c r="B48" s="9" t="s">
        <v>130</v>
      </c>
      <c r="C48" t="s">
        <v>138</v>
      </c>
      <c r="D48" s="9" t="s">
        <v>130</v>
      </c>
      <c r="E48" s="9" t="s">
        <v>161</v>
      </c>
    </row>
    <row r="49" spans="2:5">
      <c r="B49" s="9" t="s">
        <v>130</v>
      </c>
      <c r="C49" t="s">
        <v>160</v>
      </c>
      <c r="D49" s="9" t="s">
        <v>130</v>
      </c>
      <c r="E49" s="9" t="s">
        <v>161</v>
      </c>
    </row>
    <row r="50" spans="2:5">
      <c r="B50" s="9" t="s">
        <v>130</v>
      </c>
      <c r="C50" t="s">
        <v>138</v>
      </c>
      <c r="D50" s="9" t="s">
        <v>130</v>
      </c>
      <c r="E50" s="9" t="s">
        <v>161</v>
      </c>
    </row>
    <row r="51" spans="2:5">
      <c r="B51" s="9" t="s">
        <v>130</v>
      </c>
      <c r="C51" t="s">
        <v>142</v>
      </c>
      <c r="D51" s="9" t="s">
        <v>130</v>
      </c>
      <c r="E51" s="9" t="s">
        <v>161</v>
      </c>
    </row>
    <row r="52" spans="2:5">
      <c r="B52" s="9" t="s">
        <v>130</v>
      </c>
      <c r="C52" t="s">
        <v>160</v>
      </c>
      <c r="D52" s="9" t="s">
        <v>130</v>
      </c>
      <c r="E52" s="9" t="s">
        <v>161</v>
      </c>
    </row>
    <row r="53" spans="2:5">
      <c r="B53" s="9" t="s">
        <v>130</v>
      </c>
      <c r="C53" t="s">
        <v>168</v>
      </c>
      <c r="D53" s="9" t="s">
        <v>130</v>
      </c>
      <c r="E53" s="9" t="s">
        <v>161</v>
      </c>
    </row>
    <row r="54" spans="2:5">
      <c r="B54" s="9" t="s">
        <v>130</v>
      </c>
      <c r="C54" t="s">
        <v>179</v>
      </c>
      <c r="D54" s="9" t="s">
        <v>130</v>
      </c>
      <c r="E54" s="9" t="s">
        <v>161</v>
      </c>
    </row>
    <row r="55" spans="2:5">
      <c r="B55" s="9" t="s">
        <v>130</v>
      </c>
      <c r="C55" t="s">
        <v>159</v>
      </c>
      <c r="D55" s="9" t="s">
        <v>130</v>
      </c>
      <c r="E55" s="9" t="s">
        <v>161</v>
      </c>
    </row>
    <row r="56" spans="2:5">
      <c r="B56" s="9" t="s">
        <v>130</v>
      </c>
      <c r="C56" t="s">
        <v>141</v>
      </c>
      <c r="D56" s="9" t="s">
        <v>130</v>
      </c>
      <c r="E56" s="9" t="s">
        <v>161</v>
      </c>
    </row>
    <row r="57" spans="2:5">
      <c r="B57" s="9" t="s">
        <v>130</v>
      </c>
      <c r="C57" t="s">
        <v>160</v>
      </c>
      <c r="D57" s="9" t="s">
        <v>130</v>
      </c>
      <c r="E57" s="9" t="s">
        <v>161</v>
      </c>
    </row>
    <row r="58" spans="2:5">
      <c r="B58" s="9" t="s">
        <v>130</v>
      </c>
      <c r="C58" t="s">
        <v>142</v>
      </c>
      <c r="D58" s="9" t="s">
        <v>130</v>
      </c>
      <c r="E58" s="9" t="s">
        <v>161</v>
      </c>
    </row>
    <row r="59" spans="2:5">
      <c r="B59" s="9" t="s">
        <v>130</v>
      </c>
      <c r="C59" t="s">
        <v>159</v>
      </c>
      <c r="D59" s="9" t="s">
        <v>130</v>
      </c>
      <c r="E59" s="9" t="s">
        <v>161</v>
      </c>
    </row>
    <row r="60" spans="2:5">
      <c r="B60" s="9" t="s">
        <v>130</v>
      </c>
      <c r="C60" t="s">
        <v>138</v>
      </c>
      <c r="D60" s="9" t="s">
        <v>130</v>
      </c>
      <c r="E60" s="9" t="s">
        <v>161</v>
      </c>
    </row>
    <row r="61" spans="2:5">
      <c r="B61" s="9" t="s">
        <v>130</v>
      </c>
      <c r="C61" t="s">
        <v>141</v>
      </c>
      <c r="D61" s="9" t="s">
        <v>130</v>
      </c>
      <c r="E61" s="9" t="s">
        <v>161</v>
      </c>
    </row>
    <row r="62" spans="2:5">
      <c r="B62" s="9" t="s">
        <v>130</v>
      </c>
      <c r="C62" t="s">
        <v>138</v>
      </c>
      <c r="D62" s="9" t="s">
        <v>130</v>
      </c>
      <c r="E62" s="9" t="s">
        <v>161</v>
      </c>
    </row>
    <row r="63" spans="2:5">
      <c r="B63" s="9" t="s">
        <v>130</v>
      </c>
      <c r="C63" t="s">
        <v>159</v>
      </c>
      <c r="D63" s="9" t="s">
        <v>130</v>
      </c>
      <c r="E63" s="9" t="s">
        <v>161</v>
      </c>
    </row>
    <row r="64" spans="2:5">
      <c r="B64" s="9" t="s">
        <v>130</v>
      </c>
      <c r="C64" t="s">
        <v>140</v>
      </c>
      <c r="D64" s="9" t="s">
        <v>130</v>
      </c>
      <c r="E64" s="9" t="s">
        <v>161</v>
      </c>
    </row>
    <row r="65" spans="2:5">
      <c r="B65" s="9" t="s">
        <v>130</v>
      </c>
      <c r="C65" t="s">
        <v>137</v>
      </c>
      <c r="D65" s="9" t="s">
        <v>130</v>
      </c>
      <c r="E65" s="9" t="s">
        <v>161</v>
      </c>
    </row>
    <row r="66" spans="2:5">
      <c r="B66" s="9" t="s">
        <v>130</v>
      </c>
      <c r="C66" t="s">
        <v>141</v>
      </c>
      <c r="D66" s="9" t="s">
        <v>130</v>
      </c>
      <c r="E66" s="9" t="s">
        <v>161</v>
      </c>
    </row>
    <row r="67" spans="2:5">
      <c r="B67" s="9" t="s">
        <v>130</v>
      </c>
      <c r="C67" t="s">
        <v>141</v>
      </c>
      <c r="D67" s="9" t="s">
        <v>130</v>
      </c>
      <c r="E67" s="9" t="s">
        <v>161</v>
      </c>
    </row>
    <row r="68" spans="2:5">
      <c r="B68" s="9" t="s">
        <v>130</v>
      </c>
      <c r="C68" t="s">
        <v>135</v>
      </c>
      <c r="D68" s="9" t="s">
        <v>130</v>
      </c>
      <c r="E68" s="9" t="s">
        <v>161</v>
      </c>
    </row>
    <row r="69" spans="2:5">
      <c r="B69" s="9" t="s">
        <v>130</v>
      </c>
      <c r="C69" t="s">
        <v>141</v>
      </c>
      <c r="D69" s="9" t="s">
        <v>130</v>
      </c>
      <c r="E69" s="9" t="s">
        <v>161</v>
      </c>
    </row>
    <row r="70" spans="2:5">
      <c r="B70" s="9" t="s">
        <v>130</v>
      </c>
      <c r="C70" t="s">
        <v>140</v>
      </c>
      <c r="D70" s="9" t="s">
        <v>130</v>
      </c>
      <c r="E70" s="9" t="s">
        <v>161</v>
      </c>
    </row>
    <row r="71" spans="2:5">
      <c r="B71" s="9" t="s">
        <v>130</v>
      </c>
      <c r="C71" t="s">
        <v>138</v>
      </c>
      <c r="D71" s="9" t="s">
        <v>130</v>
      </c>
      <c r="E71" s="9" t="s">
        <v>161</v>
      </c>
    </row>
    <row r="72" spans="2:5">
      <c r="B72" s="9" t="s">
        <v>130</v>
      </c>
      <c r="C72" t="s">
        <v>189</v>
      </c>
      <c r="D72" s="9" t="s">
        <v>130</v>
      </c>
      <c r="E72" s="9" t="s">
        <v>161</v>
      </c>
    </row>
    <row r="73" spans="2:5">
      <c r="B73" s="9" t="s">
        <v>130</v>
      </c>
      <c r="C73" t="s">
        <v>134</v>
      </c>
      <c r="D73" s="9" t="s">
        <v>130</v>
      </c>
      <c r="E73" s="9" t="s">
        <v>161</v>
      </c>
    </row>
    <row r="74" spans="2:5">
      <c r="B74" s="9" t="s">
        <v>130</v>
      </c>
      <c r="C74" t="s">
        <v>189</v>
      </c>
      <c r="D74" s="9" t="s">
        <v>130</v>
      </c>
      <c r="E74" s="9" t="s">
        <v>161</v>
      </c>
    </row>
    <row r="75" spans="2:5">
      <c r="B75" s="9" t="s">
        <v>130</v>
      </c>
      <c r="C75" t="s">
        <v>160</v>
      </c>
      <c r="D75" s="9" t="s">
        <v>130</v>
      </c>
      <c r="E75" s="9" t="s">
        <v>161</v>
      </c>
    </row>
    <row r="76" spans="2:5">
      <c r="B76" s="9" t="s">
        <v>130</v>
      </c>
      <c r="C76" t="s">
        <v>134</v>
      </c>
      <c r="D76" s="9" t="s">
        <v>130</v>
      </c>
      <c r="E76" s="9" t="s">
        <v>161</v>
      </c>
    </row>
    <row r="77" spans="2:5">
      <c r="B77" s="9" t="s">
        <v>130</v>
      </c>
      <c r="C77" t="s">
        <v>141</v>
      </c>
      <c r="D77" s="9" t="s">
        <v>130</v>
      </c>
      <c r="E77" s="9" t="s">
        <v>161</v>
      </c>
    </row>
    <row r="78" spans="2:5">
      <c r="B78" s="9" t="s">
        <v>130</v>
      </c>
      <c r="C78" t="s">
        <v>140</v>
      </c>
      <c r="D78" s="9" t="s">
        <v>130</v>
      </c>
      <c r="E78" s="9" t="s">
        <v>161</v>
      </c>
    </row>
    <row r="79" spans="2:5">
      <c r="B79" s="9" t="s">
        <v>130</v>
      </c>
      <c r="C79" t="s">
        <v>141</v>
      </c>
      <c r="D79" s="9" t="s">
        <v>130</v>
      </c>
      <c r="E79" s="9" t="s">
        <v>161</v>
      </c>
    </row>
    <row r="80" spans="2:5">
      <c r="B80" s="9" t="s">
        <v>130</v>
      </c>
      <c r="C80" t="s">
        <v>141</v>
      </c>
      <c r="D80" s="9" t="s">
        <v>130</v>
      </c>
      <c r="E80" s="9" t="s">
        <v>161</v>
      </c>
    </row>
    <row r="81" spans="2:5">
      <c r="B81" s="9" t="s">
        <v>130</v>
      </c>
      <c r="C81" t="s">
        <v>132</v>
      </c>
      <c r="D81" s="9" t="s">
        <v>130</v>
      </c>
      <c r="E81" s="9" t="s">
        <v>161</v>
      </c>
    </row>
    <row r="82" spans="2:5">
      <c r="B82" s="9" t="s">
        <v>130</v>
      </c>
      <c r="C82" t="s">
        <v>141</v>
      </c>
      <c r="D82" s="9" t="s">
        <v>130</v>
      </c>
      <c r="E82" s="9" t="s">
        <v>161</v>
      </c>
    </row>
    <row r="83" spans="2:5">
      <c r="B83" s="9" t="s">
        <v>130</v>
      </c>
      <c r="C83" t="s">
        <v>189</v>
      </c>
      <c r="D83" s="9" t="s">
        <v>130</v>
      </c>
      <c r="E83" s="9" t="s">
        <v>161</v>
      </c>
    </row>
    <row r="84" spans="2:5">
      <c r="B84" s="9" t="s">
        <v>130</v>
      </c>
      <c r="C84" t="s">
        <v>168</v>
      </c>
      <c r="D84" s="9" t="s">
        <v>130</v>
      </c>
      <c r="E84" s="9" t="s">
        <v>161</v>
      </c>
    </row>
    <row r="85" spans="2:5">
      <c r="B85" s="9" t="s">
        <v>130</v>
      </c>
      <c r="C85" t="s">
        <v>137</v>
      </c>
      <c r="D85" s="9" t="s">
        <v>130</v>
      </c>
      <c r="E85" s="9" t="s">
        <v>161</v>
      </c>
    </row>
    <row r="86" spans="2:5">
      <c r="B86" s="9" t="s">
        <v>130</v>
      </c>
      <c r="C86" t="s">
        <v>140</v>
      </c>
      <c r="D86" s="9" t="s">
        <v>130</v>
      </c>
      <c r="E86" s="9" t="s">
        <v>161</v>
      </c>
    </row>
    <row r="87" spans="2:5">
      <c r="B87" s="9" t="s">
        <v>130</v>
      </c>
      <c r="C87" t="s">
        <v>168</v>
      </c>
      <c r="D87" s="9" t="s">
        <v>130</v>
      </c>
      <c r="E87" s="9" t="s">
        <v>161</v>
      </c>
    </row>
    <row r="88" spans="2:5">
      <c r="B88" s="9" t="s">
        <v>130</v>
      </c>
      <c r="C88" t="s">
        <v>189</v>
      </c>
      <c r="D88" s="9" t="s">
        <v>130</v>
      </c>
      <c r="E88" s="9" t="s">
        <v>161</v>
      </c>
    </row>
    <row r="89" spans="2:5">
      <c r="B89" s="9" t="s">
        <v>130</v>
      </c>
      <c r="C89" t="s">
        <v>187</v>
      </c>
      <c r="D89" s="9" t="s">
        <v>130</v>
      </c>
      <c r="E89" s="9" t="s">
        <v>161</v>
      </c>
    </row>
  </sheetData>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tabColor rgb="FFC00000"/>
  </sheetPr>
  <dimension ref="A1:M121"/>
  <sheetViews>
    <sheetView topLeftCell="C19" zoomScale="90" zoomScaleNormal="90" workbookViewId="0">
      <selection activeCell="E120" sqref="E22:E120"/>
    </sheetView>
  </sheetViews>
  <sheetFormatPr defaultColWidth="9.140625" defaultRowHeight="12.75"/>
  <cols>
    <col min="1" max="1" width="12.5703125" style="9" customWidth="1"/>
    <col min="2" max="2" width="54.7109375" style="9" bestFit="1" customWidth="1"/>
    <col min="3" max="3" width="13.5703125" style="9" customWidth="1"/>
    <col min="4" max="4" width="36.5703125" style="9" customWidth="1"/>
    <col min="5" max="5" width="18" style="9" customWidth="1"/>
    <col min="6" max="6" width="2.7109375" style="9" customWidth="1"/>
    <col min="7" max="7" width="63.140625" style="119" customWidth="1"/>
    <col min="8" max="10" width="10.85546875" style="109" customWidth="1"/>
    <col min="11" max="11" width="11.28515625" style="109" customWidth="1"/>
    <col min="12" max="13" width="11.28515625" style="9" customWidth="1"/>
    <col min="14" max="16384" width="9.140625" style="9"/>
  </cols>
  <sheetData>
    <row r="1" spans="1:13" ht="15.75" thickBot="1">
      <c r="B1" s="140" t="s">
        <v>587</v>
      </c>
      <c r="C1" s="139"/>
      <c r="D1" s="139"/>
      <c r="E1" s="139"/>
    </row>
    <row r="2" spans="1:13">
      <c r="B2" s="929" t="s">
        <v>193</v>
      </c>
      <c r="C2" s="930" t="s">
        <v>194</v>
      </c>
      <c r="D2" s="930" t="s">
        <v>195</v>
      </c>
      <c r="E2" s="931" t="s">
        <v>196</v>
      </c>
    </row>
    <row r="3" spans="1:13" ht="15">
      <c r="B3" s="932" t="s">
        <v>130</v>
      </c>
      <c r="C3" s="933">
        <v>50</v>
      </c>
      <c r="D3" s="933">
        <v>75</v>
      </c>
      <c r="E3" s="934">
        <v>75</v>
      </c>
      <c r="G3" s="134" t="s">
        <v>198</v>
      </c>
    </row>
    <row r="4" spans="1:13" ht="15">
      <c r="B4" s="926"/>
      <c r="C4" s="935"/>
      <c r="D4" s="936"/>
      <c r="E4" s="936"/>
      <c r="G4" s="130" t="s">
        <v>588</v>
      </c>
    </row>
    <row r="5" spans="1:13" ht="15">
      <c r="B5" s="932" t="s">
        <v>152</v>
      </c>
      <c r="C5" s="933">
        <v>550</v>
      </c>
      <c r="D5" s="933">
        <v>725</v>
      </c>
      <c r="E5" s="934">
        <v>725</v>
      </c>
    </row>
    <row r="6" spans="1:13" ht="15">
      <c r="B6" s="926"/>
      <c r="C6" s="935"/>
      <c r="D6" s="936"/>
      <c r="E6" s="936"/>
    </row>
    <row r="7" spans="1:13" ht="15">
      <c r="B7" s="932" t="s">
        <v>584</v>
      </c>
      <c r="C7" s="937">
        <v>100</v>
      </c>
      <c r="D7" s="937">
        <v>175</v>
      </c>
      <c r="E7" s="937">
        <v>175</v>
      </c>
      <c r="G7" s="119" t="s">
        <v>589</v>
      </c>
    </row>
    <row r="8" spans="1:13" ht="15">
      <c r="B8" s="932" t="s">
        <v>585</v>
      </c>
      <c r="C8" s="937">
        <v>100</v>
      </c>
      <c r="D8" s="938">
        <v>175</v>
      </c>
      <c r="E8" s="938">
        <v>175</v>
      </c>
    </row>
    <row r="9" spans="1:13" ht="15">
      <c r="B9" s="926"/>
      <c r="C9" s="927"/>
      <c r="D9" s="928"/>
      <c r="E9" s="928"/>
    </row>
    <row r="10" spans="1:13" ht="15">
      <c r="B10" s="926"/>
      <c r="C10" s="928"/>
      <c r="D10" s="928"/>
      <c r="E10" s="928"/>
    </row>
    <row r="11" spans="1:13">
      <c r="K11" s="127">
        <v>2</v>
      </c>
      <c r="L11" s="127">
        <v>3</v>
      </c>
      <c r="M11" s="127">
        <v>4</v>
      </c>
    </row>
    <row r="12" spans="1:13" ht="13.5" thickBot="1">
      <c r="A12" s="8" t="s">
        <v>211</v>
      </c>
      <c r="G12" s="126" t="s">
        <v>212</v>
      </c>
      <c r="H12" s="36" t="s">
        <v>213</v>
      </c>
      <c r="I12" s="36" t="s">
        <v>214</v>
      </c>
      <c r="J12" s="36" t="s">
        <v>215</v>
      </c>
      <c r="K12" s="125" t="s">
        <v>216</v>
      </c>
      <c r="L12" s="36" t="s">
        <v>217</v>
      </c>
      <c r="M12" s="36" t="s">
        <v>218</v>
      </c>
    </row>
    <row r="13" spans="1:13" ht="15.75" thickBot="1">
      <c r="A13" s="8" t="s">
        <v>219</v>
      </c>
      <c r="B13" s="1106" t="s">
        <v>590</v>
      </c>
      <c r="C13" s="1107"/>
      <c r="D13" s="1107"/>
      <c r="E13" s="1107"/>
      <c r="F13" s="1107"/>
      <c r="G13" s="1107"/>
      <c r="H13" s="1107"/>
      <c r="I13" s="1107"/>
      <c r="J13" s="1107"/>
      <c r="K13" s="1107"/>
      <c r="L13" s="1107"/>
      <c r="M13" s="1108"/>
    </row>
    <row r="14" spans="1:13">
      <c r="A14" s="122" t="str">
        <f>VLOOKUP(G14,[1]LookupK!C:D,2,0)</f>
        <v>JED</v>
      </c>
      <c r="B14" s="447" t="s">
        <v>591</v>
      </c>
      <c r="C14" s="448" t="s">
        <v>222</v>
      </c>
      <c r="D14" s="447"/>
      <c r="E14" s="447"/>
      <c r="F14" s="449"/>
      <c r="G14" s="450" t="s">
        <v>151</v>
      </c>
      <c r="H14" s="451">
        <v>400</v>
      </c>
      <c r="I14" s="451">
        <v>600</v>
      </c>
      <c r="J14" s="451">
        <v>600</v>
      </c>
      <c r="K14" s="452">
        <f t="shared" ref="K14" si="0">IF(H14&lt;&gt;"",VLOOKUP($A14,$B$3:$E$10,2,FALSE)+H14,"--")</f>
        <v>950</v>
      </c>
      <c r="L14" s="452">
        <f t="shared" ref="L14" si="1">IF(I14&lt;&gt;"",VLOOKUP($A14,$B$3:$E$10,3,FALSE)+I14,"--")</f>
        <v>1325</v>
      </c>
      <c r="M14" s="452">
        <f t="shared" ref="M14" si="2">IF(J14&lt;&gt;"",VLOOKUP($A14,$B$3:$E$10,4,FALSE)+J14,"--")</f>
        <v>1325</v>
      </c>
    </row>
    <row r="19" spans="1:13" ht="13.5" thickBot="1"/>
    <row r="20" spans="1:13" ht="15.75" thickBot="1">
      <c r="B20" s="1106" t="s">
        <v>592</v>
      </c>
      <c r="C20" s="1107"/>
      <c r="D20" s="1107"/>
      <c r="E20" s="1107"/>
      <c r="F20" s="1107"/>
      <c r="G20" s="1107"/>
      <c r="H20" s="1107"/>
      <c r="I20" s="1107"/>
      <c r="J20" s="1107"/>
      <c r="K20" s="1107"/>
      <c r="L20" s="1107"/>
      <c r="M20" s="1108"/>
    </row>
    <row r="21" spans="1:13">
      <c r="A21" s="8" t="s">
        <v>233</v>
      </c>
      <c r="B21" s="8" t="s">
        <v>234</v>
      </c>
      <c r="C21" s="8" t="s">
        <v>235</v>
      </c>
      <c r="D21" s="8" t="s">
        <v>236</v>
      </c>
      <c r="G21" s="126" t="s">
        <v>212</v>
      </c>
      <c r="H21" s="36" t="s">
        <v>213</v>
      </c>
      <c r="I21" s="36" t="s">
        <v>214</v>
      </c>
      <c r="J21" s="36" t="s">
        <v>215</v>
      </c>
      <c r="K21" s="125" t="s">
        <v>216</v>
      </c>
      <c r="L21" s="36" t="s">
        <v>217</v>
      </c>
      <c r="M21" s="36" t="s">
        <v>218</v>
      </c>
    </row>
    <row r="22" spans="1:13">
      <c r="A22" s="446" t="str">
        <f>VLOOKUP(G22,LookupK!C:D,2,0)</f>
        <v>FEBP</v>
      </c>
      <c r="B22" s="32" t="s">
        <v>242</v>
      </c>
      <c r="C22" s="124" t="s">
        <v>222</v>
      </c>
      <c r="D22" s="32" t="s">
        <v>141</v>
      </c>
      <c r="E22" s="439" t="s">
        <v>239</v>
      </c>
      <c r="F22" s="124"/>
      <c r="G22" s="32" t="s">
        <v>141</v>
      </c>
      <c r="H22" s="32" t="s">
        <v>243</v>
      </c>
      <c r="I22" s="32" t="s">
        <v>244</v>
      </c>
      <c r="J22" s="32" t="s">
        <v>244</v>
      </c>
      <c r="K22" s="120">
        <f t="shared" ref="K22" si="3">IF(H22&lt;&gt;"",VLOOKUP($A22,$B$3:$E$10,2,FALSE)+H22,"--")</f>
        <v>225</v>
      </c>
      <c r="L22" s="120">
        <f t="shared" ref="L22" si="4">IF(I22&lt;&gt;"",VLOOKUP($A22,$B$3:$E$10,3,FALSE)+I22,"--")</f>
        <v>375</v>
      </c>
      <c r="M22" s="120">
        <f t="shared" ref="M22" si="5">IF(J22&lt;&gt;"",VLOOKUP($A22,$B$3:$E$10,4,FALSE)+J22,"--")</f>
        <v>375</v>
      </c>
    </row>
    <row r="23" spans="1:13">
      <c r="A23" s="446" t="str">
        <f>VLOOKUP(G23,LookupK!C:D,2,0)</f>
        <v>FEBP</v>
      </c>
      <c r="B23" s="32" t="s">
        <v>245</v>
      </c>
      <c r="C23" s="124" t="s">
        <v>222</v>
      </c>
      <c r="D23" s="32" t="s">
        <v>141</v>
      </c>
      <c r="E23" s="439" t="s">
        <v>239</v>
      </c>
      <c r="F23" s="124"/>
      <c r="G23" s="32" t="s">
        <v>141</v>
      </c>
      <c r="H23" s="32" t="s">
        <v>246</v>
      </c>
      <c r="I23" s="32" t="s">
        <v>244</v>
      </c>
      <c r="J23" s="32" t="s">
        <v>244</v>
      </c>
      <c r="K23" s="120">
        <f t="shared" ref="K23:K86" si="6">IF(H23&lt;&gt;"",VLOOKUP($A23,$B$3:$E$10,2,FALSE)+H23,"--")</f>
        <v>250</v>
      </c>
      <c r="L23" s="120">
        <f t="shared" ref="L23:L86" si="7">IF(I23&lt;&gt;"",VLOOKUP($A23,$B$3:$E$10,3,FALSE)+I23,"--")</f>
        <v>375</v>
      </c>
      <c r="M23" s="120">
        <f t="shared" ref="M23:M86" si="8">IF(J23&lt;&gt;"",VLOOKUP($A23,$B$3:$E$10,4,FALSE)+J23,"--")</f>
        <v>375</v>
      </c>
    </row>
    <row r="24" spans="1:13">
      <c r="A24" s="446" t="str">
        <f>VLOOKUP(G24,LookupK!C:D,2,0)</f>
        <v>FEBP</v>
      </c>
      <c r="B24" s="32" t="s">
        <v>250</v>
      </c>
      <c r="C24" s="124" t="s">
        <v>222</v>
      </c>
      <c r="D24" s="32" t="s">
        <v>138</v>
      </c>
      <c r="E24" s="439" t="s">
        <v>239</v>
      </c>
      <c r="F24" s="124"/>
      <c r="G24" s="32" t="s">
        <v>138</v>
      </c>
      <c r="H24" s="32" t="s">
        <v>251</v>
      </c>
      <c r="I24" s="32" t="s">
        <v>252</v>
      </c>
      <c r="J24" s="32" t="s">
        <v>252</v>
      </c>
      <c r="K24" s="120">
        <f t="shared" si="6"/>
        <v>275</v>
      </c>
      <c r="L24" s="120">
        <f t="shared" si="7"/>
        <v>425</v>
      </c>
      <c r="M24" s="120">
        <f t="shared" si="8"/>
        <v>425</v>
      </c>
    </row>
    <row r="25" spans="1:13">
      <c r="A25" s="446" t="str">
        <f>VLOOKUP(G25,LookupK!C:D,2,0)</f>
        <v>FEBP</v>
      </c>
      <c r="B25" s="32" t="s">
        <v>256</v>
      </c>
      <c r="C25" s="124" t="s">
        <v>222</v>
      </c>
      <c r="D25" s="32" t="s">
        <v>138</v>
      </c>
      <c r="E25" s="439" t="s">
        <v>239</v>
      </c>
      <c r="F25" s="124"/>
      <c r="G25" s="32" t="s">
        <v>138</v>
      </c>
      <c r="H25" s="32" t="s">
        <v>244</v>
      </c>
      <c r="I25" s="32" t="s">
        <v>257</v>
      </c>
      <c r="J25" s="32" t="s">
        <v>257</v>
      </c>
      <c r="K25" s="120">
        <f t="shared" si="6"/>
        <v>350</v>
      </c>
      <c r="L25" s="120">
        <f t="shared" si="7"/>
        <v>550</v>
      </c>
      <c r="M25" s="120">
        <f t="shared" si="8"/>
        <v>550</v>
      </c>
    </row>
    <row r="26" spans="1:13">
      <c r="A26" s="446" t="str">
        <f>VLOOKUP(G26,LookupK!C:D,2,0)</f>
        <v>FEBP</v>
      </c>
      <c r="B26" s="32" t="s">
        <v>258</v>
      </c>
      <c r="C26" s="124" t="s">
        <v>222</v>
      </c>
      <c r="D26" s="32" t="s">
        <v>138</v>
      </c>
      <c r="E26" s="439" t="s">
        <v>239</v>
      </c>
      <c r="F26" s="124"/>
      <c r="G26" s="32" t="s">
        <v>138</v>
      </c>
      <c r="H26" s="32" t="s">
        <v>241</v>
      </c>
      <c r="I26" s="32" t="s">
        <v>259</v>
      </c>
      <c r="J26" s="32" t="s">
        <v>259</v>
      </c>
      <c r="K26" s="120">
        <f t="shared" si="6"/>
        <v>800</v>
      </c>
      <c r="L26" s="120">
        <f t="shared" si="7"/>
        <v>1425</v>
      </c>
      <c r="M26" s="120">
        <f t="shared" si="8"/>
        <v>1425</v>
      </c>
    </row>
    <row r="27" spans="1:13">
      <c r="A27" s="446" t="str">
        <f>VLOOKUP(G27,LookupK!C:D,2,0)</f>
        <v>FEBP</v>
      </c>
      <c r="B27" s="32" t="s">
        <v>129</v>
      </c>
      <c r="C27" s="124" t="s">
        <v>222</v>
      </c>
      <c r="D27" s="32" t="s">
        <v>141</v>
      </c>
      <c r="E27" s="439" t="s">
        <v>239</v>
      </c>
      <c r="F27" s="124"/>
      <c r="G27" s="32" t="s">
        <v>141</v>
      </c>
      <c r="H27" s="32" t="s">
        <v>262</v>
      </c>
      <c r="I27" s="32" t="s">
        <v>263</v>
      </c>
      <c r="J27" s="32" t="s">
        <v>263</v>
      </c>
      <c r="K27" s="120">
        <f t="shared" si="6"/>
        <v>95</v>
      </c>
      <c r="L27" s="120">
        <f t="shared" si="7"/>
        <v>140</v>
      </c>
      <c r="M27" s="120">
        <f t="shared" si="8"/>
        <v>140</v>
      </c>
    </row>
    <row r="28" spans="1:13">
      <c r="A28" s="446" t="str">
        <f>VLOOKUP(G28,LookupK!C:D,2,0)</f>
        <v>FEBP</v>
      </c>
      <c r="B28" s="32" t="s">
        <v>267</v>
      </c>
      <c r="C28" s="124" t="s">
        <v>222</v>
      </c>
      <c r="D28" s="32" t="s">
        <v>141</v>
      </c>
      <c r="E28" s="439" t="s">
        <v>239</v>
      </c>
      <c r="F28" s="124"/>
      <c r="G28" s="32" t="s">
        <v>141</v>
      </c>
      <c r="H28" s="32" t="s">
        <v>268</v>
      </c>
      <c r="I28" s="32" t="s">
        <v>249</v>
      </c>
      <c r="J28" s="32" t="s">
        <v>249</v>
      </c>
      <c r="K28" s="120">
        <f t="shared" si="6"/>
        <v>425</v>
      </c>
      <c r="L28" s="120">
        <f t="shared" si="7"/>
        <v>775</v>
      </c>
      <c r="M28" s="120">
        <f t="shared" si="8"/>
        <v>775</v>
      </c>
    </row>
    <row r="29" spans="1:13">
      <c r="A29" s="446" t="str">
        <f>VLOOKUP(G29,LookupK!C:D,2,0)</f>
        <v>FEBP</v>
      </c>
      <c r="B29" s="32" t="s">
        <v>269</v>
      </c>
      <c r="C29" s="124" t="s">
        <v>222</v>
      </c>
      <c r="D29" s="32" t="s">
        <v>141</v>
      </c>
      <c r="E29" s="439" t="s">
        <v>239</v>
      </c>
      <c r="F29" s="124"/>
      <c r="G29" s="32" t="s">
        <v>141</v>
      </c>
      <c r="H29" s="32" t="s">
        <v>270</v>
      </c>
      <c r="I29" s="32" t="s">
        <v>240</v>
      </c>
      <c r="J29" s="32" t="s">
        <v>240</v>
      </c>
      <c r="K29" s="120">
        <f t="shared" si="6"/>
        <v>375</v>
      </c>
      <c r="L29" s="120">
        <f t="shared" si="7"/>
        <v>625</v>
      </c>
      <c r="M29" s="120">
        <f t="shared" si="8"/>
        <v>625</v>
      </c>
    </row>
    <row r="30" spans="1:13">
      <c r="A30" s="446" t="str">
        <f>VLOOKUP(G30,LookupK!C:D,2,0)</f>
        <v>FEBP</v>
      </c>
      <c r="B30" s="32" t="s">
        <v>271</v>
      </c>
      <c r="C30" s="124" t="s">
        <v>222</v>
      </c>
      <c r="D30" s="32" t="s">
        <v>141</v>
      </c>
      <c r="E30" s="439" t="s">
        <v>239</v>
      </c>
      <c r="F30" s="124"/>
      <c r="G30" s="32" t="s">
        <v>141</v>
      </c>
      <c r="H30" s="32" t="s">
        <v>243</v>
      </c>
      <c r="I30" s="32" t="s">
        <v>272</v>
      </c>
      <c r="J30" s="32" t="s">
        <v>272</v>
      </c>
      <c r="K30" s="120">
        <f t="shared" si="6"/>
        <v>225</v>
      </c>
      <c r="L30" s="120">
        <f t="shared" si="7"/>
        <v>350</v>
      </c>
      <c r="M30" s="120">
        <f t="shared" si="8"/>
        <v>350</v>
      </c>
    </row>
    <row r="31" spans="1:13">
      <c r="A31" s="446" t="str">
        <f>VLOOKUP(G31,LookupK!C:D,2,0)</f>
        <v>FEBP</v>
      </c>
      <c r="B31" s="32" t="s">
        <v>273</v>
      </c>
      <c r="C31" s="124" t="s">
        <v>222</v>
      </c>
      <c r="D31" s="32" t="s">
        <v>141</v>
      </c>
      <c r="E31" s="439" t="s">
        <v>239</v>
      </c>
      <c r="F31" s="124"/>
      <c r="G31" s="32" t="s">
        <v>141</v>
      </c>
      <c r="H31" s="32" t="s">
        <v>243</v>
      </c>
      <c r="I31" s="32" t="s">
        <v>244</v>
      </c>
      <c r="J31" s="32" t="s">
        <v>244</v>
      </c>
      <c r="K31" s="120">
        <f t="shared" si="6"/>
        <v>225</v>
      </c>
      <c r="L31" s="120">
        <f t="shared" si="7"/>
        <v>375</v>
      </c>
      <c r="M31" s="120">
        <f t="shared" si="8"/>
        <v>375</v>
      </c>
    </row>
    <row r="32" spans="1:13">
      <c r="A32" s="446" t="str">
        <f>VLOOKUP(G32,LookupK!C:D,2,0)</f>
        <v>FEBP</v>
      </c>
      <c r="B32" s="32" t="s">
        <v>274</v>
      </c>
      <c r="C32" s="124" t="s">
        <v>222</v>
      </c>
      <c r="D32" s="32" t="s">
        <v>141</v>
      </c>
      <c r="E32" s="439" t="s">
        <v>239</v>
      </c>
      <c r="F32" s="124"/>
      <c r="G32" s="32" t="s">
        <v>141</v>
      </c>
      <c r="H32" s="32" t="s">
        <v>275</v>
      </c>
      <c r="I32" s="32" t="s">
        <v>276</v>
      </c>
      <c r="J32" s="32" t="s">
        <v>276</v>
      </c>
      <c r="K32" s="120">
        <f t="shared" si="6"/>
        <v>1300</v>
      </c>
      <c r="L32" s="120">
        <f t="shared" si="7"/>
        <v>1675</v>
      </c>
      <c r="M32" s="120">
        <f t="shared" si="8"/>
        <v>1675</v>
      </c>
    </row>
    <row r="33" spans="1:13">
      <c r="A33" s="446" t="str">
        <f>VLOOKUP(G33,LookupK!C:D,2,0)</f>
        <v>FEBP</v>
      </c>
      <c r="B33" s="32" t="s">
        <v>277</v>
      </c>
      <c r="C33" s="124" t="s">
        <v>222</v>
      </c>
      <c r="D33" s="32" t="s">
        <v>141</v>
      </c>
      <c r="E33" s="439" t="s">
        <v>239</v>
      </c>
      <c r="F33" s="124"/>
      <c r="G33" s="32" t="s">
        <v>141</v>
      </c>
      <c r="H33" s="32" t="s">
        <v>278</v>
      </c>
      <c r="I33" s="32" t="s">
        <v>279</v>
      </c>
      <c r="J33" s="32" t="s">
        <v>279</v>
      </c>
      <c r="K33" s="120">
        <f t="shared" si="6"/>
        <v>450</v>
      </c>
      <c r="L33" s="120">
        <f t="shared" si="7"/>
        <v>800</v>
      </c>
      <c r="M33" s="120">
        <f t="shared" si="8"/>
        <v>800</v>
      </c>
    </row>
    <row r="34" spans="1:13">
      <c r="A34" s="446" t="str">
        <f>VLOOKUP(G34,LookupK!C:D,2,0)</f>
        <v>FEBP</v>
      </c>
      <c r="B34" s="32" t="s">
        <v>283</v>
      </c>
      <c r="C34" s="124" t="s">
        <v>222</v>
      </c>
      <c r="D34" s="32" t="s">
        <v>141</v>
      </c>
      <c r="E34" s="439" t="s">
        <v>239</v>
      </c>
      <c r="F34" s="124"/>
      <c r="G34" s="32" t="s">
        <v>141</v>
      </c>
      <c r="H34" s="32" t="s">
        <v>251</v>
      </c>
      <c r="I34" s="32" t="s">
        <v>252</v>
      </c>
      <c r="J34" s="32" t="s">
        <v>252</v>
      </c>
      <c r="K34" s="120">
        <f t="shared" si="6"/>
        <v>275</v>
      </c>
      <c r="L34" s="120">
        <f t="shared" si="7"/>
        <v>425</v>
      </c>
      <c r="M34" s="120">
        <f t="shared" si="8"/>
        <v>425</v>
      </c>
    </row>
    <row r="35" spans="1:13">
      <c r="A35" s="446" t="str">
        <f>VLOOKUP(G35,LookupK!C:D,2,0)</f>
        <v>FEBP</v>
      </c>
      <c r="B35" s="32" t="s">
        <v>287</v>
      </c>
      <c r="C35" s="124" t="s">
        <v>222</v>
      </c>
      <c r="D35" s="32" t="s">
        <v>578</v>
      </c>
      <c r="E35" s="439" t="s">
        <v>239</v>
      </c>
      <c r="F35" s="124"/>
      <c r="G35" s="32" t="s">
        <v>578</v>
      </c>
      <c r="H35" s="32" t="s">
        <v>246</v>
      </c>
      <c r="I35" s="32" t="s">
        <v>270</v>
      </c>
      <c r="J35" s="32" t="s">
        <v>270</v>
      </c>
      <c r="K35" s="120">
        <f t="shared" si="6"/>
        <v>250</v>
      </c>
      <c r="L35" s="120">
        <f t="shared" si="7"/>
        <v>400</v>
      </c>
      <c r="M35" s="120">
        <f t="shared" si="8"/>
        <v>400</v>
      </c>
    </row>
    <row r="36" spans="1:13">
      <c r="A36" s="446" t="str">
        <f>VLOOKUP(G36,LookupK!C:D,2,0)</f>
        <v>FEBP</v>
      </c>
      <c r="B36" s="32" t="s">
        <v>293</v>
      </c>
      <c r="C36" s="124" t="s">
        <v>222</v>
      </c>
      <c r="D36" s="32" t="s">
        <v>578</v>
      </c>
      <c r="E36" s="439" t="s">
        <v>239</v>
      </c>
      <c r="F36" s="124"/>
      <c r="G36" s="32" t="s">
        <v>578</v>
      </c>
      <c r="H36" s="32" t="s">
        <v>289</v>
      </c>
      <c r="I36" s="32" t="s">
        <v>272</v>
      </c>
      <c r="J36" s="32" t="s">
        <v>272</v>
      </c>
      <c r="K36" s="120">
        <f t="shared" si="6"/>
        <v>200</v>
      </c>
      <c r="L36" s="120">
        <f t="shared" si="7"/>
        <v>350</v>
      </c>
      <c r="M36" s="120">
        <f t="shared" si="8"/>
        <v>350</v>
      </c>
    </row>
    <row r="37" spans="1:13">
      <c r="A37" s="446" t="str">
        <f>VLOOKUP(G37,LookupK!C:D,2,0)</f>
        <v>FEBP</v>
      </c>
      <c r="B37" s="32" t="s">
        <v>296</v>
      </c>
      <c r="C37" s="124" t="s">
        <v>222</v>
      </c>
      <c r="D37" s="32" t="s">
        <v>137</v>
      </c>
      <c r="E37" s="439" t="s">
        <v>239</v>
      </c>
      <c r="F37" s="124"/>
      <c r="G37" s="32" t="s">
        <v>137</v>
      </c>
      <c r="H37" s="32" t="s">
        <v>251</v>
      </c>
      <c r="I37" s="32" t="s">
        <v>278</v>
      </c>
      <c r="J37" s="32" t="s">
        <v>278</v>
      </c>
      <c r="K37" s="120">
        <f t="shared" si="6"/>
        <v>275</v>
      </c>
      <c r="L37" s="120">
        <f t="shared" si="7"/>
        <v>475</v>
      </c>
      <c r="M37" s="120">
        <f t="shared" si="8"/>
        <v>475</v>
      </c>
    </row>
    <row r="38" spans="1:13">
      <c r="A38" s="446" t="str">
        <f>VLOOKUP(G38,LookupK!C:D,2,0)</f>
        <v>FEBP</v>
      </c>
      <c r="B38" s="32" t="s">
        <v>298</v>
      </c>
      <c r="C38" s="124" t="s">
        <v>222</v>
      </c>
      <c r="D38" s="32" t="s">
        <v>137</v>
      </c>
      <c r="E38" s="439" t="s">
        <v>239</v>
      </c>
      <c r="F38" s="124"/>
      <c r="G38" s="32" t="s">
        <v>137</v>
      </c>
      <c r="H38" s="32" t="s">
        <v>246</v>
      </c>
      <c r="I38" s="32" t="s">
        <v>252</v>
      </c>
      <c r="J38" s="32" t="s">
        <v>252</v>
      </c>
      <c r="K38" s="120">
        <f t="shared" si="6"/>
        <v>250</v>
      </c>
      <c r="L38" s="120">
        <f t="shared" si="7"/>
        <v>425</v>
      </c>
      <c r="M38" s="120">
        <f t="shared" si="8"/>
        <v>425</v>
      </c>
    </row>
    <row r="39" spans="1:13">
      <c r="A39" s="446" t="str">
        <f>VLOOKUP(G39,LookupK!C:D,2,0)</f>
        <v>FEBP</v>
      </c>
      <c r="B39" s="32" t="s">
        <v>300</v>
      </c>
      <c r="C39" s="124" t="s">
        <v>222</v>
      </c>
      <c r="D39" s="32" t="s">
        <v>578</v>
      </c>
      <c r="E39" s="439" t="s">
        <v>239</v>
      </c>
      <c r="F39" s="124"/>
      <c r="G39" s="32" t="s">
        <v>578</v>
      </c>
      <c r="H39" s="32" t="s">
        <v>289</v>
      </c>
      <c r="I39" s="32" t="s">
        <v>272</v>
      </c>
      <c r="J39" s="32" t="s">
        <v>272</v>
      </c>
      <c r="K39" s="120">
        <f t="shared" si="6"/>
        <v>200</v>
      </c>
      <c r="L39" s="120">
        <f t="shared" si="7"/>
        <v>350</v>
      </c>
      <c r="M39" s="120">
        <f t="shared" si="8"/>
        <v>350</v>
      </c>
    </row>
    <row r="40" spans="1:13">
      <c r="A40" s="446" t="str">
        <f>VLOOKUP(G40,LookupK!C:D,2,0)</f>
        <v>FEBP</v>
      </c>
      <c r="B40" s="32" t="s">
        <v>301</v>
      </c>
      <c r="C40" s="124" t="s">
        <v>222</v>
      </c>
      <c r="D40" s="32" t="s">
        <v>578</v>
      </c>
      <c r="E40" s="439" t="s">
        <v>239</v>
      </c>
      <c r="F40" s="124"/>
      <c r="G40" s="32" t="s">
        <v>578</v>
      </c>
      <c r="H40" s="32" t="s">
        <v>251</v>
      </c>
      <c r="I40" s="32" t="s">
        <v>270</v>
      </c>
      <c r="J40" s="32" t="s">
        <v>270</v>
      </c>
      <c r="K40" s="120">
        <f t="shared" si="6"/>
        <v>275</v>
      </c>
      <c r="L40" s="120">
        <f t="shared" si="7"/>
        <v>400</v>
      </c>
      <c r="M40" s="120">
        <f t="shared" si="8"/>
        <v>400</v>
      </c>
    </row>
    <row r="41" spans="1:13">
      <c r="A41" s="446" t="str">
        <f>VLOOKUP(G41,LookupK!C:D,2,0)</f>
        <v>FEBP</v>
      </c>
      <c r="B41" s="32" t="s">
        <v>305</v>
      </c>
      <c r="C41" s="124" t="s">
        <v>222</v>
      </c>
      <c r="D41" s="32" t="s">
        <v>138</v>
      </c>
      <c r="E41" s="439" t="s">
        <v>239</v>
      </c>
      <c r="F41" s="124"/>
      <c r="G41" s="32" t="s">
        <v>138</v>
      </c>
      <c r="H41" s="32" t="s">
        <v>289</v>
      </c>
      <c r="I41" s="32" t="s">
        <v>272</v>
      </c>
      <c r="J41" s="32" t="s">
        <v>272</v>
      </c>
      <c r="K41" s="120">
        <f t="shared" si="6"/>
        <v>200</v>
      </c>
      <c r="L41" s="120">
        <f t="shared" si="7"/>
        <v>350</v>
      </c>
      <c r="M41" s="120">
        <f t="shared" si="8"/>
        <v>350</v>
      </c>
    </row>
    <row r="42" spans="1:13">
      <c r="A42" s="446" t="str">
        <f>VLOOKUP(G42,LookupK!C:D,2,0)</f>
        <v>FEBP</v>
      </c>
      <c r="B42" s="32" t="s">
        <v>308</v>
      </c>
      <c r="C42" s="124" t="s">
        <v>222</v>
      </c>
      <c r="D42" s="32" t="s">
        <v>137</v>
      </c>
      <c r="E42" s="439" t="s">
        <v>239</v>
      </c>
      <c r="F42" s="124"/>
      <c r="G42" s="32" t="s">
        <v>137</v>
      </c>
      <c r="H42" s="32" t="s">
        <v>244</v>
      </c>
      <c r="I42" s="32" t="s">
        <v>248</v>
      </c>
      <c r="J42" s="32" t="s">
        <v>248</v>
      </c>
      <c r="K42" s="120">
        <f t="shared" si="6"/>
        <v>350</v>
      </c>
      <c r="L42" s="120">
        <f t="shared" si="7"/>
        <v>500</v>
      </c>
      <c r="M42" s="120">
        <f t="shared" si="8"/>
        <v>500</v>
      </c>
    </row>
    <row r="43" spans="1:13">
      <c r="A43" s="446" t="str">
        <f>VLOOKUP(G43,LookupK!C:D,2,0)</f>
        <v>FEBP</v>
      </c>
      <c r="B43" s="32" t="s">
        <v>309</v>
      </c>
      <c r="C43" s="124" t="s">
        <v>222</v>
      </c>
      <c r="D43" s="32" t="s">
        <v>141</v>
      </c>
      <c r="E43" s="439" t="s">
        <v>239</v>
      </c>
      <c r="F43" s="124"/>
      <c r="G43" s="32" t="s">
        <v>141</v>
      </c>
      <c r="H43" s="32" t="s">
        <v>244</v>
      </c>
      <c r="I43" s="32" t="s">
        <v>257</v>
      </c>
      <c r="J43" s="32" t="s">
        <v>257</v>
      </c>
      <c r="K43" s="120">
        <f t="shared" si="6"/>
        <v>350</v>
      </c>
      <c r="L43" s="120">
        <f t="shared" si="7"/>
        <v>550</v>
      </c>
      <c r="M43" s="120">
        <f t="shared" si="8"/>
        <v>550</v>
      </c>
    </row>
    <row r="44" spans="1:13">
      <c r="A44" s="446" t="str">
        <f>VLOOKUP(G44,LookupK!C:D,2,0)</f>
        <v>FEBP</v>
      </c>
      <c r="B44" s="32" t="s">
        <v>310</v>
      </c>
      <c r="C44" s="124" t="s">
        <v>222</v>
      </c>
      <c r="D44" s="32" t="s">
        <v>578</v>
      </c>
      <c r="E44" s="439" t="s">
        <v>239</v>
      </c>
      <c r="F44" s="124"/>
      <c r="G44" s="32" t="s">
        <v>578</v>
      </c>
      <c r="H44" s="32" t="s">
        <v>246</v>
      </c>
      <c r="I44" s="32" t="s">
        <v>244</v>
      </c>
      <c r="J44" s="32" t="s">
        <v>244</v>
      </c>
      <c r="K44" s="120">
        <f t="shared" si="6"/>
        <v>250</v>
      </c>
      <c r="L44" s="120">
        <f t="shared" si="7"/>
        <v>375</v>
      </c>
      <c r="M44" s="120">
        <f t="shared" si="8"/>
        <v>375</v>
      </c>
    </row>
    <row r="45" spans="1:13">
      <c r="A45" s="446" t="str">
        <f>VLOOKUP(G45,LookupK!C:D,2,0)</f>
        <v>FEBP</v>
      </c>
      <c r="B45" s="32" t="s">
        <v>147</v>
      </c>
      <c r="C45" s="124" t="s">
        <v>222</v>
      </c>
      <c r="D45" s="32" t="s">
        <v>138</v>
      </c>
      <c r="E45" s="439" t="s">
        <v>239</v>
      </c>
      <c r="F45" s="124"/>
      <c r="G45" s="32" t="s">
        <v>138</v>
      </c>
      <c r="H45" s="32" t="s">
        <v>289</v>
      </c>
      <c r="I45" s="32" t="s">
        <v>272</v>
      </c>
      <c r="J45" s="32" t="s">
        <v>272</v>
      </c>
      <c r="K45" s="120">
        <f t="shared" si="6"/>
        <v>200</v>
      </c>
      <c r="L45" s="120">
        <f t="shared" si="7"/>
        <v>350</v>
      </c>
      <c r="M45" s="120">
        <f t="shared" si="8"/>
        <v>350</v>
      </c>
    </row>
    <row r="46" spans="1:13">
      <c r="A46" s="446" t="str">
        <f>VLOOKUP(G46,LookupK!C:D,2,0)</f>
        <v>FEBP</v>
      </c>
      <c r="B46" s="32" t="s">
        <v>134</v>
      </c>
      <c r="C46" s="124" t="s">
        <v>222</v>
      </c>
      <c r="D46" s="32" t="s">
        <v>138</v>
      </c>
      <c r="E46" s="439" t="s">
        <v>239</v>
      </c>
      <c r="F46" s="124"/>
      <c r="G46" s="32" t="s">
        <v>138</v>
      </c>
      <c r="H46" s="32" t="s">
        <v>374</v>
      </c>
      <c r="I46" s="32" t="s">
        <v>374</v>
      </c>
      <c r="J46" s="32" t="s">
        <v>374</v>
      </c>
      <c r="K46" s="120">
        <f t="shared" si="6"/>
        <v>125</v>
      </c>
      <c r="L46" s="120">
        <f t="shared" si="7"/>
        <v>150</v>
      </c>
      <c r="M46" s="120">
        <f t="shared" si="8"/>
        <v>150</v>
      </c>
    </row>
    <row r="47" spans="1:13">
      <c r="A47" s="446" t="str">
        <f>VLOOKUP(G47,LookupK!C:D,2,0)</f>
        <v>FEBP</v>
      </c>
      <c r="B47" s="32" t="s">
        <v>314</v>
      </c>
      <c r="C47" s="124" t="s">
        <v>222</v>
      </c>
      <c r="D47" s="32" t="s">
        <v>578</v>
      </c>
      <c r="E47" s="439" t="s">
        <v>239</v>
      </c>
      <c r="F47" s="124"/>
      <c r="G47" s="32" t="s">
        <v>578</v>
      </c>
      <c r="H47" s="32" t="s">
        <v>289</v>
      </c>
      <c r="I47" s="32" t="s">
        <v>297</v>
      </c>
      <c r="J47" s="32" t="s">
        <v>297</v>
      </c>
      <c r="K47" s="120">
        <f t="shared" si="6"/>
        <v>200</v>
      </c>
      <c r="L47" s="120">
        <f t="shared" si="7"/>
        <v>325</v>
      </c>
      <c r="M47" s="120">
        <f t="shared" si="8"/>
        <v>325</v>
      </c>
    </row>
    <row r="48" spans="1:13">
      <c r="A48" s="446" t="str">
        <f>VLOOKUP(G48,LookupK!C:D,2,0)</f>
        <v>FEBP</v>
      </c>
      <c r="B48" s="32" t="s">
        <v>315</v>
      </c>
      <c r="C48" s="124" t="s">
        <v>222</v>
      </c>
      <c r="D48" s="32" t="s">
        <v>578</v>
      </c>
      <c r="E48" s="439" t="s">
        <v>239</v>
      </c>
      <c r="F48" s="124"/>
      <c r="G48" s="32" t="s">
        <v>578</v>
      </c>
      <c r="H48" s="32" t="s">
        <v>246</v>
      </c>
      <c r="I48" s="32" t="s">
        <v>272</v>
      </c>
      <c r="J48" s="32" t="s">
        <v>272</v>
      </c>
      <c r="K48" s="120">
        <f t="shared" si="6"/>
        <v>250</v>
      </c>
      <c r="L48" s="120">
        <f t="shared" si="7"/>
        <v>350</v>
      </c>
      <c r="M48" s="120">
        <f t="shared" si="8"/>
        <v>350</v>
      </c>
    </row>
    <row r="49" spans="1:13">
      <c r="A49" s="446" t="str">
        <f>VLOOKUP(G49,LookupK!C:D,2,0)</f>
        <v>FEBP</v>
      </c>
      <c r="B49" s="32" t="s">
        <v>316</v>
      </c>
      <c r="C49" s="124" t="s">
        <v>222</v>
      </c>
      <c r="D49" s="32" t="s">
        <v>141</v>
      </c>
      <c r="E49" s="439" t="s">
        <v>239</v>
      </c>
      <c r="F49" s="124"/>
      <c r="G49" s="32" t="s">
        <v>141</v>
      </c>
      <c r="H49" s="32" t="s">
        <v>246</v>
      </c>
      <c r="I49" s="32" t="s">
        <v>244</v>
      </c>
      <c r="J49" s="32" t="s">
        <v>244</v>
      </c>
      <c r="K49" s="120">
        <f t="shared" si="6"/>
        <v>250</v>
      </c>
      <c r="L49" s="120">
        <f t="shared" si="7"/>
        <v>375</v>
      </c>
      <c r="M49" s="120">
        <f t="shared" si="8"/>
        <v>375</v>
      </c>
    </row>
    <row r="50" spans="1:13">
      <c r="A50" s="446" t="str">
        <f>VLOOKUP(G50,LookupK!C:D,2,0)</f>
        <v>FEBP</v>
      </c>
      <c r="B50" s="32" t="s">
        <v>153</v>
      </c>
      <c r="C50" s="124" t="s">
        <v>222</v>
      </c>
      <c r="D50" s="32" t="s">
        <v>138</v>
      </c>
      <c r="E50" s="439" t="s">
        <v>239</v>
      </c>
      <c r="F50" s="124"/>
      <c r="G50" s="32" t="s">
        <v>138</v>
      </c>
      <c r="H50" s="32" t="s">
        <v>272</v>
      </c>
      <c r="I50" s="32" t="s">
        <v>278</v>
      </c>
      <c r="J50" s="32" t="s">
        <v>278</v>
      </c>
      <c r="K50" s="120">
        <f t="shared" si="6"/>
        <v>325</v>
      </c>
      <c r="L50" s="120">
        <f t="shared" si="7"/>
        <v>475</v>
      </c>
      <c r="M50" s="120">
        <f t="shared" si="8"/>
        <v>475</v>
      </c>
    </row>
    <row r="51" spans="1:13">
      <c r="A51" s="446" t="str">
        <f>VLOOKUP(G51,LookupK!C:D,2,0)</f>
        <v>FEBP</v>
      </c>
      <c r="B51" s="32" t="s">
        <v>322</v>
      </c>
      <c r="C51" s="124" t="s">
        <v>222</v>
      </c>
      <c r="D51" s="32" t="s">
        <v>578</v>
      </c>
      <c r="E51" s="439" t="s">
        <v>239</v>
      </c>
      <c r="F51" s="124"/>
      <c r="G51" s="32" t="s">
        <v>578</v>
      </c>
      <c r="H51" s="32" t="s">
        <v>289</v>
      </c>
      <c r="I51" s="32" t="s">
        <v>251</v>
      </c>
      <c r="J51" s="32" t="s">
        <v>251</v>
      </c>
      <c r="K51" s="120">
        <f t="shared" si="6"/>
        <v>200</v>
      </c>
      <c r="L51" s="120">
        <f t="shared" si="7"/>
        <v>300</v>
      </c>
      <c r="M51" s="120">
        <f t="shared" si="8"/>
        <v>300</v>
      </c>
    </row>
    <row r="52" spans="1:13">
      <c r="A52" s="446" t="str">
        <f>VLOOKUP(G52,LookupK!C:D,2,0)</f>
        <v>FEBP</v>
      </c>
      <c r="B52" s="32" t="s">
        <v>324</v>
      </c>
      <c r="C52" s="124" t="s">
        <v>222</v>
      </c>
      <c r="D52" s="32" t="s">
        <v>141</v>
      </c>
      <c r="E52" s="439" t="s">
        <v>239</v>
      </c>
      <c r="F52" s="124"/>
      <c r="G52" s="32" t="s">
        <v>141</v>
      </c>
      <c r="H52" s="32" t="s">
        <v>243</v>
      </c>
      <c r="I52" s="32" t="s">
        <v>244</v>
      </c>
      <c r="J52" s="32" t="s">
        <v>244</v>
      </c>
      <c r="K52" s="120">
        <f t="shared" si="6"/>
        <v>225</v>
      </c>
      <c r="L52" s="120">
        <f t="shared" si="7"/>
        <v>375</v>
      </c>
      <c r="M52" s="120">
        <f t="shared" si="8"/>
        <v>375</v>
      </c>
    </row>
    <row r="53" spans="1:13" hidden="1">
      <c r="A53" s="446" t="str">
        <f>VLOOKUP(G53,LookupK!C:D,2,0)</f>
        <v>FEBP</v>
      </c>
      <c r="B53" t="s">
        <v>324</v>
      </c>
      <c r="C53" s="447" t="s">
        <v>222</v>
      </c>
      <c r="D53" t="s">
        <v>137</v>
      </c>
      <c r="E53" s="2" t="s">
        <v>325</v>
      </c>
      <c r="F53" s="447"/>
      <c r="G53" t="s">
        <v>137</v>
      </c>
      <c r="H53" t="s">
        <v>243</v>
      </c>
      <c r="I53" t="s">
        <v>244</v>
      </c>
      <c r="J53" t="s">
        <v>244</v>
      </c>
      <c r="K53" s="120">
        <f t="shared" si="6"/>
        <v>225</v>
      </c>
      <c r="L53" s="120">
        <f t="shared" si="7"/>
        <v>375</v>
      </c>
      <c r="M53" s="120">
        <f t="shared" si="8"/>
        <v>375</v>
      </c>
    </row>
    <row r="54" spans="1:13">
      <c r="A54" s="446" t="str">
        <f>VLOOKUP(G54,LookupK!C:D,2,0)</f>
        <v>FEBP</v>
      </c>
      <c r="B54" s="32" t="s">
        <v>326</v>
      </c>
      <c r="C54" s="124" t="s">
        <v>222</v>
      </c>
      <c r="D54" s="32" t="s">
        <v>578</v>
      </c>
      <c r="E54" s="439" t="s">
        <v>239</v>
      </c>
      <c r="F54" s="124"/>
      <c r="G54" s="32" t="s">
        <v>578</v>
      </c>
      <c r="H54" s="32" t="s">
        <v>289</v>
      </c>
      <c r="I54" s="32" t="s">
        <v>272</v>
      </c>
      <c r="J54" s="32" t="s">
        <v>272</v>
      </c>
      <c r="K54" s="120">
        <f t="shared" si="6"/>
        <v>200</v>
      </c>
      <c r="L54" s="120">
        <f t="shared" si="7"/>
        <v>350</v>
      </c>
      <c r="M54" s="120">
        <f t="shared" si="8"/>
        <v>350</v>
      </c>
    </row>
    <row r="55" spans="1:13">
      <c r="A55" s="446" t="str">
        <f>VLOOKUP(G55,LookupK!C:D,2,0)</f>
        <v>FEBP</v>
      </c>
      <c r="B55" s="32" t="s">
        <v>327</v>
      </c>
      <c r="C55" s="124" t="s">
        <v>222</v>
      </c>
      <c r="D55" s="32" t="s">
        <v>141</v>
      </c>
      <c r="E55" s="439" t="s">
        <v>239</v>
      </c>
      <c r="F55" s="124"/>
      <c r="G55" s="32" t="s">
        <v>141</v>
      </c>
      <c r="H55" s="32" t="s">
        <v>289</v>
      </c>
      <c r="I55" s="32" t="s">
        <v>297</v>
      </c>
      <c r="J55" s="32" t="s">
        <v>297</v>
      </c>
      <c r="K55" s="120">
        <f t="shared" si="6"/>
        <v>200</v>
      </c>
      <c r="L55" s="120">
        <f t="shared" si="7"/>
        <v>325</v>
      </c>
      <c r="M55" s="120">
        <f t="shared" si="8"/>
        <v>325</v>
      </c>
    </row>
    <row r="56" spans="1:13">
      <c r="A56" s="446" t="str">
        <f>VLOOKUP(G56,LookupK!C:D,2,0)</f>
        <v>FEBP</v>
      </c>
      <c r="B56" s="32" t="s">
        <v>328</v>
      </c>
      <c r="C56" s="124" t="s">
        <v>222</v>
      </c>
      <c r="D56" s="32" t="s">
        <v>141</v>
      </c>
      <c r="E56" s="439" t="s">
        <v>239</v>
      </c>
      <c r="F56" s="124"/>
      <c r="G56" s="32" t="s">
        <v>141</v>
      </c>
      <c r="H56" s="32" t="s">
        <v>270</v>
      </c>
      <c r="I56" s="32" t="s">
        <v>240</v>
      </c>
      <c r="J56" s="32" t="s">
        <v>240</v>
      </c>
      <c r="K56" s="120">
        <f t="shared" si="6"/>
        <v>375</v>
      </c>
      <c r="L56" s="120">
        <f t="shared" si="7"/>
        <v>625</v>
      </c>
      <c r="M56" s="120">
        <f t="shared" si="8"/>
        <v>625</v>
      </c>
    </row>
    <row r="57" spans="1:13">
      <c r="A57" s="446" t="str">
        <f>VLOOKUP(G57,LookupK!C:D,2,0)</f>
        <v>FEBP</v>
      </c>
      <c r="B57" s="32" t="s">
        <v>330</v>
      </c>
      <c r="C57" s="124" t="s">
        <v>222</v>
      </c>
      <c r="D57" s="32" t="s">
        <v>141</v>
      </c>
      <c r="E57" s="439" t="s">
        <v>239</v>
      </c>
      <c r="F57" s="124"/>
      <c r="G57" s="32" t="s">
        <v>141</v>
      </c>
      <c r="H57" s="32" t="s">
        <v>243</v>
      </c>
      <c r="I57" s="32" t="s">
        <v>251</v>
      </c>
      <c r="J57" s="32" t="s">
        <v>251</v>
      </c>
      <c r="K57" s="120">
        <f t="shared" si="6"/>
        <v>225</v>
      </c>
      <c r="L57" s="120">
        <f t="shared" si="7"/>
        <v>300</v>
      </c>
      <c r="M57" s="120">
        <f t="shared" si="8"/>
        <v>300</v>
      </c>
    </row>
    <row r="58" spans="1:13">
      <c r="A58" s="446" t="str">
        <f>VLOOKUP(G58,LookupK!C:D,2,0)</f>
        <v>FEBP</v>
      </c>
      <c r="B58" s="32" t="s">
        <v>333</v>
      </c>
      <c r="C58" s="124" t="s">
        <v>222</v>
      </c>
      <c r="D58" s="32" t="s">
        <v>138</v>
      </c>
      <c r="E58" s="439" t="s">
        <v>239</v>
      </c>
      <c r="F58" s="124"/>
      <c r="G58" s="32" t="s">
        <v>138</v>
      </c>
      <c r="H58" s="32" t="s">
        <v>241</v>
      </c>
      <c r="I58" s="32" t="s">
        <v>259</v>
      </c>
      <c r="J58" s="32" t="s">
        <v>259</v>
      </c>
      <c r="K58" s="120">
        <f t="shared" si="6"/>
        <v>800</v>
      </c>
      <c r="L58" s="120">
        <f t="shared" si="7"/>
        <v>1425</v>
      </c>
      <c r="M58" s="120">
        <f t="shared" si="8"/>
        <v>1425</v>
      </c>
    </row>
    <row r="59" spans="1:13">
      <c r="A59" s="446" t="str">
        <f>VLOOKUP(G59,LookupK!C:D,2,0)</f>
        <v>FEBP</v>
      </c>
      <c r="B59" s="32" t="s">
        <v>337</v>
      </c>
      <c r="C59" s="124" t="s">
        <v>222</v>
      </c>
      <c r="D59" s="32" t="s">
        <v>138</v>
      </c>
      <c r="E59" s="439" t="s">
        <v>239</v>
      </c>
      <c r="F59" s="124"/>
      <c r="G59" s="32" t="s">
        <v>138</v>
      </c>
      <c r="H59" s="32" t="s">
        <v>304</v>
      </c>
      <c r="I59" s="32" t="s">
        <v>338</v>
      </c>
      <c r="J59" s="32" t="s">
        <v>338</v>
      </c>
      <c r="K59" s="120">
        <f t="shared" si="6"/>
        <v>700</v>
      </c>
      <c r="L59" s="120">
        <f t="shared" si="7"/>
        <v>1225</v>
      </c>
      <c r="M59" s="120">
        <f t="shared" si="8"/>
        <v>1225</v>
      </c>
    </row>
    <row r="60" spans="1:13">
      <c r="A60" s="446" t="str">
        <f>VLOOKUP(G60,LookupK!C:D,2,0)</f>
        <v>FEBP</v>
      </c>
      <c r="B60" s="32" t="s">
        <v>341</v>
      </c>
      <c r="C60" s="124" t="s">
        <v>222</v>
      </c>
      <c r="D60" s="32" t="s">
        <v>129</v>
      </c>
      <c r="E60" s="439" t="s">
        <v>239</v>
      </c>
      <c r="F60" s="124"/>
      <c r="G60" s="32" t="s">
        <v>129</v>
      </c>
      <c r="H60" s="32" t="s">
        <v>246</v>
      </c>
      <c r="I60" s="32" t="s">
        <v>244</v>
      </c>
      <c r="J60" s="32" t="s">
        <v>244</v>
      </c>
      <c r="K60" s="120">
        <f t="shared" si="6"/>
        <v>250</v>
      </c>
      <c r="L60" s="120">
        <f t="shared" si="7"/>
        <v>375</v>
      </c>
      <c r="M60" s="120">
        <f t="shared" si="8"/>
        <v>375</v>
      </c>
    </row>
    <row r="61" spans="1:13">
      <c r="A61" s="446" t="str">
        <f>VLOOKUP(G61,LookupK!C:D,2,0)</f>
        <v>FEBP</v>
      </c>
      <c r="B61" s="32" t="s">
        <v>342</v>
      </c>
      <c r="C61" s="124" t="s">
        <v>222</v>
      </c>
      <c r="D61" s="32" t="s">
        <v>138</v>
      </c>
      <c r="E61" s="439" t="s">
        <v>239</v>
      </c>
      <c r="F61" s="124"/>
      <c r="G61" s="32" t="s">
        <v>138</v>
      </c>
      <c r="H61" s="32" t="s">
        <v>260</v>
      </c>
      <c r="I61" s="32" t="s">
        <v>343</v>
      </c>
      <c r="J61" s="32" t="s">
        <v>343</v>
      </c>
      <c r="K61" s="120">
        <f t="shared" si="6"/>
        <v>1100</v>
      </c>
      <c r="L61" s="120">
        <f t="shared" si="7"/>
        <v>2025</v>
      </c>
      <c r="M61" s="120">
        <f t="shared" si="8"/>
        <v>2025</v>
      </c>
    </row>
    <row r="62" spans="1:13">
      <c r="A62" s="446" t="str">
        <f>VLOOKUP(G62,LookupK!C:D,2,0)</f>
        <v>FEBP</v>
      </c>
      <c r="B62" s="32" t="s">
        <v>344</v>
      </c>
      <c r="C62" s="124" t="s">
        <v>222</v>
      </c>
      <c r="D62" s="32" t="s">
        <v>138</v>
      </c>
      <c r="E62" s="439" t="s">
        <v>239</v>
      </c>
      <c r="F62" s="124"/>
      <c r="G62" s="32" t="s">
        <v>138</v>
      </c>
      <c r="H62" s="32" t="s">
        <v>246</v>
      </c>
      <c r="I62" s="32" t="s">
        <v>270</v>
      </c>
      <c r="J62" s="32" t="s">
        <v>270</v>
      </c>
      <c r="K62" s="120">
        <f t="shared" si="6"/>
        <v>250</v>
      </c>
      <c r="L62" s="120">
        <f t="shared" si="7"/>
        <v>400</v>
      </c>
      <c r="M62" s="120">
        <f t="shared" si="8"/>
        <v>400</v>
      </c>
    </row>
    <row r="63" spans="1:13">
      <c r="A63" s="446" t="str">
        <f>VLOOKUP(G63,LookupK!C:D,2,0)</f>
        <v>FEBP</v>
      </c>
      <c r="B63" s="32" t="s">
        <v>345</v>
      </c>
      <c r="C63" s="124" t="s">
        <v>222</v>
      </c>
      <c r="D63" s="32" t="s">
        <v>138</v>
      </c>
      <c r="E63" s="439" t="s">
        <v>239</v>
      </c>
      <c r="F63" s="124"/>
      <c r="G63" s="32" t="s">
        <v>138</v>
      </c>
      <c r="H63" s="32" t="s">
        <v>297</v>
      </c>
      <c r="I63" s="32" t="s">
        <v>346</v>
      </c>
      <c r="J63" s="32" t="s">
        <v>346</v>
      </c>
      <c r="K63" s="120">
        <f t="shared" si="6"/>
        <v>300</v>
      </c>
      <c r="L63" s="120">
        <f t="shared" si="7"/>
        <v>445</v>
      </c>
      <c r="M63" s="120">
        <f t="shared" si="8"/>
        <v>445</v>
      </c>
    </row>
    <row r="64" spans="1:13">
      <c r="A64" s="446" t="str">
        <f>VLOOKUP(G64,LookupK!C:D,2,0)</f>
        <v>FEBP</v>
      </c>
      <c r="B64" s="32" t="s">
        <v>347</v>
      </c>
      <c r="C64" s="124" t="s">
        <v>222</v>
      </c>
      <c r="D64" s="32" t="s">
        <v>578</v>
      </c>
      <c r="E64" s="439" t="s">
        <v>239</v>
      </c>
      <c r="F64" s="124"/>
      <c r="G64" s="32" t="s">
        <v>578</v>
      </c>
      <c r="H64" s="32" t="s">
        <v>251</v>
      </c>
      <c r="I64" s="32" t="s">
        <v>252</v>
      </c>
      <c r="J64" s="32" t="s">
        <v>252</v>
      </c>
      <c r="K64" s="120">
        <f t="shared" si="6"/>
        <v>275</v>
      </c>
      <c r="L64" s="120">
        <f t="shared" si="7"/>
        <v>425</v>
      </c>
      <c r="M64" s="120">
        <f t="shared" si="8"/>
        <v>425</v>
      </c>
    </row>
    <row r="65" spans="1:13">
      <c r="A65" s="446" t="str">
        <f>VLOOKUP(G65,LookupK!C:D,2,0)</f>
        <v>FEBP</v>
      </c>
      <c r="B65" s="32" t="s">
        <v>348</v>
      </c>
      <c r="C65" s="124" t="s">
        <v>222</v>
      </c>
      <c r="D65" s="32" t="s">
        <v>578</v>
      </c>
      <c r="E65" s="439" t="s">
        <v>239</v>
      </c>
      <c r="F65" s="124"/>
      <c r="G65" s="32" t="s">
        <v>578</v>
      </c>
      <c r="H65" s="32" t="s">
        <v>272</v>
      </c>
      <c r="I65" s="32" t="s">
        <v>268</v>
      </c>
      <c r="J65" s="32" t="s">
        <v>268</v>
      </c>
      <c r="K65" s="120">
        <f t="shared" si="6"/>
        <v>325</v>
      </c>
      <c r="L65" s="120">
        <f t="shared" si="7"/>
        <v>450</v>
      </c>
      <c r="M65" s="120">
        <f t="shared" si="8"/>
        <v>450</v>
      </c>
    </row>
    <row r="66" spans="1:13">
      <c r="A66" s="446" t="str">
        <f>VLOOKUP(G66,LookupK!C:D,2,0)</f>
        <v>FEBP</v>
      </c>
      <c r="B66" s="32" t="s">
        <v>349</v>
      </c>
      <c r="C66" s="124" t="s">
        <v>222</v>
      </c>
      <c r="D66" s="32" t="s">
        <v>168</v>
      </c>
      <c r="E66" s="439" t="s">
        <v>239</v>
      </c>
      <c r="F66" s="124"/>
      <c r="G66" s="32" t="s">
        <v>168</v>
      </c>
      <c r="H66" s="32" t="s">
        <v>272</v>
      </c>
      <c r="I66" s="32" t="s">
        <v>295</v>
      </c>
      <c r="J66" s="32" t="s">
        <v>295</v>
      </c>
      <c r="K66" s="120">
        <f t="shared" si="6"/>
        <v>325</v>
      </c>
      <c r="L66" s="120">
        <f t="shared" si="7"/>
        <v>575</v>
      </c>
      <c r="M66" s="120">
        <f t="shared" si="8"/>
        <v>575</v>
      </c>
    </row>
    <row r="67" spans="1:13">
      <c r="A67" s="446" t="str">
        <f>VLOOKUP(G67,LookupK!C:D,2,0)</f>
        <v>FEBP</v>
      </c>
      <c r="B67" s="32" t="s">
        <v>352</v>
      </c>
      <c r="C67" s="124" t="s">
        <v>222</v>
      </c>
      <c r="D67" s="32" t="s">
        <v>141</v>
      </c>
      <c r="E67" s="439" t="s">
        <v>239</v>
      </c>
      <c r="F67" s="124"/>
      <c r="G67" s="32" t="s">
        <v>141</v>
      </c>
      <c r="H67" s="32" t="s">
        <v>353</v>
      </c>
      <c r="I67" s="32" t="s">
        <v>354</v>
      </c>
      <c r="J67" s="32" t="s">
        <v>354</v>
      </c>
      <c r="K67" s="120">
        <f t="shared" si="6"/>
        <v>575</v>
      </c>
      <c r="L67" s="120">
        <f t="shared" si="7"/>
        <v>1000</v>
      </c>
      <c r="M67" s="120">
        <f t="shared" si="8"/>
        <v>1000</v>
      </c>
    </row>
    <row r="68" spans="1:13">
      <c r="A68" s="446" t="str">
        <f>VLOOKUP(G68,LookupK!C:D,2,0)</f>
        <v>FEBP</v>
      </c>
      <c r="B68" s="32" t="s">
        <v>355</v>
      </c>
      <c r="C68" s="124" t="s">
        <v>222</v>
      </c>
      <c r="D68" s="32" t="s">
        <v>141</v>
      </c>
      <c r="E68" s="439" t="s">
        <v>239</v>
      </c>
      <c r="F68" s="124"/>
      <c r="G68" s="32" t="s">
        <v>141</v>
      </c>
      <c r="H68" s="32" t="s">
        <v>246</v>
      </c>
      <c r="I68" s="32" t="s">
        <v>270</v>
      </c>
      <c r="J68" s="32" t="s">
        <v>270</v>
      </c>
      <c r="K68" s="120">
        <f t="shared" si="6"/>
        <v>250</v>
      </c>
      <c r="L68" s="120">
        <f t="shared" si="7"/>
        <v>400</v>
      </c>
      <c r="M68" s="120">
        <f t="shared" si="8"/>
        <v>400</v>
      </c>
    </row>
    <row r="69" spans="1:13">
      <c r="A69" s="446" t="str">
        <f>VLOOKUP(G69,LookupK!C:D,2,0)</f>
        <v>FEBP</v>
      </c>
      <c r="B69" s="32" t="s">
        <v>362</v>
      </c>
      <c r="C69" s="124" t="s">
        <v>222</v>
      </c>
      <c r="D69" s="32" t="s">
        <v>137</v>
      </c>
      <c r="E69" s="439" t="s">
        <v>239</v>
      </c>
      <c r="F69" s="124"/>
      <c r="G69" s="32" t="s">
        <v>137</v>
      </c>
      <c r="H69" s="32" t="s">
        <v>246</v>
      </c>
      <c r="I69" s="32" t="s">
        <v>252</v>
      </c>
      <c r="J69" s="32" t="s">
        <v>252</v>
      </c>
      <c r="K69" s="120">
        <f t="shared" si="6"/>
        <v>250</v>
      </c>
      <c r="L69" s="120">
        <f t="shared" si="7"/>
        <v>425</v>
      </c>
      <c r="M69" s="120">
        <f t="shared" si="8"/>
        <v>425</v>
      </c>
    </row>
    <row r="70" spans="1:13">
      <c r="A70" s="446" t="str">
        <f>VLOOKUP(G70,LookupK!C:D,2,0)</f>
        <v>FEBP</v>
      </c>
      <c r="B70" s="32" t="s">
        <v>365</v>
      </c>
      <c r="C70" s="124" t="s">
        <v>222</v>
      </c>
      <c r="D70" s="32" t="s">
        <v>138</v>
      </c>
      <c r="E70" s="439" t="s">
        <v>239</v>
      </c>
      <c r="F70" s="124"/>
      <c r="G70" s="32" t="s">
        <v>138</v>
      </c>
      <c r="H70" s="32" t="s">
        <v>366</v>
      </c>
      <c r="I70" s="32" t="s">
        <v>367</v>
      </c>
      <c r="J70" s="32" t="s">
        <v>367</v>
      </c>
      <c r="K70" s="120">
        <f t="shared" si="6"/>
        <v>850</v>
      </c>
      <c r="L70" s="120">
        <f t="shared" si="7"/>
        <v>1525</v>
      </c>
      <c r="M70" s="120">
        <f t="shared" si="8"/>
        <v>1525</v>
      </c>
    </row>
    <row r="71" spans="1:13">
      <c r="A71" s="446" t="str">
        <f>VLOOKUP(G71,LookupK!C:D,2,0)</f>
        <v>FEBP</v>
      </c>
      <c r="B71" s="32" t="s">
        <v>371</v>
      </c>
      <c r="C71" s="124" t="s">
        <v>222</v>
      </c>
      <c r="D71" s="32" t="s">
        <v>141</v>
      </c>
      <c r="E71" s="439" t="s">
        <v>239</v>
      </c>
      <c r="F71" s="124"/>
      <c r="G71" s="32" t="s">
        <v>141</v>
      </c>
      <c r="H71" s="32" t="s">
        <v>244</v>
      </c>
      <c r="I71" s="32" t="s">
        <v>353</v>
      </c>
      <c r="J71" s="32" t="s">
        <v>353</v>
      </c>
      <c r="K71" s="120">
        <f t="shared" si="6"/>
        <v>350</v>
      </c>
      <c r="L71" s="120">
        <f t="shared" si="7"/>
        <v>600</v>
      </c>
      <c r="M71" s="120">
        <f t="shared" si="8"/>
        <v>600</v>
      </c>
    </row>
    <row r="72" spans="1:13">
      <c r="A72" s="446" t="str">
        <f>VLOOKUP(G72,LookupK!C:D,2,0)</f>
        <v>FEBP</v>
      </c>
      <c r="B72" s="32" t="s">
        <v>372</v>
      </c>
      <c r="C72" s="124" t="s">
        <v>222</v>
      </c>
      <c r="D72" s="32" t="s">
        <v>578</v>
      </c>
      <c r="E72" s="439" t="s">
        <v>239</v>
      </c>
      <c r="F72" s="124"/>
      <c r="G72" s="32" t="s">
        <v>578</v>
      </c>
      <c r="H72" s="32" t="s">
        <v>297</v>
      </c>
      <c r="I72" s="32" t="s">
        <v>252</v>
      </c>
      <c r="J72" s="32" t="s">
        <v>252</v>
      </c>
      <c r="K72" s="120">
        <f t="shared" si="6"/>
        <v>300</v>
      </c>
      <c r="L72" s="120">
        <f t="shared" si="7"/>
        <v>425</v>
      </c>
      <c r="M72" s="120">
        <f t="shared" si="8"/>
        <v>425</v>
      </c>
    </row>
    <row r="73" spans="1:13">
      <c r="A73" s="446" t="str">
        <f>VLOOKUP(G73,LookupK!C:D,2,0)</f>
        <v>FEBP</v>
      </c>
      <c r="B73" s="32" t="s">
        <v>373</v>
      </c>
      <c r="C73" s="124" t="s">
        <v>222</v>
      </c>
      <c r="D73" s="32" t="s">
        <v>168</v>
      </c>
      <c r="E73" s="439" t="s">
        <v>239</v>
      </c>
      <c r="F73" s="124"/>
      <c r="G73" s="32" t="s">
        <v>168</v>
      </c>
      <c r="H73" s="32" t="s">
        <v>243</v>
      </c>
      <c r="I73" s="32" t="s">
        <v>272</v>
      </c>
      <c r="J73" s="32" t="s">
        <v>272</v>
      </c>
      <c r="K73" s="120">
        <f t="shared" si="6"/>
        <v>225</v>
      </c>
      <c r="L73" s="120">
        <f t="shared" si="7"/>
        <v>350</v>
      </c>
      <c r="M73" s="120">
        <f t="shared" si="8"/>
        <v>350</v>
      </c>
    </row>
    <row r="74" spans="1:13">
      <c r="A74" s="446" t="str">
        <f>VLOOKUP(G74,LookupK!C:D,2,0)</f>
        <v>FEBP</v>
      </c>
      <c r="B74" s="32" t="s">
        <v>136</v>
      </c>
      <c r="C74" s="124" t="s">
        <v>222</v>
      </c>
      <c r="D74" s="32" t="s">
        <v>138</v>
      </c>
      <c r="E74" s="439" t="s">
        <v>239</v>
      </c>
      <c r="F74" s="124"/>
      <c r="G74" s="32" t="s">
        <v>138</v>
      </c>
      <c r="H74" s="32" t="s">
        <v>374</v>
      </c>
      <c r="I74" s="32" t="s">
        <v>374</v>
      </c>
      <c r="J74" s="32" t="s">
        <v>374</v>
      </c>
      <c r="K74" s="120">
        <f t="shared" si="6"/>
        <v>125</v>
      </c>
      <c r="L74" s="120">
        <f t="shared" si="7"/>
        <v>150</v>
      </c>
      <c r="M74" s="120">
        <f t="shared" si="8"/>
        <v>150</v>
      </c>
    </row>
    <row r="75" spans="1:13">
      <c r="A75" s="446" t="str">
        <f>VLOOKUP(G75,LookupK!C:D,2,0)</f>
        <v>FEBP</v>
      </c>
      <c r="B75" s="32" t="s">
        <v>375</v>
      </c>
      <c r="C75" s="124" t="s">
        <v>222</v>
      </c>
      <c r="D75" s="32" t="s">
        <v>141</v>
      </c>
      <c r="E75" s="439" t="s">
        <v>239</v>
      </c>
      <c r="F75" s="124"/>
      <c r="G75" s="32" t="s">
        <v>141</v>
      </c>
      <c r="H75" s="32" t="s">
        <v>243</v>
      </c>
      <c r="I75" s="32" t="s">
        <v>272</v>
      </c>
      <c r="J75" s="32" t="s">
        <v>272</v>
      </c>
      <c r="K75" s="120">
        <f t="shared" si="6"/>
        <v>225</v>
      </c>
      <c r="L75" s="120">
        <f t="shared" si="7"/>
        <v>350</v>
      </c>
      <c r="M75" s="120">
        <f t="shared" si="8"/>
        <v>350</v>
      </c>
    </row>
    <row r="76" spans="1:13">
      <c r="A76" s="446" t="str">
        <f>VLOOKUP(G76,LookupK!C:D,2,0)</f>
        <v>FEBP</v>
      </c>
      <c r="B76" s="32" t="s">
        <v>375</v>
      </c>
      <c r="C76" s="124" t="s">
        <v>222</v>
      </c>
      <c r="D76" s="32" t="s">
        <v>137</v>
      </c>
      <c r="E76" s="439" t="s">
        <v>239</v>
      </c>
      <c r="F76" s="124"/>
      <c r="G76" s="32" t="s">
        <v>137</v>
      </c>
      <c r="H76" s="32" t="s">
        <v>243</v>
      </c>
      <c r="I76" s="32" t="s">
        <v>272</v>
      </c>
      <c r="J76" s="32" t="s">
        <v>272</v>
      </c>
      <c r="K76" s="120">
        <f t="shared" si="6"/>
        <v>225</v>
      </c>
      <c r="L76" s="120">
        <f t="shared" si="7"/>
        <v>350</v>
      </c>
      <c r="M76" s="120">
        <f t="shared" si="8"/>
        <v>350</v>
      </c>
    </row>
    <row r="77" spans="1:13">
      <c r="A77" s="446" t="str">
        <f>VLOOKUP(G77,LookupK!C:D,2,0)</f>
        <v>FEBP</v>
      </c>
      <c r="B77" s="32" t="s">
        <v>381</v>
      </c>
      <c r="C77" s="124" t="s">
        <v>222</v>
      </c>
      <c r="D77" s="32" t="s">
        <v>578</v>
      </c>
      <c r="E77" s="439" t="s">
        <v>239</v>
      </c>
      <c r="F77" s="124"/>
      <c r="G77" s="32" t="s">
        <v>578</v>
      </c>
      <c r="H77" s="32" t="s">
        <v>255</v>
      </c>
      <c r="I77" s="32" t="s">
        <v>251</v>
      </c>
      <c r="J77" s="32" t="s">
        <v>251</v>
      </c>
      <c r="K77" s="120">
        <f t="shared" si="6"/>
        <v>175</v>
      </c>
      <c r="L77" s="120">
        <f t="shared" si="7"/>
        <v>300</v>
      </c>
      <c r="M77" s="120">
        <f t="shared" si="8"/>
        <v>300</v>
      </c>
    </row>
    <row r="78" spans="1:13">
      <c r="A78" s="446" t="str">
        <f>VLOOKUP(G78,LookupK!C:D,2,0)</f>
        <v>FEBP</v>
      </c>
      <c r="B78" s="32" t="s">
        <v>382</v>
      </c>
      <c r="C78" s="124" t="s">
        <v>222</v>
      </c>
      <c r="D78" s="32" t="s">
        <v>138</v>
      </c>
      <c r="E78" s="439" t="s">
        <v>239</v>
      </c>
      <c r="F78" s="124"/>
      <c r="G78" s="32" t="s">
        <v>138</v>
      </c>
      <c r="H78" s="32" t="s">
        <v>246</v>
      </c>
      <c r="I78" s="32" t="s">
        <v>244</v>
      </c>
      <c r="J78" s="32" t="s">
        <v>244</v>
      </c>
      <c r="K78" s="120">
        <f t="shared" si="6"/>
        <v>250</v>
      </c>
      <c r="L78" s="120">
        <f t="shared" si="7"/>
        <v>375</v>
      </c>
      <c r="M78" s="120">
        <f t="shared" si="8"/>
        <v>375</v>
      </c>
    </row>
    <row r="79" spans="1:13">
      <c r="A79" s="446" t="str">
        <f>VLOOKUP(G79,LookupK!C:D,2,0)</f>
        <v>FEBP</v>
      </c>
      <c r="B79" s="32" t="s">
        <v>386</v>
      </c>
      <c r="C79" s="124" t="s">
        <v>222</v>
      </c>
      <c r="D79" s="32" t="s">
        <v>138</v>
      </c>
      <c r="E79" s="439" t="s">
        <v>239</v>
      </c>
      <c r="F79" s="124"/>
      <c r="G79" s="32" t="s">
        <v>138</v>
      </c>
      <c r="H79" s="32" t="s">
        <v>251</v>
      </c>
      <c r="I79" s="32" t="s">
        <v>270</v>
      </c>
      <c r="J79" s="32" t="s">
        <v>270</v>
      </c>
      <c r="K79" s="120">
        <f t="shared" si="6"/>
        <v>275</v>
      </c>
      <c r="L79" s="120">
        <f t="shared" si="7"/>
        <v>400</v>
      </c>
      <c r="M79" s="120">
        <f t="shared" si="8"/>
        <v>400</v>
      </c>
    </row>
    <row r="80" spans="1:13">
      <c r="A80" s="446" t="str">
        <f>VLOOKUP(G80,LookupK!C:D,2,0)</f>
        <v>FEBP</v>
      </c>
      <c r="B80" s="32" t="s">
        <v>390</v>
      </c>
      <c r="C80" s="124" t="s">
        <v>222</v>
      </c>
      <c r="D80" s="32" t="s">
        <v>138</v>
      </c>
      <c r="E80" s="439" t="s">
        <v>239</v>
      </c>
      <c r="F80" s="124"/>
      <c r="G80" s="32" t="s">
        <v>138</v>
      </c>
      <c r="H80" s="32" t="s">
        <v>244</v>
      </c>
      <c r="I80" s="32" t="s">
        <v>295</v>
      </c>
      <c r="J80" s="32" t="s">
        <v>295</v>
      </c>
      <c r="K80" s="120">
        <f t="shared" si="6"/>
        <v>350</v>
      </c>
      <c r="L80" s="120">
        <f t="shared" si="7"/>
        <v>575</v>
      </c>
      <c r="M80" s="120">
        <f t="shared" si="8"/>
        <v>575</v>
      </c>
    </row>
    <row r="81" spans="1:13">
      <c r="A81" s="446" t="str">
        <f>VLOOKUP(G81,LookupK!C:D,2,0)</f>
        <v>FEBP</v>
      </c>
      <c r="B81" s="32" t="s">
        <v>394</v>
      </c>
      <c r="C81" s="124" t="s">
        <v>222</v>
      </c>
      <c r="D81" s="32" t="s">
        <v>141</v>
      </c>
      <c r="E81" s="439" t="s">
        <v>239</v>
      </c>
      <c r="F81" s="124"/>
      <c r="G81" s="32" t="s">
        <v>141</v>
      </c>
      <c r="H81" s="32" t="s">
        <v>243</v>
      </c>
      <c r="I81" s="32" t="s">
        <v>244</v>
      </c>
      <c r="J81" s="32" t="s">
        <v>244</v>
      </c>
      <c r="K81" s="120">
        <f t="shared" si="6"/>
        <v>225</v>
      </c>
      <c r="L81" s="120">
        <f t="shared" si="7"/>
        <v>375</v>
      </c>
      <c r="M81" s="120">
        <f t="shared" si="8"/>
        <v>375</v>
      </c>
    </row>
    <row r="82" spans="1:13">
      <c r="A82" s="446" t="str">
        <f>VLOOKUP(G82,LookupK!C:D,2,0)</f>
        <v>FEBP</v>
      </c>
      <c r="B82" s="32" t="s">
        <v>396</v>
      </c>
      <c r="C82" s="124" t="s">
        <v>222</v>
      </c>
      <c r="D82" s="32" t="s">
        <v>138</v>
      </c>
      <c r="E82" s="439" t="s">
        <v>239</v>
      </c>
      <c r="F82" s="124"/>
      <c r="G82" s="32" t="s">
        <v>138</v>
      </c>
      <c r="H82" s="32" t="s">
        <v>334</v>
      </c>
      <c r="I82" s="32" t="s">
        <v>282</v>
      </c>
      <c r="J82" s="32" t="s">
        <v>282</v>
      </c>
      <c r="K82" s="120">
        <f t="shared" si="6"/>
        <v>900</v>
      </c>
      <c r="L82" s="120">
        <f t="shared" si="7"/>
        <v>1625</v>
      </c>
      <c r="M82" s="120">
        <f t="shared" si="8"/>
        <v>1625</v>
      </c>
    </row>
    <row r="83" spans="1:13">
      <c r="A83" s="446" t="str">
        <f>VLOOKUP(G83,LookupK!C:D,2,0)</f>
        <v>FEBP</v>
      </c>
      <c r="B83" s="32" t="s">
        <v>593</v>
      </c>
      <c r="C83" s="124" t="s">
        <v>222</v>
      </c>
      <c r="D83" s="32" t="s">
        <v>578</v>
      </c>
      <c r="E83" s="439" t="s">
        <v>239</v>
      </c>
      <c r="F83" s="124"/>
      <c r="G83" s="32" t="s">
        <v>578</v>
      </c>
      <c r="H83" s="32" t="s">
        <v>289</v>
      </c>
      <c r="I83" s="32" t="s">
        <v>272</v>
      </c>
      <c r="J83" s="32" t="s">
        <v>272</v>
      </c>
      <c r="K83" s="120">
        <f t="shared" si="6"/>
        <v>200</v>
      </c>
      <c r="L83" s="120">
        <f t="shared" si="7"/>
        <v>350</v>
      </c>
      <c r="M83" s="120">
        <f t="shared" si="8"/>
        <v>350</v>
      </c>
    </row>
    <row r="84" spans="1:13">
      <c r="A84" s="446" t="str">
        <f>VLOOKUP(G84,LookupK!C:D,2,0)</f>
        <v>FEBP</v>
      </c>
      <c r="B84" s="32" t="s">
        <v>397</v>
      </c>
      <c r="C84" s="124" t="s">
        <v>222</v>
      </c>
      <c r="D84" s="32" t="s">
        <v>578</v>
      </c>
      <c r="E84" s="439" t="s">
        <v>239</v>
      </c>
      <c r="F84" s="124"/>
      <c r="G84" s="32" t="s">
        <v>578</v>
      </c>
      <c r="H84" s="32" t="s">
        <v>297</v>
      </c>
      <c r="I84" s="32" t="s">
        <v>252</v>
      </c>
      <c r="J84" s="32" t="s">
        <v>252</v>
      </c>
      <c r="K84" s="120">
        <f t="shared" si="6"/>
        <v>300</v>
      </c>
      <c r="L84" s="120">
        <f t="shared" si="7"/>
        <v>425</v>
      </c>
      <c r="M84" s="120">
        <f t="shared" si="8"/>
        <v>425</v>
      </c>
    </row>
    <row r="85" spans="1:13">
      <c r="A85" s="446" t="str">
        <f>VLOOKUP(G85,LookupK!C:D,2,0)</f>
        <v>FEBP</v>
      </c>
      <c r="B85" s="32" t="s">
        <v>400</v>
      </c>
      <c r="C85" s="124" t="s">
        <v>222</v>
      </c>
      <c r="D85" s="32" t="s">
        <v>138</v>
      </c>
      <c r="E85" s="439" t="s">
        <v>239</v>
      </c>
      <c r="F85" s="124"/>
      <c r="G85" s="32" t="s">
        <v>138</v>
      </c>
      <c r="H85" s="32" t="s">
        <v>252</v>
      </c>
      <c r="I85" s="32" t="s">
        <v>278</v>
      </c>
      <c r="J85" s="32" t="s">
        <v>278</v>
      </c>
      <c r="K85" s="120">
        <f t="shared" si="6"/>
        <v>400</v>
      </c>
      <c r="L85" s="120">
        <f t="shared" si="7"/>
        <v>475</v>
      </c>
      <c r="M85" s="120">
        <f t="shared" si="8"/>
        <v>475</v>
      </c>
    </row>
    <row r="86" spans="1:13">
      <c r="A86" s="446" t="str">
        <f>VLOOKUP(G86,LookupK!C:D,2,0)</f>
        <v>FEBP</v>
      </c>
      <c r="B86" s="32" t="s">
        <v>404</v>
      </c>
      <c r="C86" s="124" t="s">
        <v>222</v>
      </c>
      <c r="D86" s="32" t="s">
        <v>141</v>
      </c>
      <c r="E86" s="439" t="s">
        <v>239</v>
      </c>
      <c r="F86" s="124"/>
      <c r="G86" s="32" t="s">
        <v>141</v>
      </c>
      <c r="H86" s="32" t="s">
        <v>244</v>
      </c>
      <c r="I86" s="32" t="s">
        <v>240</v>
      </c>
      <c r="J86" s="32" t="s">
        <v>240</v>
      </c>
      <c r="K86" s="120">
        <f t="shared" si="6"/>
        <v>350</v>
      </c>
      <c r="L86" s="120">
        <f t="shared" si="7"/>
        <v>625</v>
      </c>
      <c r="M86" s="120">
        <f t="shared" si="8"/>
        <v>625</v>
      </c>
    </row>
    <row r="87" spans="1:13">
      <c r="A87" s="446" t="str">
        <f>VLOOKUP(G87,LookupK!C:D,2,0)</f>
        <v>FEBP</v>
      </c>
      <c r="B87" s="32" t="s">
        <v>405</v>
      </c>
      <c r="C87" s="124" t="s">
        <v>222</v>
      </c>
      <c r="D87" s="32" t="s">
        <v>578</v>
      </c>
      <c r="E87" s="439" t="s">
        <v>239</v>
      </c>
      <c r="F87" s="124"/>
      <c r="G87" s="32" t="s">
        <v>578</v>
      </c>
      <c r="H87" s="32" t="s">
        <v>251</v>
      </c>
      <c r="I87" s="32" t="s">
        <v>252</v>
      </c>
      <c r="J87" s="32" t="s">
        <v>252</v>
      </c>
      <c r="K87" s="120">
        <f t="shared" ref="K87:K120" si="9">IF(H87&lt;&gt;"",VLOOKUP($A87,$B$3:$E$10,2,FALSE)+H87,"--")</f>
        <v>275</v>
      </c>
      <c r="L87" s="120">
        <f t="shared" ref="L87:L120" si="10">IF(I87&lt;&gt;"",VLOOKUP($A87,$B$3:$E$10,3,FALSE)+I87,"--")</f>
        <v>425</v>
      </c>
      <c r="M87" s="120">
        <f t="shared" ref="M87:M120" si="11">IF(J87&lt;&gt;"",VLOOKUP($A87,$B$3:$E$10,4,FALSE)+J87,"--")</f>
        <v>425</v>
      </c>
    </row>
    <row r="88" spans="1:13">
      <c r="A88" s="446" t="str">
        <f>VLOOKUP(G88,LookupK!C:D,2,0)</f>
        <v>FEBP</v>
      </c>
      <c r="B88" s="32" t="s">
        <v>407</v>
      </c>
      <c r="C88" s="124" t="s">
        <v>222</v>
      </c>
      <c r="D88" s="32" t="s">
        <v>578</v>
      </c>
      <c r="E88" s="439" t="s">
        <v>239</v>
      </c>
      <c r="F88" s="124"/>
      <c r="G88" s="32" t="s">
        <v>578</v>
      </c>
      <c r="H88" s="32" t="s">
        <v>251</v>
      </c>
      <c r="I88" s="32" t="s">
        <v>270</v>
      </c>
      <c r="J88" s="32" t="s">
        <v>270</v>
      </c>
      <c r="K88" s="120">
        <f t="shared" si="9"/>
        <v>275</v>
      </c>
      <c r="L88" s="120">
        <f t="shared" si="10"/>
        <v>400</v>
      </c>
      <c r="M88" s="120">
        <f t="shared" si="11"/>
        <v>400</v>
      </c>
    </row>
    <row r="89" spans="1:13">
      <c r="A89" s="446" t="str">
        <f>VLOOKUP(G89,LookupK!C:D,2,0)</f>
        <v>FEBP</v>
      </c>
      <c r="B89" s="32" t="s">
        <v>409</v>
      </c>
      <c r="C89" s="124" t="s">
        <v>222</v>
      </c>
      <c r="D89" s="32" t="s">
        <v>138</v>
      </c>
      <c r="E89" s="439" t="s">
        <v>239</v>
      </c>
      <c r="F89" s="124"/>
      <c r="G89" s="32" t="s">
        <v>138</v>
      </c>
      <c r="H89" s="32" t="s">
        <v>241</v>
      </c>
      <c r="I89" s="32" t="s">
        <v>259</v>
      </c>
      <c r="J89" s="32" t="s">
        <v>259</v>
      </c>
      <c r="K89" s="120">
        <f t="shared" si="9"/>
        <v>800</v>
      </c>
      <c r="L89" s="120">
        <f t="shared" si="10"/>
        <v>1425</v>
      </c>
      <c r="M89" s="120">
        <f t="shared" si="11"/>
        <v>1425</v>
      </c>
    </row>
    <row r="90" spans="1:13">
      <c r="A90" s="446" t="str">
        <f>VLOOKUP(G90,LookupK!C:D,2,0)</f>
        <v>FEBP</v>
      </c>
      <c r="B90" s="32" t="s">
        <v>410</v>
      </c>
      <c r="C90" s="124" t="s">
        <v>222</v>
      </c>
      <c r="D90" s="32" t="s">
        <v>138</v>
      </c>
      <c r="E90" s="439" t="s">
        <v>239</v>
      </c>
      <c r="F90" s="124"/>
      <c r="G90" s="32" t="s">
        <v>138</v>
      </c>
      <c r="H90" s="32" t="s">
        <v>248</v>
      </c>
      <c r="I90" s="32" t="s">
        <v>241</v>
      </c>
      <c r="J90" s="32" t="s">
        <v>241</v>
      </c>
      <c r="K90" s="120">
        <f t="shared" si="9"/>
        <v>475</v>
      </c>
      <c r="L90" s="120">
        <f t="shared" si="10"/>
        <v>825</v>
      </c>
      <c r="M90" s="120">
        <f t="shared" si="11"/>
        <v>825</v>
      </c>
    </row>
    <row r="91" spans="1:13">
      <c r="A91" s="446" t="str">
        <f>VLOOKUP(G91,LookupK!C:D,2,0)</f>
        <v>FEBP</v>
      </c>
      <c r="B91" s="32" t="s">
        <v>142</v>
      </c>
      <c r="C91" s="124" t="s">
        <v>222</v>
      </c>
      <c r="D91" s="32" t="s">
        <v>138</v>
      </c>
      <c r="E91" s="439" t="s">
        <v>239</v>
      </c>
      <c r="F91" s="124"/>
      <c r="G91" s="32" t="s">
        <v>138</v>
      </c>
      <c r="H91" s="32" t="s">
        <v>374</v>
      </c>
      <c r="I91" s="32" t="s">
        <v>374</v>
      </c>
      <c r="J91" s="32" t="s">
        <v>374</v>
      </c>
      <c r="K91" s="120">
        <f t="shared" si="9"/>
        <v>125</v>
      </c>
      <c r="L91" s="120">
        <f t="shared" si="10"/>
        <v>150</v>
      </c>
      <c r="M91" s="120">
        <f t="shared" si="11"/>
        <v>150</v>
      </c>
    </row>
    <row r="92" spans="1:13">
      <c r="A92" s="446" t="str">
        <f>VLOOKUP(G92,LookupK!C:D,2,0)</f>
        <v>FEBP</v>
      </c>
      <c r="B92" s="32" t="s">
        <v>412</v>
      </c>
      <c r="C92" s="124" t="s">
        <v>222</v>
      </c>
      <c r="D92" s="32" t="s">
        <v>138</v>
      </c>
      <c r="E92" s="439" t="s">
        <v>239</v>
      </c>
      <c r="F92" s="124"/>
      <c r="G92" s="32" t="s">
        <v>138</v>
      </c>
      <c r="H92" s="32" t="s">
        <v>252</v>
      </c>
      <c r="I92" s="32" t="s">
        <v>278</v>
      </c>
      <c r="J92" s="32" t="s">
        <v>278</v>
      </c>
      <c r="K92" s="120">
        <f t="shared" si="9"/>
        <v>400</v>
      </c>
      <c r="L92" s="120">
        <f t="shared" si="10"/>
        <v>475</v>
      </c>
      <c r="M92" s="120">
        <f t="shared" si="11"/>
        <v>475</v>
      </c>
    </row>
    <row r="93" spans="1:13">
      <c r="A93" s="446" t="str">
        <f>VLOOKUP(G93,LookupK!C:D,2,0)</f>
        <v>FEBP</v>
      </c>
      <c r="B93" s="32" t="s">
        <v>413</v>
      </c>
      <c r="C93" s="124" t="s">
        <v>222</v>
      </c>
      <c r="D93" s="32" t="s">
        <v>168</v>
      </c>
      <c r="E93" s="439" t="s">
        <v>239</v>
      </c>
      <c r="F93" s="124"/>
      <c r="G93" s="32" t="s">
        <v>168</v>
      </c>
      <c r="H93" s="32" t="s">
        <v>243</v>
      </c>
      <c r="I93" s="32" t="s">
        <v>244</v>
      </c>
      <c r="J93" s="32" t="s">
        <v>244</v>
      </c>
      <c r="K93" s="120">
        <f t="shared" si="9"/>
        <v>225</v>
      </c>
      <c r="L93" s="120">
        <f t="shared" si="10"/>
        <v>375</v>
      </c>
      <c r="M93" s="120">
        <f t="shared" si="11"/>
        <v>375</v>
      </c>
    </row>
    <row r="94" spans="1:13">
      <c r="A94" s="446" t="str">
        <f>VLOOKUP(G94,LookupK!C:D,2,0)</f>
        <v>FEBP</v>
      </c>
      <c r="B94" s="32" t="s">
        <v>414</v>
      </c>
      <c r="C94" s="124" t="s">
        <v>222</v>
      </c>
      <c r="D94" s="32" t="s">
        <v>138</v>
      </c>
      <c r="E94" s="439" t="s">
        <v>239</v>
      </c>
      <c r="F94" s="124"/>
      <c r="G94" s="32" t="s">
        <v>138</v>
      </c>
      <c r="H94" s="32" t="s">
        <v>289</v>
      </c>
      <c r="I94" s="32" t="s">
        <v>297</v>
      </c>
      <c r="J94" s="32" t="s">
        <v>297</v>
      </c>
      <c r="K94" s="120">
        <f t="shared" si="9"/>
        <v>200</v>
      </c>
      <c r="L94" s="120">
        <f t="shared" si="10"/>
        <v>325</v>
      </c>
      <c r="M94" s="120">
        <f t="shared" si="11"/>
        <v>325</v>
      </c>
    </row>
    <row r="95" spans="1:13">
      <c r="A95" s="446" t="str">
        <f>VLOOKUP(G95,LookupK!C:D,2,0)</f>
        <v>FEBP</v>
      </c>
      <c r="B95" s="32" t="s">
        <v>415</v>
      </c>
      <c r="C95" s="124" t="s">
        <v>222</v>
      </c>
      <c r="D95" s="32" t="s">
        <v>141</v>
      </c>
      <c r="E95" s="439" t="s">
        <v>239</v>
      </c>
      <c r="F95" s="124"/>
      <c r="G95" s="32" t="s">
        <v>141</v>
      </c>
      <c r="H95" s="32" t="s">
        <v>243</v>
      </c>
      <c r="I95" s="32" t="s">
        <v>244</v>
      </c>
      <c r="J95" s="32" t="s">
        <v>244</v>
      </c>
      <c r="K95" s="120">
        <f t="shared" si="9"/>
        <v>225</v>
      </c>
      <c r="L95" s="120">
        <f t="shared" si="10"/>
        <v>375</v>
      </c>
      <c r="M95" s="120">
        <f t="shared" si="11"/>
        <v>375</v>
      </c>
    </row>
    <row r="96" spans="1:13">
      <c r="A96" s="446" t="str">
        <f>VLOOKUP(G96,LookupK!C:D,2,0)</f>
        <v>FEBP</v>
      </c>
      <c r="B96" s="32" t="s">
        <v>417</v>
      </c>
      <c r="C96" s="124" t="s">
        <v>222</v>
      </c>
      <c r="D96" s="32" t="s">
        <v>138</v>
      </c>
      <c r="E96" s="439" t="s">
        <v>239</v>
      </c>
      <c r="F96" s="124"/>
      <c r="G96" s="32" t="s">
        <v>138</v>
      </c>
      <c r="H96" s="32" t="s">
        <v>289</v>
      </c>
      <c r="I96" s="32" t="s">
        <v>244</v>
      </c>
      <c r="J96" s="32" t="s">
        <v>244</v>
      </c>
      <c r="K96" s="120">
        <f t="shared" si="9"/>
        <v>200</v>
      </c>
      <c r="L96" s="120">
        <f t="shared" si="10"/>
        <v>375</v>
      </c>
      <c r="M96" s="120">
        <f t="shared" si="11"/>
        <v>375</v>
      </c>
    </row>
    <row r="97" spans="1:13">
      <c r="A97" s="446" t="str">
        <f>VLOOKUP(G97,LookupK!C:D,2,0)</f>
        <v>FEBP</v>
      </c>
      <c r="B97" s="32" t="s">
        <v>420</v>
      </c>
      <c r="C97" s="124" t="s">
        <v>222</v>
      </c>
      <c r="D97" s="32" t="s">
        <v>138</v>
      </c>
      <c r="E97" s="439" t="s">
        <v>239</v>
      </c>
      <c r="F97" s="124"/>
      <c r="G97" s="32" t="s">
        <v>138</v>
      </c>
      <c r="H97" s="32" t="s">
        <v>334</v>
      </c>
      <c r="I97" s="32" t="s">
        <v>282</v>
      </c>
      <c r="J97" s="32" t="s">
        <v>282</v>
      </c>
      <c r="K97" s="120">
        <f t="shared" si="9"/>
        <v>900</v>
      </c>
      <c r="L97" s="120">
        <f t="shared" si="10"/>
        <v>1625</v>
      </c>
      <c r="M97" s="120">
        <f t="shared" si="11"/>
        <v>1625</v>
      </c>
    </row>
    <row r="98" spans="1:13">
      <c r="A98" s="446" t="str">
        <f>VLOOKUP(G98,LookupK!C:D,2,0)</f>
        <v>FEBP</v>
      </c>
      <c r="B98" s="32" t="s">
        <v>425</v>
      </c>
      <c r="C98" s="124" t="s">
        <v>222</v>
      </c>
      <c r="D98" s="32" t="s">
        <v>141</v>
      </c>
      <c r="E98" s="439" t="s">
        <v>239</v>
      </c>
      <c r="F98" s="124"/>
      <c r="G98" s="32" t="s">
        <v>141</v>
      </c>
      <c r="H98" s="32" t="s">
        <v>246</v>
      </c>
      <c r="I98" s="32" t="s">
        <v>244</v>
      </c>
      <c r="J98" s="32" t="s">
        <v>244</v>
      </c>
      <c r="K98" s="120">
        <f t="shared" si="9"/>
        <v>250</v>
      </c>
      <c r="L98" s="120">
        <f t="shared" si="10"/>
        <v>375</v>
      </c>
      <c r="M98" s="120">
        <f t="shared" si="11"/>
        <v>375</v>
      </c>
    </row>
    <row r="99" spans="1:13">
      <c r="A99" s="446" t="str">
        <f>VLOOKUP(G99,LookupK!C:D,2,0)</f>
        <v>FEBP</v>
      </c>
      <c r="B99" s="32" t="s">
        <v>429</v>
      </c>
      <c r="C99" s="124" t="s">
        <v>222</v>
      </c>
      <c r="D99" s="32" t="s">
        <v>138</v>
      </c>
      <c r="E99" s="439" t="s">
        <v>239</v>
      </c>
      <c r="F99" s="124"/>
      <c r="G99" s="32" t="s">
        <v>138</v>
      </c>
      <c r="H99" s="32" t="s">
        <v>374</v>
      </c>
      <c r="I99" s="32" t="s">
        <v>374</v>
      </c>
      <c r="J99" s="32" t="s">
        <v>374</v>
      </c>
      <c r="K99" s="120">
        <f t="shared" si="9"/>
        <v>125</v>
      </c>
      <c r="L99" s="120">
        <f t="shared" si="10"/>
        <v>150</v>
      </c>
      <c r="M99" s="120">
        <f t="shared" si="11"/>
        <v>150</v>
      </c>
    </row>
    <row r="100" spans="1:13">
      <c r="A100" s="446" t="str">
        <f>VLOOKUP(G100,LookupK!C:D,2,0)</f>
        <v>FEBP</v>
      </c>
      <c r="B100" s="32" t="s">
        <v>433</v>
      </c>
      <c r="C100" s="124" t="s">
        <v>222</v>
      </c>
      <c r="D100" s="32" t="s">
        <v>137</v>
      </c>
      <c r="E100" s="439" t="s">
        <v>239</v>
      </c>
      <c r="F100" s="124"/>
      <c r="G100" s="32" t="s">
        <v>137</v>
      </c>
      <c r="H100" s="32" t="s">
        <v>246</v>
      </c>
      <c r="I100" s="32" t="s">
        <v>252</v>
      </c>
      <c r="J100" s="32" t="s">
        <v>252</v>
      </c>
      <c r="K100" s="120">
        <f t="shared" si="9"/>
        <v>250</v>
      </c>
      <c r="L100" s="120">
        <f t="shared" si="10"/>
        <v>425</v>
      </c>
      <c r="M100" s="120">
        <f t="shared" si="11"/>
        <v>425</v>
      </c>
    </row>
    <row r="101" spans="1:13" hidden="1">
      <c r="A101" s="446" t="str">
        <f>VLOOKUP(G101,LookupK!C:D,2,0)</f>
        <v>FEBP</v>
      </c>
      <c r="B101" t="s">
        <v>434</v>
      </c>
      <c r="C101" s="447" t="s">
        <v>222</v>
      </c>
      <c r="D101" t="s">
        <v>141</v>
      </c>
      <c r="E101" s="2" t="s">
        <v>325</v>
      </c>
      <c r="F101" s="447"/>
      <c r="G101" t="s">
        <v>141</v>
      </c>
      <c r="H101" t="s">
        <v>297</v>
      </c>
      <c r="I101" t="s">
        <v>248</v>
      </c>
      <c r="J101" t="s">
        <v>248</v>
      </c>
      <c r="K101" s="120">
        <f t="shared" si="9"/>
        <v>300</v>
      </c>
      <c r="L101" s="120">
        <f t="shared" si="10"/>
        <v>500</v>
      </c>
      <c r="M101" s="120">
        <f t="shared" si="11"/>
        <v>500</v>
      </c>
    </row>
    <row r="102" spans="1:13">
      <c r="A102" s="446" t="str">
        <f>VLOOKUP(G102,LookupK!C:D,2,0)</f>
        <v>FEBP</v>
      </c>
      <c r="B102" s="32" t="s">
        <v>435</v>
      </c>
      <c r="C102" s="124" t="s">
        <v>222</v>
      </c>
      <c r="D102" s="32" t="s">
        <v>141</v>
      </c>
      <c r="E102" s="439" t="s">
        <v>239</v>
      </c>
      <c r="F102" s="124"/>
      <c r="G102" s="32" t="s">
        <v>141</v>
      </c>
      <c r="H102" s="32" t="s">
        <v>246</v>
      </c>
      <c r="I102" s="32" t="s">
        <v>244</v>
      </c>
      <c r="J102" s="32" t="s">
        <v>244</v>
      </c>
      <c r="K102" s="120">
        <f t="shared" si="9"/>
        <v>250</v>
      </c>
      <c r="L102" s="120">
        <f t="shared" si="10"/>
        <v>375</v>
      </c>
      <c r="M102" s="120">
        <f t="shared" si="11"/>
        <v>375</v>
      </c>
    </row>
    <row r="103" spans="1:13">
      <c r="A103" s="446" t="str">
        <f>VLOOKUP(G103,LookupK!C:D,2,0)</f>
        <v>FEBP</v>
      </c>
      <c r="B103" s="32" t="s">
        <v>437</v>
      </c>
      <c r="C103" s="124" t="s">
        <v>222</v>
      </c>
      <c r="D103" s="32" t="s">
        <v>141</v>
      </c>
      <c r="E103" s="439" t="s">
        <v>239</v>
      </c>
      <c r="F103" s="124"/>
      <c r="G103" s="32" t="s">
        <v>141</v>
      </c>
      <c r="H103" s="32" t="s">
        <v>297</v>
      </c>
      <c r="I103" s="32" t="s">
        <v>252</v>
      </c>
      <c r="J103" s="32" t="s">
        <v>252</v>
      </c>
      <c r="K103" s="120">
        <f t="shared" si="9"/>
        <v>300</v>
      </c>
      <c r="L103" s="120">
        <f t="shared" si="10"/>
        <v>425</v>
      </c>
      <c r="M103" s="120">
        <f t="shared" si="11"/>
        <v>425</v>
      </c>
    </row>
    <row r="104" spans="1:13">
      <c r="A104" s="446" t="str">
        <f>VLOOKUP(G104,LookupK!C:D,2,0)</f>
        <v>FEBP</v>
      </c>
      <c r="B104" s="32" t="s">
        <v>144</v>
      </c>
      <c r="C104" s="124" t="s">
        <v>222</v>
      </c>
      <c r="D104" s="32" t="s">
        <v>138</v>
      </c>
      <c r="E104" s="439" t="s">
        <v>239</v>
      </c>
      <c r="F104" s="124"/>
      <c r="G104" s="32" t="s">
        <v>138</v>
      </c>
      <c r="H104" s="32" t="s">
        <v>374</v>
      </c>
      <c r="I104" s="32" t="s">
        <v>374</v>
      </c>
      <c r="J104" s="32" t="s">
        <v>374</v>
      </c>
      <c r="K104" s="120">
        <f t="shared" si="9"/>
        <v>125</v>
      </c>
      <c r="L104" s="120">
        <f t="shared" si="10"/>
        <v>150</v>
      </c>
      <c r="M104" s="120">
        <f t="shared" si="11"/>
        <v>150</v>
      </c>
    </row>
    <row r="105" spans="1:13">
      <c r="A105" s="446" t="str">
        <f>VLOOKUP(G105,LookupK!C:D,2,0)</f>
        <v>FEBP</v>
      </c>
      <c r="B105" s="32" t="s">
        <v>441</v>
      </c>
      <c r="C105" s="124" t="s">
        <v>222</v>
      </c>
      <c r="D105" s="32" t="s">
        <v>578</v>
      </c>
      <c r="E105" s="439" t="s">
        <v>239</v>
      </c>
      <c r="F105" s="124"/>
      <c r="G105" s="32" t="s">
        <v>578</v>
      </c>
      <c r="H105" s="32" t="s">
        <v>243</v>
      </c>
      <c r="I105" s="32" t="s">
        <v>244</v>
      </c>
      <c r="J105" s="32" t="s">
        <v>244</v>
      </c>
      <c r="K105" s="120">
        <f t="shared" si="9"/>
        <v>225</v>
      </c>
      <c r="L105" s="120">
        <f t="shared" si="10"/>
        <v>375</v>
      </c>
      <c r="M105" s="120">
        <f t="shared" si="11"/>
        <v>375</v>
      </c>
    </row>
    <row r="106" spans="1:13">
      <c r="A106" s="446" t="str">
        <f>VLOOKUP(G106,LookupK!C:D,2,0)</f>
        <v>FEBP</v>
      </c>
      <c r="B106" s="32" t="s">
        <v>445</v>
      </c>
      <c r="C106" s="124" t="s">
        <v>222</v>
      </c>
      <c r="D106" s="32" t="s">
        <v>578</v>
      </c>
      <c r="E106" s="439" t="s">
        <v>239</v>
      </c>
      <c r="F106" s="124"/>
      <c r="G106" s="32" t="s">
        <v>578</v>
      </c>
      <c r="H106" s="32" t="s">
        <v>243</v>
      </c>
      <c r="I106" s="32" t="s">
        <v>251</v>
      </c>
      <c r="J106" s="32" t="s">
        <v>251</v>
      </c>
      <c r="K106" s="120">
        <f t="shared" si="9"/>
        <v>225</v>
      </c>
      <c r="L106" s="120">
        <f t="shared" si="10"/>
        <v>300</v>
      </c>
      <c r="M106" s="120">
        <f t="shared" si="11"/>
        <v>300</v>
      </c>
    </row>
    <row r="107" spans="1:13">
      <c r="A107" s="446" t="str">
        <f>VLOOKUP(G107,LookupK!C:D,2,0)</f>
        <v>FEBP</v>
      </c>
      <c r="B107" s="32" t="s">
        <v>446</v>
      </c>
      <c r="C107" s="124" t="s">
        <v>222</v>
      </c>
      <c r="D107" s="32" t="s">
        <v>578</v>
      </c>
      <c r="E107" s="439" t="s">
        <v>239</v>
      </c>
      <c r="F107" s="124"/>
      <c r="G107" s="32" t="s">
        <v>578</v>
      </c>
      <c r="H107" s="32" t="s">
        <v>251</v>
      </c>
      <c r="I107" s="32" t="s">
        <v>270</v>
      </c>
      <c r="J107" s="32" t="s">
        <v>270</v>
      </c>
      <c r="K107" s="120">
        <f t="shared" si="9"/>
        <v>275</v>
      </c>
      <c r="L107" s="120">
        <f t="shared" si="10"/>
        <v>400</v>
      </c>
      <c r="M107" s="120">
        <f t="shared" si="11"/>
        <v>400</v>
      </c>
    </row>
    <row r="108" spans="1:13">
      <c r="A108" s="446" t="str">
        <f>VLOOKUP(G108,LookupK!C:D,2,0)</f>
        <v>FEBP</v>
      </c>
      <c r="B108" s="32" t="s">
        <v>447</v>
      </c>
      <c r="C108" s="124" t="s">
        <v>222</v>
      </c>
      <c r="D108" s="32" t="s">
        <v>578</v>
      </c>
      <c r="E108" s="439" t="s">
        <v>239</v>
      </c>
      <c r="F108" s="124"/>
      <c r="G108" s="32" t="s">
        <v>578</v>
      </c>
      <c r="H108" s="32" t="s">
        <v>243</v>
      </c>
      <c r="I108" s="32" t="s">
        <v>297</v>
      </c>
      <c r="J108" s="32" t="s">
        <v>297</v>
      </c>
      <c r="K108" s="120">
        <f t="shared" si="9"/>
        <v>225</v>
      </c>
      <c r="L108" s="120">
        <f t="shared" si="10"/>
        <v>325</v>
      </c>
      <c r="M108" s="120">
        <f t="shared" si="11"/>
        <v>325</v>
      </c>
    </row>
    <row r="109" spans="1:13">
      <c r="A109" s="446" t="str">
        <f>VLOOKUP(G109,LookupK!C:D,2,0)</f>
        <v>FEBP</v>
      </c>
      <c r="B109" s="32" t="s">
        <v>448</v>
      </c>
      <c r="C109" s="124" t="s">
        <v>222</v>
      </c>
      <c r="D109" s="32" t="s">
        <v>138</v>
      </c>
      <c r="E109" s="439" t="s">
        <v>239</v>
      </c>
      <c r="F109" s="124"/>
      <c r="G109" s="32" t="s">
        <v>138</v>
      </c>
      <c r="H109" s="32" t="s">
        <v>265</v>
      </c>
      <c r="I109" s="32" t="s">
        <v>339</v>
      </c>
      <c r="J109" s="32" t="s">
        <v>339</v>
      </c>
      <c r="K109" s="120">
        <f t="shared" si="9"/>
        <v>500</v>
      </c>
      <c r="L109" s="120">
        <f t="shared" si="10"/>
        <v>975</v>
      </c>
      <c r="M109" s="120">
        <f t="shared" si="11"/>
        <v>975</v>
      </c>
    </row>
    <row r="110" spans="1:13">
      <c r="A110" s="446" t="str">
        <f>VLOOKUP(G110,LookupK!C:D,2,0)</f>
        <v>FEBP</v>
      </c>
      <c r="B110" s="32" t="s">
        <v>452</v>
      </c>
      <c r="C110" s="124" t="s">
        <v>222</v>
      </c>
      <c r="D110" s="32" t="s">
        <v>141</v>
      </c>
      <c r="E110" s="439" t="s">
        <v>239</v>
      </c>
      <c r="F110" s="124"/>
      <c r="G110" s="32" t="s">
        <v>141</v>
      </c>
      <c r="H110" s="32" t="s">
        <v>243</v>
      </c>
      <c r="I110" s="32" t="s">
        <v>244</v>
      </c>
      <c r="J110" s="32" t="s">
        <v>244</v>
      </c>
      <c r="K110" s="120">
        <f t="shared" si="9"/>
        <v>225</v>
      </c>
      <c r="L110" s="120">
        <f t="shared" si="10"/>
        <v>375</v>
      </c>
      <c r="M110" s="120">
        <f t="shared" si="11"/>
        <v>375</v>
      </c>
    </row>
    <row r="111" spans="1:13">
      <c r="A111" s="446" t="str">
        <f>VLOOKUP(G111,LookupK!C:D,2,0)</f>
        <v>FEBP</v>
      </c>
      <c r="B111" s="32" t="s">
        <v>455</v>
      </c>
      <c r="C111" s="124" t="s">
        <v>222</v>
      </c>
      <c r="D111" s="32" t="s">
        <v>141</v>
      </c>
      <c r="E111" s="439" t="s">
        <v>239</v>
      </c>
      <c r="F111" s="124"/>
      <c r="G111" s="32" t="s">
        <v>141</v>
      </c>
      <c r="H111" s="32" t="s">
        <v>240</v>
      </c>
      <c r="I111" s="32" t="s">
        <v>285</v>
      </c>
      <c r="J111" s="32" t="s">
        <v>285</v>
      </c>
      <c r="K111" s="120">
        <f t="shared" si="9"/>
        <v>600</v>
      </c>
      <c r="L111" s="120">
        <f t="shared" si="10"/>
        <v>1025</v>
      </c>
      <c r="M111" s="120">
        <f t="shared" si="11"/>
        <v>1025</v>
      </c>
    </row>
    <row r="112" spans="1:13">
      <c r="A112" s="446" t="str">
        <f>VLOOKUP(G112,LookupK!C:D,2,0)</f>
        <v>FEBP</v>
      </c>
      <c r="B112" s="32" t="s">
        <v>456</v>
      </c>
      <c r="C112" s="124" t="s">
        <v>222</v>
      </c>
      <c r="D112" s="32" t="s">
        <v>141</v>
      </c>
      <c r="E112" s="439" t="s">
        <v>239</v>
      </c>
      <c r="F112" s="124"/>
      <c r="G112" s="32" t="s">
        <v>141</v>
      </c>
      <c r="H112" s="32" t="s">
        <v>252</v>
      </c>
      <c r="I112" s="32" t="s">
        <v>318</v>
      </c>
      <c r="J112" s="32" t="s">
        <v>318</v>
      </c>
      <c r="K112" s="120">
        <f t="shared" si="9"/>
        <v>400</v>
      </c>
      <c r="L112" s="120">
        <f t="shared" si="10"/>
        <v>675</v>
      </c>
      <c r="M112" s="120">
        <f t="shared" si="11"/>
        <v>675</v>
      </c>
    </row>
    <row r="113" spans="1:13">
      <c r="A113" s="446" t="str">
        <f>VLOOKUP(G113,LookupK!C:D,2,0)</f>
        <v>FEBP</v>
      </c>
      <c r="B113" s="32" t="s">
        <v>459</v>
      </c>
      <c r="C113" s="124" t="s">
        <v>222</v>
      </c>
      <c r="D113" s="32" t="s">
        <v>141</v>
      </c>
      <c r="E113" s="439" t="s">
        <v>239</v>
      </c>
      <c r="F113" s="124"/>
      <c r="G113" s="32" t="s">
        <v>141</v>
      </c>
      <c r="H113" s="32" t="s">
        <v>244</v>
      </c>
      <c r="I113" s="32" t="s">
        <v>240</v>
      </c>
      <c r="J113" s="32" t="s">
        <v>240</v>
      </c>
      <c r="K113" s="120">
        <f t="shared" si="9"/>
        <v>350</v>
      </c>
      <c r="L113" s="120">
        <f t="shared" si="10"/>
        <v>625</v>
      </c>
      <c r="M113" s="120">
        <f t="shared" si="11"/>
        <v>625</v>
      </c>
    </row>
    <row r="114" spans="1:13">
      <c r="A114" s="446" t="str">
        <f>VLOOKUP(G114,LookupK!C:D,2,0)</f>
        <v>FEBP</v>
      </c>
      <c r="B114" s="32" t="s">
        <v>460</v>
      </c>
      <c r="C114" s="124" t="s">
        <v>222</v>
      </c>
      <c r="D114" s="32" t="s">
        <v>578</v>
      </c>
      <c r="E114" s="439" t="s">
        <v>239</v>
      </c>
      <c r="F114" s="124"/>
      <c r="G114" s="32" t="s">
        <v>578</v>
      </c>
      <c r="H114" s="32" t="s">
        <v>289</v>
      </c>
      <c r="I114" s="32" t="s">
        <v>272</v>
      </c>
      <c r="J114" s="32" t="s">
        <v>272</v>
      </c>
      <c r="K114" s="120">
        <f t="shared" si="9"/>
        <v>200</v>
      </c>
      <c r="L114" s="120">
        <f t="shared" si="10"/>
        <v>350</v>
      </c>
      <c r="M114" s="120">
        <f t="shared" si="11"/>
        <v>350</v>
      </c>
    </row>
    <row r="115" spans="1:13">
      <c r="A115" s="446" t="str">
        <f>VLOOKUP(G115,LookupK!C:D,2,0)</f>
        <v>FEBP</v>
      </c>
      <c r="B115" s="32" t="s">
        <v>461</v>
      </c>
      <c r="C115" s="124" t="s">
        <v>222</v>
      </c>
      <c r="D115" s="32" t="s">
        <v>168</v>
      </c>
      <c r="E115" s="439" t="s">
        <v>239</v>
      </c>
      <c r="F115" s="124"/>
      <c r="G115" s="32" t="s">
        <v>168</v>
      </c>
      <c r="H115" s="32" t="s">
        <v>251</v>
      </c>
      <c r="I115" s="32" t="s">
        <v>268</v>
      </c>
      <c r="J115" s="32" t="s">
        <v>268</v>
      </c>
      <c r="K115" s="120">
        <f t="shared" si="9"/>
        <v>275</v>
      </c>
      <c r="L115" s="120">
        <f t="shared" si="10"/>
        <v>450</v>
      </c>
      <c r="M115" s="120">
        <f t="shared" si="11"/>
        <v>450</v>
      </c>
    </row>
    <row r="116" spans="1:13">
      <c r="A116" s="446" t="str">
        <f>VLOOKUP(G116,LookupK!C:D,2,0)</f>
        <v>FEBP</v>
      </c>
      <c r="B116" s="32" t="s">
        <v>594</v>
      </c>
      <c r="C116" s="124" t="s">
        <v>222</v>
      </c>
      <c r="D116" s="32" t="s">
        <v>578</v>
      </c>
      <c r="E116" s="439" t="s">
        <v>239</v>
      </c>
      <c r="F116" s="124"/>
      <c r="G116" s="32" t="s">
        <v>578</v>
      </c>
      <c r="H116" s="32" t="s">
        <v>289</v>
      </c>
      <c r="I116" s="32" t="s">
        <v>272</v>
      </c>
      <c r="J116" s="32" t="s">
        <v>272</v>
      </c>
      <c r="K116" s="120">
        <f t="shared" si="9"/>
        <v>200</v>
      </c>
      <c r="L116" s="120">
        <f t="shared" si="10"/>
        <v>350</v>
      </c>
      <c r="M116" s="120">
        <f t="shared" si="11"/>
        <v>350</v>
      </c>
    </row>
    <row r="117" spans="1:13">
      <c r="A117" s="446" t="str">
        <f>VLOOKUP(G117,LookupK!C:D,2,0)</f>
        <v>FEBP</v>
      </c>
      <c r="B117" s="32" t="s">
        <v>463</v>
      </c>
      <c r="C117" s="124" t="s">
        <v>222</v>
      </c>
      <c r="D117" s="32" t="s">
        <v>137</v>
      </c>
      <c r="E117" s="439" t="s">
        <v>239</v>
      </c>
      <c r="F117" s="124"/>
      <c r="G117" s="32" t="s">
        <v>137</v>
      </c>
      <c r="H117" s="32" t="s">
        <v>243</v>
      </c>
      <c r="I117" s="32" t="s">
        <v>272</v>
      </c>
      <c r="J117" s="32" t="s">
        <v>272</v>
      </c>
      <c r="K117" s="120">
        <f t="shared" si="9"/>
        <v>225</v>
      </c>
      <c r="L117" s="120">
        <f t="shared" si="10"/>
        <v>350</v>
      </c>
      <c r="M117" s="120">
        <f t="shared" si="11"/>
        <v>350</v>
      </c>
    </row>
    <row r="118" spans="1:13">
      <c r="A118" s="446" t="str">
        <f>VLOOKUP(G118,LookupK!C:D,2,0)</f>
        <v>FEBP</v>
      </c>
      <c r="B118" s="32" t="s">
        <v>467</v>
      </c>
      <c r="C118" s="124" t="s">
        <v>222</v>
      </c>
      <c r="D118" s="32" t="s">
        <v>168</v>
      </c>
      <c r="E118" s="439" t="s">
        <v>239</v>
      </c>
      <c r="F118" s="124"/>
      <c r="G118" s="32" t="s">
        <v>168</v>
      </c>
      <c r="H118" s="32" t="s">
        <v>251</v>
      </c>
      <c r="I118" s="32" t="s">
        <v>268</v>
      </c>
      <c r="J118" s="32" t="s">
        <v>268</v>
      </c>
      <c r="K118" s="120">
        <f t="shared" si="9"/>
        <v>275</v>
      </c>
      <c r="L118" s="120">
        <f t="shared" si="10"/>
        <v>450</v>
      </c>
      <c r="M118" s="120">
        <f t="shared" si="11"/>
        <v>450</v>
      </c>
    </row>
    <row r="119" spans="1:13">
      <c r="A119" s="446" t="str">
        <f>VLOOKUP(G119,LookupK!C:D,2,0)</f>
        <v>FEBP</v>
      </c>
      <c r="B119" s="32" t="s">
        <v>468</v>
      </c>
      <c r="C119" s="124" t="s">
        <v>222</v>
      </c>
      <c r="D119" s="32" t="s">
        <v>578</v>
      </c>
      <c r="E119" s="439" t="s">
        <v>239</v>
      </c>
      <c r="F119" s="124"/>
      <c r="G119" s="32" t="s">
        <v>578</v>
      </c>
      <c r="H119" s="32" t="s">
        <v>243</v>
      </c>
      <c r="I119" s="32" t="s">
        <v>297</v>
      </c>
      <c r="J119" s="32" t="s">
        <v>297</v>
      </c>
      <c r="K119" s="120">
        <f t="shared" si="9"/>
        <v>225</v>
      </c>
      <c r="L119" s="120">
        <f t="shared" si="10"/>
        <v>325</v>
      </c>
      <c r="M119" s="120">
        <f t="shared" si="11"/>
        <v>325</v>
      </c>
    </row>
    <row r="120" spans="1:13">
      <c r="A120" s="446" t="str">
        <f>VLOOKUP(G120,LookupK!C:D,2,0)</f>
        <v>FEBP</v>
      </c>
      <c r="B120" s="32" t="s">
        <v>469</v>
      </c>
      <c r="C120" s="124" t="s">
        <v>222</v>
      </c>
      <c r="D120" s="32" t="s">
        <v>578</v>
      </c>
      <c r="E120" s="439" t="s">
        <v>239</v>
      </c>
      <c r="F120" s="124"/>
      <c r="G120" s="32" t="s">
        <v>578</v>
      </c>
      <c r="H120" s="32" t="s">
        <v>251</v>
      </c>
      <c r="I120" s="32" t="s">
        <v>252</v>
      </c>
      <c r="J120" s="32" t="s">
        <v>252</v>
      </c>
      <c r="K120" s="120">
        <f t="shared" si="9"/>
        <v>275</v>
      </c>
      <c r="L120" s="120">
        <f t="shared" si="10"/>
        <v>425</v>
      </c>
      <c r="M120" s="120">
        <f t="shared" si="11"/>
        <v>425</v>
      </c>
    </row>
    <row r="121" spans="1:13">
      <c r="E121" s="2"/>
    </row>
  </sheetData>
  <autoFilter ref="A21:M120" xr:uid="{00000000-0009-0000-0000-000008000000}">
    <filterColumn colId="4">
      <filters>
        <filter val="Dangerous Cargo; General Cargo"/>
      </filters>
    </filterColumn>
  </autoFilter>
  <mergeCells count="2">
    <mergeCell ref="B13:M13"/>
    <mergeCell ref="B20:M20"/>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0" tint="-0.499984740745262"/>
    <pageSetUpPr fitToPage="1"/>
  </sheetPr>
  <dimension ref="A1:H160"/>
  <sheetViews>
    <sheetView showGridLines="0" zoomScale="90" zoomScaleNormal="90" zoomScaleSheetLayoutView="75" workbookViewId="0"/>
  </sheetViews>
  <sheetFormatPr defaultColWidth="11.42578125" defaultRowHeight="12.75"/>
  <cols>
    <col min="1" max="1" width="8.5703125" style="9" customWidth="1"/>
    <col min="2" max="2" width="59.28515625" style="9" customWidth="1"/>
    <col min="3" max="3" width="41.5703125" style="9" customWidth="1"/>
    <col min="4" max="4" width="15.42578125" style="9" customWidth="1"/>
    <col min="5" max="7" width="14.28515625" style="9" customWidth="1"/>
    <col min="8" max="8" width="31.140625" style="187" bestFit="1" customWidth="1"/>
    <col min="9" max="16384" width="11.42578125" style="187"/>
  </cols>
  <sheetData>
    <row r="1" spans="1:8" ht="12.75" customHeight="1" thickBot="1">
      <c r="A1" s="187"/>
      <c r="B1" s="187"/>
      <c r="C1" s="187"/>
      <c r="D1" s="187"/>
      <c r="E1" s="187"/>
      <c r="F1" s="187"/>
      <c r="G1" s="187"/>
    </row>
    <row r="2" spans="1:8" ht="12.75" customHeight="1">
      <c r="A2" s="187"/>
      <c r="B2" s="543"/>
      <c r="C2" s="1109"/>
      <c r="D2" s="1109"/>
      <c r="E2" s="1109"/>
      <c r="F2" s="1109"/>
      <c r="G2" s="1110"/>
    </row>
    <row r="3" spans="1:8" ht="12.75" customHeight="1">
      <c r="A3" s="187"/>
      <c r="B3" s="1089" t="s">
        <v>470</v>
      </c>
      <c r="C3" s="1083"/>
      <c r="D3" s="1083"/>
      <c r="E3" s="1083"/>
      <c r="F3" s="1083"/>
      <c r="G3" s="1090"/>
      <c r="H3" s="7"/>
    </row>
    <row r="4" spans="1:8" ht="12.75" customHeight="1">
      <c r="A4" s="187"/>
      <c r="B4" s="1114" t="str">
        <f>Introduction!D8</f>
        <v xml:space="preserve">NEW: rate reference mentioned in your email </v>
      </c>
      <c r="C4" s="1115"/>
      <c r="D4" s="1115"/>
      <c r="E4" s="1115"/>
      <c r="F4" s="1115"/>
      <c r="G4" s="1116"/>
    </row>
    <row r="5" spans="1:8" ht="12.75" customHeight="1">
      <c r="A5" s="187"/>
      <c r="B5" s="1096" t="str">
        <f>Introduction!B9</f>
        <v>valid as from 01.12.2025 - 31.01.2026</v>
      </c>
      <c r="C5" s="1071"/>
      <c r="D5" s="1071"/>
      <c r="E5" s="1071"/>
      <c r="F5" s="1071"/>
      <c r="G5" s="1097"/>
    </row>
    <row r="6" spans="1:8" ht="12.75" customHeight="1" thickBot="1">
      <c r="A6" s="187"/>
      <c r="B6" s="544"/>
      <c r="C6" s="545"/>
      <c r="D6" s="545"/>
      <c r="E6" s="545"/>
      <c r="F6" s="545"/>
      <c r="G6" s="546"/>
    </row>
    <row r="7" spans="1:8" ht="12.75" customHeight="1">
      <c r="A7" s="187"/>
      <c r="B7" s="547"/>
      <c r="C7" s="547"/>
      <c r="D7" s="547"/>
      <c r="E7" s="547"/>
      <c r="F7" s="547"/>
      <c r="G7" s="547"/>
    </row>
    <row r="8" spans="1:8" ht="13.35" customHeight="1" thickBot="1">
      <c r="A8" s="187"/>
      <c r="B8" s="547"/>
      <c r="C8" s="547"/>
      <c r="D8" s="547"/>
      <c r="E8" s="547"/>
      <c r="F8" s="547"/>
      <c r="G8" s="547"/>
    </row>
    <row r="9" spans="1:8" ht="15" customHeight="1">
      <c r="A9" s="187"/>
      <c r="B9" s="287" t="s">
        <v>595</v>
      </c>
      <c r="C9" s="1111" t="s">
        <v>596</v>
      </c>
      <c r="D9" s="1112"/>
      <c r="E9" s="1112"/>
      <c r="F9" s="1112"/>
      <c r="G9" s="1113"/>
    </row>
    <row r="10" spans="1:8" ht="15" customHeight="1" thickBot="1">
      <c r="A10" s="187"/>
      <c r="B10" s="453" t="s">
        <v>473</v>
      </c>
      <c r="C10" s="454" t="s">
        <v>474</v>
      </c>
      <c r="D10" s="454" t="s">
        <v>597</v>
      </c>
      <c r="E10" s="454" t="s">
        <v>598</v>
      </c>
      <c r="F10" s="454" t="s">
        <v>477</v>
      </c>
      <c r="G10" s="455" t="s">
        <v>239</v>
      </c>
    </row>
    <row r="11" spans="1:8" ht="15" customHeight="1">
      <c r="A11" s="187"/>
      <c r="B11" s="218" t="s">
        <v>599</v>
      </c>
      <c r="C11" s="456" t="s">
        <v>600</v>
      </c>
      <c r="D11" s="305">
        <v>50</v>
      </c>
      <c r="E11" s="305">
        <v>75</v>
      </c>
      <c r="F11" s="305">
        <f>E11</f>
        <v>75</v>
      </c>
      <c r="G11" s="220" t="s">
        <v>601</v>
      </c>
      <c r="H11" s="548"/>
    </row>
    <row r="12" spans="1:8" ht="15" customHeight="1">
      <c r="A12" s="187"/>
      <c r="B12" s="211" t="s">
        <v>599</v>
      </c>
      <c r="C12" s="260" t="s">
        <v>29</v>
      </c>
      <c r="D12" s="179">
        <f>D11</f>
        <v>50</v>
      </c>
      <c r="E12" s="179">
        <f>E11</f>
        <v>75</v>
      </c>
      <c r="F12" s="179">
        <f t="shared" ref="F12:F15" si="0">E12</f>
        <v>75</v>
      </c>
      <c r="G12" s="214" t="s">
        <v>601</v>
      </c>
      <c r="H12" s="548"/>
    </row>
    <row r="13" spans="1:8" ht="15" customHeight="1">
      <c r="A13" s="187"/>
      <c r="B13" s="211" t="s">
        <v>599</v>
      </c>
      <c r="C13" s="260" t="s">
        <v>602</v>
      </c>
      <c r="D13" s="179">
        <f>D11</f>
        <v>50</v>
      </c>
      <c r="E13" s="179">
        <f>E11</f>
        <v>75</v>
      </c>
      <c r="F13" s="179">
        <f t="shared" si="0"/>
        <v>75</v>
      </c>
      <c r="G13" s="214" t="s">
        <v>601</v>
      </c>
      <c r="H13" s="548"/>
    </row>
    <row r="14" spans="1:8" ht="15" customHeight="1">
      <c r="A14" s="187"/>
      <c r="B14" s="211" t="s">
        <v>599</v>
      </c>
      <c r="C14" s="260" t="s">
        <v>28</v>
      </c>
      <c r="D14" s="179">
        <f>D11</f>
        <v>50</v>
      </c>
      <c r="E14" s="179">
        <f>E11</f>
        <v>75</v>
      </c>
      <c r="F14" s="179">
        <f t="shared" si="0"/>
        <v>75</v>
      </c>
      <c r="G14" s="214" t="s">
        <v>601</v>
      </c>
      <c r="H14" s="548"/>
    </row>
    <row r="15" spans="1:8" ht="15" customHeight="1" thickBot="1">
      <c r="A15" s="187"/>
      <c r="B15" s="215" t="s">
        <v>599</v>
      </c>
      <c r="C15" s="291" t="s">
        <v>603</v>
      </c>
      <c r="D15" s="184">
        <f>D11</f>
        <v>50</v>
      </c>
      <c r="E15" s="184">
        <f>E11</f>
        <v>75</v>
      </c>
      <c r="F15" s="184">
        <f t="shared" si="0"/>
        <v>75</v>
      </c>
      <c r="G15" s="217" t="s">
        <v>601</v>
      </c>
      <c r="H15" s="548"/>
    </row>
    <row r="16" spans="1:8" ht="15" customHeight="1">
      <c r="A16" s="187"/>
      <c r="B16" s="218" t="s">
        <v>599</v>
      </c>
      <c r="C16" s="456" t="s">
        <v>38</v>
      </c>
      <c r="D16" s="305">
        <v>100</v>
      </c>
      <c r="E16" s="305">
        <v>175</v>
      </c>
      <c r="F16" s="305">
        <f>E16</f>
        <v>175</v>
      </c>
      <c r="G16" s="220" t="s">
        <v>601</v>
      </c>
      <c r="H16" s="548"/>
    </row>
    <row r="17" spans="1:8" ht="15" customHeight="1">
      <c r="A17" s="187"/>
      <c r="B17" s="211" t="s">
        <v>599</v>
      </c>
      <c r="C17" s="260" t="s">
        <v>40</v>
      </c>
      <c r="D17" s="179">
        <f>D16</f>
        <v>100</v>
      </c>
      <c r="E17" s="179">
        <f>E16</f>
        <v>175</v>
      </c>
      <c r="F17" s="179">
        <f t="shared" ref="F17:F21" si="1">E17</f>
        <v>175</v>
      </c>
      <c r="G17" s="214" t="s">
        <v>601</v>
      </c>
      <c r="H17" s="548"/>
    </row>
    <row r="18" spans="1:8" ht="15" customHeight="1">
      <c r="A18" s="187"/>
      <c r="B18" s="211" t="s">
        <v>599</v>
      </c>
      <c r="C18" s="260" t="s">
        <v>39</v>
      </c>
      <c r="D18" s="179">
        <f>D17</f>
        <v>100</v>
      </c>
      <c r="E18" s="179">
        <f>E16</f>
        <v>175</v>
      </c>
      <c r="F18" s="179">
        <f t="shared" si="1"/>
        <v>175</v>
      </c>
      <c r="G18" s="214" t="s">
        <v>601</v>
      </c>
      <c r="H18" s="548"/>
    </row>
    <row r="19" spans="1:8" ht="15" customHeight="1">
      <c r="A19" s="187"/>
      <c r="B19" s="211" t="s">
        <v>599</v>
      </c>
      <c r="C19" s="260" t="s">
        <v>32</v>
      </c>
      <c r="D19" s="179">
        <f>D17</f>
        <v>100</v>
      </c>
      <c r="E19" s="179">
        <f>E18</f>
        <v>175</v>
      </c>
      <c r="F19" s="179">
        <f t="shared" ref="F19" si="2">E19</f>
        <v>175</v>
      </c>
      <c r="G19" s="214" t="s">
        <v>601</v>
      </c>
      <c r="H19" s="548"/>
    </row>
    <row r="20" spans="1:8" ht="15" customHeight="1">
      <c r="A20" s="187"/>
      <c r="B20" s="211" t="s">
        <v>599</v>
      </c>
      <c r="C20" s="260" t="s">
        <v>35</v>
      </c>
      <c r="D20" s="179">
        <f>D17</f>
        <v>100</v>
      </c>
      <c r="E20" s="179">
        <f>E16</f>
        <v>175</v>
      </c>
      <c r="F20" s="179">
        <f t="shared" si="1"/>
        <v>175</v>
      </c>
      <c r="G20" s="214" t="s">
        <v>601</v>
      </c>
      <c r="H20" s="548"/>
    </row>
    <row r="21" spans="1:8" ht="15" customHeight="1" thickBot="1">
      <c r="A21" s="187"/>
      <c r="B21" s="215" t="s">
        <v>599</v>
      </c>
      <c r="C21" s="291" t="s">
        <v>33</v>
      </c>
      <c r="D21" s="184">
        <f>D17</f>
        <v>100</v>
      </c>
      <c r="E21" s="184">
        <f>E16</f>
        <v>175</v>
      </c>
      <c r="F21" s="184">
        <f t="shared" si="1"/>
        <v>175</v>
      </c>
      <c r="G21" s="217" t="s">
        <v>601</v>
      </c>
      <c r="H21" s="548"/>
    </row>
    <row r="22" spans="1:8" ht="15" customHeight="1" thickBot="1">
      <c r="A22" s="187"/>
      <c r="B22" s="98"/>
      <c r="C22" s="99"/>
      <c r="D22" s="100"/>
      <c r="E22" s="100"/>
      <c r="F22" s="100"/>
      <c r="G22" s="99"/>
      <c r="H22" s="548"/>
    </row>
    <row r="23" spans="1:8" ht="15" customHeight="1" thickBot="1">
      <c r="A23" s="187"/>
      <c r="B23" s="517" t="s">
        <v>599</v>
      </c>
      <c r="C23" s="335" t="s">
        <v>604</v>
      </c>
      <c r="D23" s="518">
        <v>550</v>
      </c>
      <c r="E23" s="518">
        <v>725</v>
      </c>
      <c r="F23" s="518">
        <f t="shared" ref="F23" si="3">E23</f>
        <v>725</v>
      </c>
      <c r="G23" s="519" t="s">
        <v>601</v>
      </c>
      <c r="H23" s="548"/>
    </row>
    <row r="24" spans="1:8" ht="15" customHeight="1" thickBot="1">
      <c r="A24" s="187"/>
      <c r="B24" s="336"/>
      <c r="C24" s="336"/>
      <c r="D24" s="164"/>
      <c r="E24" s="164"/>
      <c r="F24" s="164"/>
      <c r="G24" s="336"/>
      <c r="H24" s="548"/>
    </row>
    <row r="25" spans="1:8" ht="15" customHeight="1">
      <c r="A25" s="549"/>
      <c r="B25" s="287" t="s">
        <v>605</v>
      </c>
      <c r="C25" s="1111" t="s">
        <v>596</v>
      </c>
      <c r="D25" s="1112"/>
      <c r="E25" s="1112"/>
      <c r="F25" s="1112"/>
      <c r="G25" s="1113"/>
      <c r="H25" s="548"/>
    </row>
    <row r="26" spans="1:8" ht="15" customHeight="1">
      <c r="A26" s="549"/>
      <c r="B26" s="288" t="s">
        <v>473</v>
      </c>
      <c r="C26" s="289" t="s">
        <v>474</v>
      </c>
      <c r="D26" s="289" t="s">
        <v>597</v>
      </c>
      <c r="E26" s="289" t="s">
        <v>598</v>
      </c>
      <c r="F26" s="289" t="s">
        <v>477</v>
      </c>
      <c r="G26" s="290" t="s">
        <v>239</v>
      </c>
      <c r="H26" s="548"/>
    </row>
    <row r="27" spans="1:8" ht="15" customHeight="1">
      <c r="A27" s="549"/>
      <c r="B27" s="211" t="s">
        <v>599</v>
      </c>
      <c r="C27" s="212" t="s">
        <v>606</v>
      </c>
      <c r="D27" s="213">
        <v>1005</v>
      </c>
      <c r="E27" s="213">
        <v>1505</v>
      </c>
      <c r="F27" s="213">
        <v>1505</v>
      </c>
      <c r="G27" s="214" t="s">
        <v>601</v>
      </c>
      <c r="H27" s="548"/>
    </row>
    <row r="28" spans="1:8" ht="15" customHeight="1">
      <c r="A28" s="549"/>
      <c r="B28" s="211" t="s">
        <v>599</v>
      </c>
      <c r="C28" s="212" t="s">
        <v>607</v>
      </c>
      <c r="D28" s="213">
        <v>1005</v>
      </c>
      <c r="E28" s="213">
        <v>1505</v>
      </c>
      <c r="F28" s="213">
        <v>1505</v>
      </c>
      <c r="G28" s="214" t="s">
        <v>601</v>
      </c>
      <c r="H28" s="548"/>
    </row>
    <row r="29" spans="1:8" ht="15" customHeight="1">
      <c r="B29" s="211" t="s">
        <v>599</v>
      </c>
      <c r="C29" s="212" t="s">
        <v>608</v>
      </c>
      <c r="D29" s="213">
        <v>1005</v>
      </c>
      <c r="E29" s="213">
        <v>1505</v>
      </c>
      <c r="F29" s="213">
        <v>1505</v>
      </c>
      <c r="G29" s="214" t="s">
        <v>601</v>
      </c>
    </row>
    <row r="30" spans="1:8" ht="15" customHeight="1">
      <c r="A30" s="549"/>
      <c r="B30" s="211" t="s">
        <v>599</v>
      </c>
      <c r="C30" s="212" t="s">
        <v>609</v>
      </c>
      <c r="D30" s="213">
        <v>1005</v>
      </c>
      <c r="E30" s="213">
        <v>1505</v>
      </c>
      <c r="F30" s="213">
        <v>1505</v>
      </c>
      <c r="G30" s="214" t="s">
        <v>601</v>
      </c>
      <c r="H30" s="548"/>
    </row>
    <row r="31" spans="1:8" ht="15" customHeight="1">
      <c r="A31" s="549"/>
      <c r="B31" s="211" t="s">
        <v>599</v>
      </c>
      <c r="C31" s="212" t="s">
        <v>610</v>
      </c>
      <c r="D31" s="213">
        <v>1005</v>
      </c>
      <c r="E31" s="213">
        <v>1505</v>
      </c>
      <c r="F31" s="213">
        <v>1505</v>
      </c>
      <c r="G31" s="214" t="s">
        <v>601</v>
      </c>
      <c r="H31" s="548"/>
    </row>
    <row r="32" spans="1:8" ht="15" customHeight="1" thickBot="1">
      <c r="A32" s="549"/>
      <c r="B32" s="215" t="s">
        <v>599</v>
      </c>
      <c r="C32" s="216" t="s">
        <v>611</v>
      </c>
      <c r="D32" s="292">
        <f>D27+305</f>
        <v>1310</v>
      </c>
      <c r="E32" s="292">
        <f>E27+405</f>
        <v>1910</v>
      </c>
      <c r="F32" s="292">
        <f>F27+405</f>
        <v>1910</v>
      </c>
      <c r="G32" s="217" t="s">
        <v>601</v>
      </c>
      <c r="H32" s="548"/>
    </row>
    <row r="33" spans="1:8" ht="15" customHeight="1" thickBot="1">
      <c r="A33" s="549"/>
      <c r="B33" s="336"/>
      <c r="C33" s="198"/>
      <c r="D33" s="95"/>
      <c r="E33" s="95"/>
      <c r="F33" s="95"/>
      <c r="G33" s="336"/>
      <c r="H33" s="548"/>
    </row>
    <row r="34" spans="1:8" ht="15" customHeight="1">
      <c r="A34" s="549"/>
      <c r="B34" s="218" t="s">
        <v>599</v>
      </c>
      <c r="C34" s="219" t="s">
        <v>612</v>
      </c>
      <c r="D34" s="293">
        <v>1380</v>
      </c>
      <c r="E34" s="293">
        <v>1980</v>
      </c>
      <c r="F34" s="293">
        <f>E34</f>
        <v>1980</v>
      </c>
      <c r="G34" s="220" t="s">
        <v>601</v>
      </c>
      <c r="H34" s="548"/>
    </row>
    <row r="35" spans="1:8" ht="15" customHeight="1">
      <c r="A35" s="549"/>
      <c r="B35" s="211" t="s">
        <v>599</v>
      </c>
      <c r="C35" s="212" t="s">
        <v>613</v>
      </c>
      <c r="D35" s="213">
        <v>1380</v>
      </c>
      <c r="E35" s="213">
        <f>E34</f>
        <v>1980</v>
      </c>
      <c r="F35" s="213">
        <f t="shared" ref="F35:F37" si="4">E35</f>
        <v>1980</v>
      </c>
      <c r="G35" s="214" t="s">
        <v>601</v>
      </c>
      <c r="H35" s="548"/>
    </row>
    <row r="36" spans="1:8" ht="15" customHeight="1">
      <c r="A36" s="549"/>
      <c r="B36" s="211" t="s">
        <v>599</v>
      </c>
      <c r="C36" s="212" t="s">
        <v>614</v>
      </c>
      <c r="D36" s="213">
        <v>1380</v>
      </c>
      <c r="E36" s="213">
        <f>E34</f>
        <v>1980</v>
      </c>
      <c r="F36" s="213">
        <f t="shared" si="4"/>
        <v>1980</v>
      </c>
      <c r="G36" s="214" t="s">
        <v>601</v>
      </c>
      <c r="H36" s="548"/>
    </row>
    <row r="37" spans="1:8" ht="15" customHeight="1" thickBot="1">
      <c r="A37" s="549"/>
      <c r="B37" s="215" t="s">
        <v>599</v>
      </c>
      <c r="C37" s="216" t="s">
        <v>615</v>
      </c>
      <c r="D37" s="292">
        <v>1380</v>
      </c>
      <c r="E37" s="292">
        <f>E34</f>
        <v>1980</v>
      </c>
      <c r="F37" s="292">
        <f t="shared" si="4"/>
        <v>1980</v>
      </c>
      <c r="G37" s="217" t="s">
        <v>601</v>
      </c>
      <c r="H37" s="548"/>
    </row>
    <row r="38" spans="1:8" ht="19.5" customHeight="1">
      <c r="A38" s="549"/>
      <c r="B38" s="462"/>
      <c r="C38" s="89"/>
      <c r="D38" s="95"/>
      <c r="E38" s="95"/>
      <c r="F38" s="95"/>
      <c r="G38" s="94"/>
      <c r="H38" s="548"/>
    </row>
    <row r="39" spans="1:8" ht="19.5" customHeight="1" thickBot="1">
      <c r="A39" s="549"/>
      <c r="B39" s="99"/>
      <c r="C39" s="89"/>
      <c r="D39" s="95"/>
      <c r="E39" s="95"/>
      <c r="F39" s="95"/>
      <c r="G39" s="94"/>
      <c r="H39" s="548"/>
    </row>
    <row r="40" spans="1:8" ht="19.5" customHeight="1">
      <c r="A40" s="549"/>
      <c r="B40" s="280" t="s">
        <v>517</v>
      </c>
      <c r="C40" s="1111" t="s">
        <v>596</v>
      </c>
      <c r="D40" s="1112"/>
      <c r="E40" s="1112"/>
      <c r="F40" s="1112"/>
      <c r="G40" s="1113"/>
      <c r="H40" s="548"/>
    </row>
    <row r="41" spans="1:8" ht="19.5" customHeight="1">
      <c r="A41" s="187"/>
      <c r="B41" s="153" t="s">
        <v>474</v>
      </c>
      <c r="C41" s="152" t="s">
        <v>616</v>
      </c>
      <c r="D41" s="152" t="s">
        <v>597</v>
      </c>
      <c r="E41" s="152" t="s">
        <v>598</v>
      </c>
      <c r="F41" s="152" t="s">
        <v>477</v>
      </c>
      <c r="G41" s="154" t="s">
        <v>239</v>
      </c>
      <c r="H41" s="548"/>
    </row>
    <row r="42" spans="1:8" ht="22.5" customHeight="1">
      <c r="A42" s="187"/>
      <c r="B42" s="892" t="s">
        <v>242</v>
      </c>
      <c r="C42" s="439" t="s">
        <v>141</v>
      </c>
      <c r="D42" s="563">
        <v>225</v>
      </c>
      <c r="E42" s="563">
        <v>375</v>
      </c>
      <c r="F42" s="563">
        <v>375</v>
      </c>
      <c r="G42" s="893" t="s">
        <v>239</v>
      </c>
      <c r="H42" s="548"/>
    </row>
    <row r="43" spans="1:8" ht="22.5" customHeight="1">
      <c r="A43" s="187"/>
      <c r="B43" s="892" t="s">
        <v>245</v>
      </c>
      <c r="C43" s="439" t="s">
        <v>141</v>
      </c>
      <c r="D43" s="563">
        <v>250</v>
      </c>
      <c r="E43" s="563">
        <v>375</v>
      </c>
      <c r="F43" s="563">
        <v>375</v>
      </c>
      <c r="G43" s="893" t="s">
        <v>239</v>
      </c>
      <c r="H43" s="548"/>
    </row>
    <row r="44" spans="1:8" ht="22.5" customHeight="1">
      <c r="A44" s="187"/>
      <c r="B44" s="892" t="s">
        <v>250</v>
      </c>
      <c r="C44" s="439" t="s">
        <v>138</v>
      </c>
      <c r="D44" s="563">
        <v>275</v>
      </c>
      <c r="E44" s="563">
        <v>425</v>
      </c>
      <c r="F44" s="563">
        <v>425</v>
      </c>
      <c r="G44" s="893" t="s">
        <v>239</v>
      </c>
      <c r="H44" s="548"/>
    </row>
    <row r="45" spans="1:8" ht="22.5" customHeight="1">
      <c r="A45" s="187"/>
      <c r="B45" s="892" t="s">
        <v>256</v>
      </c>
      <c r="C45" s="439" t="s">
        <v>138</v>
      </c>
      <c r="D45" s="563">
        <v>350</v>
      </c>
      <c r="E45" s="563">
        <v>550</v>
      </c>
      <c r="F45" s="563">
        <v>550</v>
      </c>
      <c r="G45" s="893" t="s">
        <v>239</v>
      </c>
      <c r="H45" s="548"/>
    </row>
    <row r="46" spans="1:8" ht="22.5" customHeight="1">
      <c r="A46" s="187"/>
      <c r="B46" s="892" t="s">
        <v>258</v>
      </c>
      <c r="C46" s="439" t="s">
        <v>138</v>
      </c>
      <c r="D46" s="563">
        <v>800</v>
      </c>
      <c r="E46" s="563">
        <v>1425</v>
      </c>
      <c r="F46" s="563">
        <v>1425</v>
      </c>
      <c r="G46" s="893" t="s">
        <v>239</v>
      </c>
      <c r="H46" s="548"/>
    </row>
    <row r="47" spans="1:8" ht="22.5" customHeight="1">
      <c r="A47" s="187"/>
      <c r="B47" s="892" t="s">
        <v>129</v>
      </c>
      <c r="C47" s="439" t="s">
        <v>141</v>
      </c>
      <c r="D47" s="563">
        <v>95</v>
      </c>
      <c r="E47" s="563">
        <v>140</v>
      </c>
      <c r="F47" s="563">
        <v>140</v>
      </c>
      <c r="G47" s="893" t="s">
        <v>239</v>
      </c>
      <c r="H47" s="548"/>
    </row>
    <row r="48" spans="1:8" ht="22.5" customHeight="1">
      <c r="A48" s="187"/>
      <c r="B48" s="892" t="s">
        <v>267</v>
      </c>
      <c r="C48" s="439" t="s">
        <v>141</v>
      </c>
      <c r="D48" s="563">
        <v>425</v>
      </c>
      <c r="E48" s="563">
        <v>775</v>
      </c>
      <c r="F48" s="563">
        <v>775</v>
      </c>
      <c r="G48" s="893" t="s">
        <v>239</v>
      </c>
      <c r="H48" s="548"/>
    </row>
    <row r="49" spans="1:8" ht="22.5" customHeight="1">
      <c r="A49" s="187"/>
      <c r="B49" s="892" t="s">
        <v>269</v>
      </c>
      <c r="C49" s="439" t="s">
        <v>141</v>
      </c>
      <c r="D49" s="563">
        <v>375</v>
      </c>
      <c r="E49" s="563">
        <v>625</v>
      </c>
      <c r="F49" s="563">
        <v>625</v>
      </c>
      <c r="G49" s="894" t="s">
        <v>239</v>
      </c>
      <c r="H49" s="548"/>
    </row>
    <row r="50" spans="1:8" ht="22.5" customHeight="1">
      <c r="A50" s="187"/>
      <c r="B50" s="892" t="s">
        <v>271</v>
      </c>
      <c r="C50" s="439" t="s">
        <v>141</v>
      </c>
      <c r="D50" s="563">
        <v>225</v>
      </c>
      <c r="E50" s="563">
        <v>350</v>
      </c>
      <c r="F50" s="563">
        <v>350</v>
      </c>
      <c r="G50" s="894" t="s">
        <v>239</v>
      </c>
      <c r="H50" s="548"/>
    </row>
    <row r="51" spans="1:8" ht="22.5" customHeight="1">
      <c r="A51" s="187"/>
      <c r="B51" s="892" t="s">
        <v>273</v>
      </c>
      <c r="C51" s="439" t="s">
        <v>141</v>
      </c>
      <c r="D51" s="563">
        <v>225</v>
      </c>
      <c r="E51" s="563">
        <v>375</v>
      </c>
      <c r="F51" s="563">
        <v>375</v>
      </c>
      <c r="G51" s="894" t="s">
        <v>239</v>
      </c>
      <c r="H51" s="548"/>
    </row>
    <row r="52" spans="1:8" ht="22.5" customHeight="1">
      <c r="A52" s="187"/>
      <c r="B52" s="892" t="s">
        <v>274</v>
      </c>
      <c r="C52" s="439" t="s">
        <v>141</v>
      </c>
      <c r="D52" s="563">
        <v>1300</v>
      </c>
      <c r="E52" s="563">
        <v>1675</v>
      </c>
      <c r="F52" s="563">
        <v>1675</v>
      </c>
      <c r="G52" s="894" t="s">
        <v>239</v>
      </c>
      <c r="H52" s="548"/>
    </row>
    <row r="53" spans="1:8" ht="22.5" customHeight="1">
      <c r="A53" s="187"/>
      <c r="B53" s="892" t="s">
        <v>277</v>
      </c>
      <c r="C53" s="439" t="s">
        <v>141</v>
      </c>
      <c r="D53" s="563">
        <v>450</v>
      </c>
      <c r="E53" s="563">
        <v>800</v>
      </c>
      <c r="F53" s="563">
        <v>800</v>
      </c>
      <c r="G53" s="893" t="s">
        <v>239</v>
      </c>
      <c r="H53" s="548"/>
    </row>
    <row r="54" spans="1:8" ht="22.5" customHeight="1">
      <c r="A54" s="187"/>
      <c r="B54" s="892" t="s">
        <v>283</v>
      </c>
      <c r="C54" s="439" t="s">
        <v>141</v>
      </c>
      <c r="D54" s="563">
        <v>275</v>
      </c>
      <c r="E54" s="563">
        <v>425</v>
      </c>
      <c r="F54" s="563">
        <v>425</v>
      </c>
      <c r="G54" s="893" t="s">
        <v>239</v>
      </c>
      <c r="H54" s="548"/>
    </row>
    <row r="55" spans="1:8" ht="22.5" customHeight="1">
      <c r="A55" s="187"/>
      <c r="B55" s="892" t="s">
        <v>287</v>
      </c>
      <c r="C55" s="439" t="s">
        <v>578</v>
      </c>
      <c r="D55" s="563">
        <v>250</v>
      </c>
      <c r="E55" s="563">
        <v>400</v>
      </c>
      <c r="F55" s="563">
        <v>400</v>
      </c>
      <c r="G55" s="893" t="s">
        <v>239</v>
      </c>
      <c r="H55" s="548"/>
    </row>
    <row r="56" spans="1:8" ht="22.5" customHeight="1">
      <c r="A56" s="187"/>
      <c r="B56" s="892" t="s">
        <v>293</v>
      </c>
      <c r="C56" s="439" t="s">
        <v>578</v>
      </c>
      <c r="D56" s="563">
        <v>200</v>
      </c>
      <c r="E56" s="563">
        <v>350</v>
      </c>
      <c r="F56" s="563">
        <v>350</v>
      </c>
      <c r="G56" s="893" t="s">
        <v>239</v>
      </c>
      <c r="H56" s="548"/>
    </row>
    <row r="57" spans="1:8" ht="22.5" customHeight="1">
      <c r="A57" s="187"/>
      <c r="B57" s="892" t="s">
        <v>296</v>
      </c>
      <c r="C57" s="439" t="s">
        <v>137</v>
      </c>
      <c r="D57" s="563">
        <v>275</v>
      </c>
      <c r="E57" s="563">
        <v>475</v>
      </c>
      <c r="F57" s="563">
        <v>475</v>
      </c>
      <c r="G57" s="894" t="s">
        <v>239</v>
      </c>
      <c r="H57" s="548"/>
    </row>
    <row r="58" spans="1:8" ht="22.5" customHeight="1">
      <c r="A58" s="187"/>
      <c r="B58" s="892" t="s">
        <v>298</v>
      </c>
      <c r="C58" s="439" t="s">
        <v>137</v>
      </c>
      <c r="D58" s="563">
        <v>250</v>
      </c>
      <c r="E58" s="563">
        <v>425</v>
      </c>
      <c r="F58" s="563">
        <v>425</v>
      </c>
      <c r="G58" s="893" t="s">
        <v>239</v>
      </c>
      <c r="H58" s="548"/>
    </row>
    <row r="59" spans="1:8" ht="22.5" customHeight="1">
      <c r="A59" s="187"/>
      <c r="B59" s="892" t="s">
        <v>300</v>
      </c>
      <c r="C59" s="439" t="s">
        <v>578</v>
      </c>
      <c r="D59" s="563">
        <v>200</v>
      </c>
      <c r="E59" s="563">
        <v>350</v>
      </c>
      <c r="F59" s="563">
        <v>350</v>
      </c>
      <c r="G59" s="893" t="s">
        <v>239</v>
      </c>
      <c r="H59" s="548"/>
    </row>
    <row r="60" spans="1:8" ht="22.5" customHeight="1">
      <c r="A60" s="187"/>
      <c r="B60" s="892" t="s">
        <v>301</v>
      </c>
      <c r="C60" s="439" t="s">
        <v>578</v>
      </c>
      <c r="D60" s="563">
        <v>275</v>
      </c>
      <c r="E60" s="563">
        <v>400</v>
      </c>
      <c r="F60" s="563">
        <v>400</v>
      </c>
      <c r="G60" s="893" t="s">
        <v>239</v>
      </c>
      <c r="H60" s="548"/>
    </row>
    <row r="61" spans="1:8" ht="22.5" customHeight="1">
      <c r="A61" s="187"/>
      <c r="B61" s="892" t="s">
        <v>305</v>
      </c>
      <c r="C61" s="439" t="s">
        <v>138</v>
      </c>
      <c r="D61" s="563">
        <v>200</v>
      </c>
      <c r="E61" s="563">
        <v>350</v>
      </c>
      <c r="F61" s="563">
        <v>350</v>
      </c>
      <c r="G61" s="893" t="s">
        <v>239</v>
      </c>
      <c r="H61" s="548"/>
    </row>
    <row r="62" spans="1:8" s="9" customFormat="1" ht="22.5" customHeight="1">
      <c r="B62" s="892" t="s">
        <v>308</v>
      </c>
      <c r="C62" s="439" t="s">
        <v>137</v>
      </c>
      <c r="D62" s="563">
        <v>350</v>
      </c>
      <c r="E62" s="563">
        <v>500</v>
      </c>
      <c r="F62" s="563">
        <v>500</v>
      </c>
      <c r="G62" s="894" t="s">
        <v>239</v>
      </c>
      <c r="H62" s="548"/>
    </row>
    <row r="63" spans="1:8" ht="22.5" customHeight="1">
      <c r="A63" s="187"/>
      <c r="B63" s="892" t="s">
        <v>309</v>
      </c>
      <c r="C63" s="439" t="s">
        <v>141</v>
      </c>
      <c r="D63" s="563">
        <v>350</v>
      </c>
      <c r="E63" s="563">
        <v>550</v>
      </c>
      <c r="F63" s="563">
        <v>550</v>
      </c>
      <c r="G63" s="893" t="s">
        <v>239</v>
      </c>
      <c r="H63" s="306"/>
    </row>
    <row r="64" spans="1:8" ht="22.5" customHeight="1">
      <c r="A64" s="187"/>
      <c r="B64" s="892" t="s">
        <v>310</v>
      </c>
      <c r="C64" s="439" t="s">
        <v>578</v>
      </c>
      <c r="D64" s="563">
        <v>250</v>
      </c>
      <c r="E64" s="563">
        <v>375</v>
      </c>
      <c r="F64" s="563">
        <v>375</v>
      </c>
      <c r="G64" s="893" t="s">
        <v>239</v>
      </c>
      <c r="H64" s="548"/>
    </row>
    <row r="65" spans="1:8" ht="22.5" customHeight="1">
      <c r="A65" s="187"/>
      <c r="B65" s="892" t="s">
        <v>147</v>
      </c>
      <c r="C65" s="439" t="s">
        <v>138</v>
      </c>
      <c r="D65" s="563">
        <v>200</v>
      </c>
      <c r="E65" s="563">
        <v>350</v>
      </c>
      <c r="F65" s="563">
        <v>350</v>
      </c>
      <c r="G65" s="894" t="s">
        <v>239</v>
      </c>
      <c r="H65" s="1061" t="s">
        <v>519</v>
      </c>
    </row>
    <row r="66" spans="1:8" ht="22.5" customHeight="1">
      <c r="A66" s="187"/>
      <c r="B66" s="892" t="s">
        <v>134</v>
      </c>
      <c r="C66" s="439" t="s">
        <v>138</v>
      </c>
      <c r="D66" s="563">
        <v>125</v>
      </c>
      <c r="E66" s="563">
        <v>150</v>
      </c>
      <c r="F66" s="563">
        <v>150</v>
      </c>
      <c r="G66" s="893" t="s">
        <v>239</v>
      </c>
      <c r="H66" s="548"/>
    </row>
    <row r="67" spans="1:8" ht="22.5" customHeight="1">
      <c r="A67" s="187"/>
      <c r="B67" s="892" t="s">
        <v>314</v>
      </c>
      <c r="C67" s="439" t="s">
        <v>578</v>
      </c>
      <c r="D67" s="563">
        <v>200</v>
      </c>
      <c r="E67" s="563">
        <v>325</v>
      </c>
      <c r="F67" s="563">
        <v>325</v>
      </c>
      <c r="G67" s="893" t="s">
        <v>239</v>
      </c>
      <c r="H67" s="548"/>
    </row>
    <row r="68" spans="1:8" ht="22.5" customHeight="1">
      <c r="A68" s="187"/>
      <c r="B68" s="892" t="s">
        <v>315</v>
      </c>
      <c r="C68" s="439" t="s">
        <v>578</v>
      </c>
      <c r="D68" s="563">
        <v>250</v>
      </c>
      <c r="E68" s="563">
        <v>350</v>
      </c>
      <c r="F68" s="563">
        <v>350</v>
      </c>
      <c r="G68" s="894" t="s">
        <v>239</v>
      </c>
      <c r="H68" s="548"/>
    </row>
    <row r="69" spans="1:8" ht="22.5" customHeight="1">
      <c r="A69" s="187"/>
      <c r="B69" s="892" t="s">
        <v>316</v>
      </c>
      <c r="C69" s="439" t="s">
        <v>141</v>
      </c>
      <c r="D69" s="563">
        <v>250</v>
      </c>
      <c r="E69" s="563">
        <v>375</v>
      </c>
      <c r="F69" s="563">
        <v>375</v>
      </c>
      <c r="G69" s="893" t="s">
        <v>239</v>
      </c>
      <c r="H69" s="548"/>
    </row>
    <row r="70" spans="1:8" ht="22.5" customHeight="1">
      <c r="A70" s="187"/>
      <c r="B70" s="892" t="s">
        <v>153</v>
      </c>
      <c r="C70" s="439" t="s">
        <v>138</v>
      </c>
      <c r="D70" s="563">
        <v>325</v>
      </c>
      <c r="E70" s="563">
        <v>475</v>
      </c>
      <c r="F70" s="563">
        <v>475</v>
      </c>
      <c r="G70" s="894" t="s">
        <v>239</v>
      </c>
      <c r="H70" s="548"/>
    </row>
    <row r="71" spans="1:8" ht="22.5" customHeight="1">
      <c r="A71" s="187"/>
      <c r="B71" s="892" t="s">
        <v>322</v>
      </c>
      <c r="C71" s="439" t="s">
        <v>578</v>
      </c>
      <c r="D71" s="563">
        <v>200</v>
      </c>
      <c r="E71" s="563">
        <v>300</v>
      </c>
      <c r="F71" s="563">
        <v>300</v>
      </c>
      <c r="G71" s="893" t="s">
        <v>239</v>
      </c>
      <c r="H71" s="548"/>
    </row>
    <row r="72" spans="1:8" ht="22.5" customHeight="1">
      <c r="A72" s="187"/>
      <c r="B72" s="892" t="s">
        <v>324</v>
      </c>
      <c r="C72" s="439" t="s">
        <v>141</v>
      </c>
      <c r="D72" s="563">
        <v>225</v>
      </c>
      <c r="E72" s="563">
        <v>375</v>
      </c>
      <c r="F72" s="563">
        <v>375</v>
      </c>
      <c r="G72" s="893" t="s">
        <v>239</v>
      </c>
      <c r="H72" s="306"/>
    </row>
    <row r="73" spans="1:8" ht="22.5" customHeight="1">
      <c r="A73" s="187"/>
      <c r="B73" s="892" t="s">
        <v>326</v>
      </c>
      <c r="C73" s="439" t="s">
        <v>578</v>
      </c>
      <c r="D73" s="563">
        <v>200</v>
      </c>
      <c r="E73" s="563">
        <v>350</v>
      </c>
      <c r="F73" s="563">
        <v>350</v>
      </c>
      <c r="G73" s="893" t="s">
        <v>239</v>
      </c>
      <c r="H73" s="548"/>
    </row>
    <row r="74" spans="1:8" ht="22.5" customHeight="1">
      <c r="A74" s="187"/>
      <c r="B74" s="892" t="s">
        <v>327</v>
      </c>
      <c r="C74" s="439" t="s">
        <v>141</v>
      </c>
      <c r="D74" s="563">
        <v>200</v>
      </c>
      <c r="E74" s="563">
        <v>325</v>
      </c>
      <c r="F74" s="563">
        <v>325</v>
      </c>
      <c r="G74" s="893" t="s">
        <v>239</v>
      </c>
      <c r="H74" s="548"/>
    </row>
    <row r="75" spans="1:8" ht="22.5" customHeight="1">
      <c r="A75" s="187"/>
      <c r="B75" s="892" t="s">
        <v>328</v>
      </c>
      <c r="C75" s="439" t="s">
        <v>141</v>
      </c>
      <c r="D75" s="563">
        <v>375</v>
      </c>
      <c r="E75" s="563">
        <v>625</v>
      </c>
      <c r="F75" s="563">
        <v>625</v>
      </c>
      <c r="G75" s="893" t="s">
        <v>239</v>
      </c>
      <c r="H75" s="306"/>
    </row>
    <row r="76" spans="1:8" ht="22.5" customHeight="1">
      <c r="A76" s="187"/>
      <c r="B76" s="892" t="s">
        <v>330</v>
      </c>
      <c r="C76" s="439" t="s">
        <v>141</v>
      </c>
      <c r="D76" s="563">
        <v>225</v>
      </c>
      <c r="E76" s="563">
        <v>300</v>
      </c>
      <c r="F76" s="563">
        <v>300</v>
      </c>
      <c r="G76" s="893" t="s">
        <v>239</v>
      </c>
      <c r="H76" s="306"/>
    </row>
    <row r="77" spans="1:8" s="9" customFormat="1" ht="22.5" customHeight="1">
      <c r="B77" s="892" t="s">
        <v>333</v>
      </c>
      <c r="C77" s="439" t="s">
        <v>138</v>
      </c>
      <c r="D77" s="563">
        <v>800</v>
      </c>
      <c r="E77" s="563">
        <v>1425</v>
      </c>
      <c r="F77" s="563">
        <v>1425</v>
      </c>
      <c r="G77" s="894" t="s">
        <v>239</v>
      </c>
      <c r="H77" s="548"/>
    </row>
    <row r="78" spans="1:8" ht="22.5" customHeight="1">
      <c r="A78" s="187"/>
      <c r="B78" s="892" t="s">
        <v>337</v>
      </c>
      <c r="C78" s="439" t="s">
        <v>138</v>
      </c>
      <c r="D78" s="563">
        <v>700</v>
      </c>
      <c r="E78" s="563">
        <v>1225</v>
      </c>
      <c r="F78" s="563">
        <v>1225</v>
      </c>
      <c r="G78" s="893" t="s">
        <v>239</v>
      </c>
      <c r="H78" s="548"/>
    </row>
    <row r="79" spans="1:8" ht="22.5" customHeight="1">
      <c r="A79" s="187"/>
      <c r="B79" s="892" t="s">
        <v>341</v>
      </c>
      <c r="C79" s="439" t="s">
        <v>129</v>
      </c>
      <c r="D79" s="563">
        <v>250</v>
      </c>
      <c r="E79" s="563">
        <v>375</v>
      </c>
      <c r="F79" s="563">
        <v>375</v>
      </c>
      <c r="G79" s="893" t="s">
        <v>239</v>
      </c>
      <c r="H79" s="548"/>
    </row>
    <row r="80" spans="1:8" ht="22.5" customHeight="1">
      <c r="A80" s="187"/>
      <c r="B80" s="892" t="s">
        <v>342</v>
      </c>
      <c r="C80" s="439" t="s">
        <v>138</v>
      </c>
      <c r="D80" s="563">
        <v>1100</v>
      </c>
      <c r="E80" s="563">
        <v>2025</v>
      </c>
      <c r="F80" s="563">
        <v>2025</v>
      </c>
      <c r="G80" s="893" t="s">
        <v>239</v>
      </c>
      <c r="H80" s="1061"/>
    </row>
    <row r="81" spans="1:8" ht="22.5" customHeight="1">
      <c r="A81" s="187"/>
      <c r="B81" s="892" t="s">
        <v>344</v>
      </c>
      <c r="C81" s="439" t="s">
        <v>138</v>
      </c>
      <c r="D81" s="563">
        <v>250</v>
      </c>
      <c r="E81" s="563">
        <v>400</v>
      </c>
      <c r="F81" s="563">
        <v>400</v>
      </c>
      <c r="G81" s="893" t="s">
        <v>239</v>
      </c>
      <c r="H81" s="548"/>
    </row>
    <row r="82" spans="1:8" ht="22.5" customHeight="1">
      <c r="A82" s="187"/>
      <c r="B82" s="892" t="s">
        <v>345</v>
      </c>
      <c r="C82" s="439" t="s">
        <v>138</v>
      </c>
      <c r="D82" s="563">
        <v>300</v>
      </c>
      <c r="E82" s="563">
        <v>445</v>
      </c>
      <c r="F82" s="563">
        <v>445</v>
      </c>
      <c r="G82" s="893" t="s">
        <v>239</v>
      </c>
      <c r="H82" s="548"/>
    </row>
    <row r="83" spans="1:8" ht="22.5" customHeight="1">
      <c r="A83" s="187"/>
      <c r="B83" s="892" t="s">
        <v>347</v>
      </c>
      <c r="C83" s="439" t="s">
        <v>578</v>
      </c>
      <c r="D83" s="563">
        <v>275</v>
      </c>
      <c r="E83" s="563">
        <v>425</v>
      </c>
      <c r="F83" s="563">
        <v>425</v>
      </c>
      <c r="G83" s="893" t="s">
        <v>239</v>
      </c>
      <c r="H83" s="548"/>
    </row>
    <row r="84" spans="1:8" ht="22.5" customHeight="1">
      <c r="A84" s="187"/>
      <c r="B84" s="892" t="s">
        <v>348</v>
      </c>
      <c r="C84" s="439" t="s">
        <v>578</v>
      </c>
      <c r="D84" s="563">
        <v>325</v>
      </c>
      <c r="E84" s="563">
        <v>450</v>
      </c>
      <c r="F84" s="563">
        <v>450</v>
      </c>
      <c r="G84" s="894" t="s">
        <v>239</v>
      </c>
      <c r="H84" s="548"/>
    </row>
    <row r="85" spans="1:8" ht="22.5" customHeight="1">
      <c r="A85" s="187"/>
      <c r="B85" s="892" t="s">
        <v>349</v>
      </c>
      <c r="C85" s="439" t="s">
        <v>168</v>
      </c>
      <c r="D85" s="563">
        <v>325</v>
      </c>
      <c r="E85" s="563">
        <v>575</v>
      </c>
      <c r="F85" s="563">
        <v>575</v>
      </c>
      <c r="G85" s="893" t="s">
        <v>239</v>
      </c>
      <c r="H85" s="548"/>
    </row>
    <row r="86" spans="1:8" ht="22.5" customHeight="1">
      <c r="A86" s="187"/>
      <c r="B86" s="892" t="s">
        <v>352</v>
      </c>
      <c r="C86" s="439" t="s">
        <v>141</v>
      </c>
      <c r="D86" s="563">
        <v>575</v>
      </c>
      <c r="E86" s="563">
        <v>1000</v>
      </c>
      <c r="F86" s="563">
        <v>1000</v>
      </c>
      <c r="G86" s="893" t="s">
        <v>239</v>
      </c>
      <c r="H86" s="548"/>
    </row>
    <row r="87" spans="1:8" ht="22.5" customHeight="1">
      <c r="A87" s="187"/>
      <c r="B87" s="892" t="s">
        <v>355</v>
      </c>
      <c r="C87" s="439" t="s">
        <v>141</v>
      </c>
      <c r="D87" s="563">
        <v>250</v>
      </c>
      <c r="E87" s="563">
        <v>400</v>
      </c>
      <c r="F87" s="563">
        <v>400</v>
      </c>
      <c r="G87" s="893" t="s">
        <v>239</v>
      </c>
      <c r="H87" s="548"/>
    </row>
    <row r="88" spans="1:8" ht="22.5" customHeight="1">
      <c r="A88" s="187"/>
      <c r="B88" s="892" t="s">
        <v>362</v>
      </c>
      <c r="C88" s="439" t="s">
        <v>137</v>
      </c>
      <c r="D88" s="563">
        <v>250</v>
      </c>
      <c r="E88" s="563">
        <v>425</v>
      </c>
      <c r="F88" s="563">
        <v>425</v>
      </c>
      <c r="G88" s="894" t="s">
        <v>239</v>
      </c>
      <c r="H88" s="548"/>
    </row>
    <row r="89" spans="1:8" ht="22.5" customHeight="1">
      <c r="A89" s="187"/>
      <c r="B89" s="892" t="s">
        <v>365</v>
      </c>
      <c r="C89" s="439" t="s">
        <v>138</v>
      </c>
      <c r="D89" s="563">
        <v>850</v>
      </c>
      <c r="E89" s="563">
        <v>1525</v>
      </c>
      <c r="F89" s="563">
        <v>1525</v>
      </c>
      <c r="G89" s="893" t="s">
        <v>239</v>
      </c>
      <c r="H89" s="548"/>
    </row>
    <row r="90" spans="1:8" ht="22.5" customHeight="1">
      <c r="A90" s="187"/>
      <c r="B90" s="892" t="s">
        <v>371</v>
      </c>
      <c r="C90" s="439" t="s">
        <v>141</v>
      </c>
      <c r="D90" s="563">
        <v>350</v>
      </c>
      <c r="E90" s="563">
        <v>600</v>
      </c>
      <c r="F90" s="563">
        <v>600</v>
      </c>
      <c r="G90" s="893" t="s">
        <v>239</v>
      </c>
      <c r="H90" s="548"/>
    </row>
    <row r="91" spans="1:8" ht="22.5" customHeight="1">
      <c r="A91" s="187"/>
      <c r="B91" s="892" t="s">
        <v>372</v>
      </c>
      <c r="C91" s="439" t="s">
        <v>578</v>
      </c>
      <c r="D91" s="563">
        <v>300</v>
      </c>
      <c r="E91" s="563">
        <v>425</v>
      </c>
      <c r="F91" s="563">
        <v>425</v>
      </c>
      <c r="G91" s="893" t="s">
        <v>239</v>
      </c>
      <c r="H91" s="548"/>
    </row>
    <row r="92" spans="1:8" ht="22.5" customHeight="1">
      <c r="A92" s="187"/>
      <c r="B92" s="892" t="s">
        <v>373</v>
      </c>
      <c r="C92" s="439" t="s">
        <v>168</v>
      </c>
      <c r="D92" s="563">
        <v>225</v>
      </c>
      <c r="E92" s="563">
        <v>350</v>
      </c>
      <c r="F92" s="563">
        <v>350</v>
      </c>
      <c r="G92" s="893" t="s">
        <v>239</v>
      </c>
      <c r="H92" s="548"/>
    </row>
    <row r="93" spans="1:8" ht="22.5" customHeight="1">
      <c r="A93" s="187"/>
      <c r="B93" s="892" t="s">
        <v>136</v>
      </c>
      <c r="C93" s="439" t="s">
        <v>138</v>
      </c>
      <c r="D93" s="563">
        <v>125</v>
      </c>
      <c r="E93" s="563">
        <v>150</v>
      </c>
      <c r="F93" s="563">
        <v>150</v>
      </c>
      <c r="G93" s="893" t="s">
        <v>239</v>
      </c>
      <c r="H93" s="548"/>
    </row>
    <row r="94" spans="1:8" ht="22.5" customHeight="1">
      <c r="A94" s="187"/>
      <c r="B94" s="892" t="s">
        <v>375</v>
      </c>
      <c r="C94" s="439" t="s">
        <v>141</v>
      </c>
      <c r="D94" s="563">
        <v>225</v>
      </c>
      <c r="E94" s="563">
        <v>350</v>
      </c>
      <c r="F94" s="563">
        <v>350</v>
      </c>
      <c r="G94" s="893" t="s">
        <v>239</v>
      </c>
      <c r="H94" s="548"/>
    </row>
    <row r="95" spans="1:8" ht="22.5" customHeight="1">
      <c r="A95" s="187"/>
      <c r="B95" s="892" t="s">
        <v>375</v>
      </c>
      <c r="C95" s="439" t="s">
        <v>137</v>
      </c>
      <c r="D95" s="563">
        <v>225</v>
      </c>
      <c r="E95" s="563">
        <v>350</v>
      </c>
      <c r="F95" s="563">
        <v>350</v>
      </c>
      <c r="G95" s="894" t="s">
        <v>239</v>
      </c>
      <c r="H95" s="548"/>
    </row>
    <row r="96" spans="1:8" ht="22.5" customHeight="1">
      <c r="A96" s="187"/>
      <c r="B96" s="892" t="s">
        <v>381</v>
      </c>
      <c r="C96" s="439" t="s">
        <v>578</v>
      </c>
      <c r="D96" s="563">
        <v>175</v>
      </c>
      <c r="E96" s="563">
        <v>300</v>
      </c>
      <c r="F96" s="563">
        <v>300</v>
      </c>
      <c r="G96" s="894" t="s">
        <v>239</v>
      </c>
      <c r="H96" s="548"/>
    </row>
    <row r="97" spans="1:8" ht="22.5" customHeight="1">
      <c r="A97" s="187"/>
      <c r="B97" s="892" t="s">
        <v>382</v>
      </c>
      <c r="C97" s="439" t="s">
        <v>138</v>
      </c>
      <c r="D97" s="563">
        <v>250</v>
      </c>
      <c r="E97" s="563">
        <v>375</v>
      </c>
      <c r="F97" s="563">
        <v>375</v>
      </c>
      <c r="G97" s="893" t="s">
        <v>239</v>
      </c>
      <c r="H97" s="548"/>
    </row>
    <row r="98" spans="1:8" ht="22.5" customHeight="1">
      <c r="A98" s="187"/>
      <c r="B98" s="892" t="s">
        <v>386</v>
      </c>
      <c r="C98" s="439" t="s">
        <v>138</v>
      </c>
      <c r="D98" s="563">
        <v>275</v>
      </c>
      <c r="E98" s="563">
        <v>400</v>
      </c>
      <c r="F98" s="563">
        <v>400</v>
      </c>
      <c r="G98" s="894" t="s">
        <v>239</v>
      </c>
      <c r="H98" s="548"/>
    </row>
    <row r="99" spans="1:8" ht="22.5" customHeight="1">
      <c r="A99" s="187"/>
      <c r="B99" s="892" t="s">
        <v>390</v>
      </c>
      <c r="C99" s="439" t="s">
        <v>138</v>
      </c>
      <c r="D99" s="563">
        <v>350</v>
      </c>
      <c r="E99" s="563">
        <v>575</v>
      </c>
      <c r="F99" s="563">
        <v>575</v>
      </c>
      <c r="G99" s="894" t="s">
        <v>239</v>
      </c>
      <c r="H99" s="548"/>
    </row>
    <row r="100" spans="1:8" ht="22.5" customHeight="1">
      <c r="A100" s="187"/>
      <c r="B100" s="892" t="s">
        <v>394</v>
      </c>
      <c r="C100" s="439" t="s">
        <v>141</v>
      </c>
      <c r="D100" s="563">
        <v>225</v>
      </c>
      <c r="E100" s="563">
        <v>375</v>
      </c>
      <c r="F100" s="563">
        <v>375</v>
      </c>
      <c r="G100" s="893" t="s">
        <v>239</v>
      </c>
      <c r="H100" s="548"/>
    </row>
    <row r="101" spans="1:8" ht="22.5" customHeight="1">
      <c r="A101" s="187"/>
      <c r="B101" s="892" t="s">
        <v>396</v>
      </c>
      <c r="C101" s="439" t="s">
        <v>138</v>
      </c>
      <c r="D101" s="563">
        <v>900</v>
      </c>
      <c r="E101" s="563">
        <v>1625</v>
      </c>
      <c r="F101" s="563">
        <v>1625</v>
      </c>
      <c r="G101" s="894" t="s">
        <v>239</v>
      </c>
      <c r="H101" s="548"/>
    </row>
    <row r="102" spans="1:8" ht="22.5" customHeight="1">
      <c r="A102" s="187"/>
      <c r="B102" s="892" t="s">
        <v>593</v>
      </c>
      <c r="C102" s="439" t="s">
        <v>578</v>
      </c>
      <c r="D102" s="563">
        <v>200</v>
      </c>
      <c r="E102" s="563">
        <v>350</v>
      </c>
      <c r="F102" s="563">
        <v>350</v>
      </c>
      <c r="G102" s="893" t="s">
        <v>239</v>
      </c>
      <c r="H102" s="548"/>
    </row>
    <row r="103" spans="1:8" ht="22.5" customHeight="1">
      <c r="A103" s="187"/>
      <c r="B103" s="892" t="s">
        <v>397</v>
      </c>
      <c r="C103" s="439" t="s">
        <v>578</v>
      </c>
      <c r="D103" s="563">
        <v>300</v>
      </c>
      <c r="E103" s="563">
        <v>425</v>
      </c>
      <c r="F103" s="563">
        <v>425</v>
      </c>
      <c r="G103" s="893" t="s">
        <v>239</v>
      </c>
      <c r="H103" s="548"/>
    </row>
    <row r="104" spans="1:8" ht="22.5" customHeight="1">
      <c r="A104" s="187"/>
      <c r="B104" s="892" t="s">
        <v>400</v>
      </c>
      <c r="C104" s="439" t="s">
        <v>138</v>
      </c>
      <c r="D104" s="563">
        <v>400</v>
      </c>
      <c r="E104" s="563">
        <v>475</v>
      </c>
      <c r="F104" s="563">
        <v>475</v>
      </c>
      <c r="G104" s="893" t="s">
        <v>239</v>
      </c>
      <c r="H104" s="548"/>
    </row>
    <row r="105" spans="1:8" ht="22.5" customHeight="1">
      <c r="A105" s="187"/>
      <c r="B105" s="892" t="s">
        <v>404</v>
      </c>
      <c r="C105" s="439" t="s">
        <v>141</v>
      </c>
      <c r="D105" s="563">
        <v>350</v>
      </c>
      <c r="E105" s="563">
        <v>625</v>
      </c>
      <c r="F105" s="563">
        <v>625</v>
      </c>
      <c r="G105" s="893" t="s">
        <v>239</v>
      </c>
      <c r="H105" s="548"/>
    </row>
    <row r="106" spans="1:8" ht="22.5" customHeight="1">
      <c r="A106" s="187"/>
      <c r="B106" s="892" t="s">
        <v>405</v>
      </c>
      <c r="C106" s="439" t="s">
        <v>578</v>
      </c>
      <c r="D106" s="563">
        <v>275</v>
      </c>
      <c r="E106" s="563">
        <v>425</v>
      </c>
      <c r="F106" s="563">
        <v>425</v>
      </c>
      <c r="G106" s="894" t="s">
        <v>239</v>
      </c>
      <c r="H106" s="548"/>
    </row>
    <row r="107" spans="1:8" ht="22.5" customHeight="1">
      <c r="A107" s="187"/>
      <c r="B107" s="892" t="s">
        <v>407</v>
      </c>
      <c r="C107" s="439" t="s">
        <v>578</v>
      </c>
      <c r="D107" s="563">
        <v>275</v>
      </c>
      <c r="E107" s="563">
        <v>400</v>
      </c>
      <c r="F107" s="563">
        <v>400</v>
      </c>
      <c r="G107" s="893" t="s">
        <v>239</v>
      </c>
      <c r="H107" s="548"/>
    </row>
    <row r="108" spans="1:8" ht="22.5" customHeight="1">
      <c r="A108" s="187"/>
      <c r="B108" s="892" t="s">
        <v>409</v>
      </c>
      <c r="C108" s="439" t="s">
        <v>138</v>
      </c>
      <c r="D108" s="563">
        <v>800</v>
      </c>
      <c r="E108" s="563">
        <v>1425</v>
      </c>
      <c r="F108" s="563">
        <v>1425</v>
      </c>
      <c r="G108" s="893" t="s">
        <v>239</v>
      </c>
      <c r="H108" s="548"/>
    </row>
    <row r="109" spans="1:8" ht="22.5" customHeight="1">
      <c r="A109" s="187"/>
      <c r="B109" s="892" t="s">
        <v>410</v>
      </c>
      <c r="C109" s="439" t="s">
        <v>138</v>
      </c>
      <c r="D109" s="563">
        <v>475</v>
      </c>
      <c r="E109" s="563">
        <v>825</v>
      </c>
      <c r="F109" s="563">
        <v>825</v>
      </c>
      <c r="G109" s="893" t="s">
        <v>239</v>
      </c>
      <c r="H109" s="548"/>
    </row>
    <row r="110" spans="1:8" ht="22.5" customHeight="1">
      <c r="A110" s="187"/>
      <c r="B110" s="892" t="s">
        <v>142</v>
      </c>
      <c r="C110" s="439" t="s">
        <v>138</v>
      </c>
      <c r="D110" s="563">
        <v>125</v>
      </c>
      <c r="E110" s="563">
        <v>150</v>
      </c>
      <c r="F110" s="563">
        <v>150</v>
      </c>
      <c r="G110" s="894" t="s">
        <v>239</v>
      </c>
      <c r="H110" s="548"/>
    </row>
    <row r="111" spans="1:8" ht="22.5" customHeight="1">
      <c r="A111" s="187"/>
      <c r="B111" s="892" t="s">
        <v>412</v>
      </c>
      <c r="C111" s="439" t="s">
        <v>138</v>
      </c>
      <c r="D111" s="563">
        <v>400</v>
      </c>
      <c r="E111" s="563">
        <v>475</v>
      </c>
      <c r="F111" s="563">
        <v>475</v>
      </c>
      <c r="G111" s="894" t="s">
        <v>239</v>
      </c>
      <c r="H111" s="548"/>
    </row>
    <row r="112" spans="1:8" ht="22.5" customHeight="1">
      <c r="A112" s="187"/>
      <c r="B112" s="892" t="s">
        <v>413</v>
      </c>
      <c r="C112" s="439" t="s">
        <v>168</v>
      </c>
      <c r="D112" s="563">
        <v>225</v>
      </c>
      <c r="E112" s="563">
        <v>375</v>
      </c>
      <c r="F112" s="563">
        <v>375</v>
      </c>
      <c r="G112" s="894" t="s">
        <v>239</v>
      </c>
      <c r="H112" s="548"/>
    </row>
    <row r="113" spans="1:8" ht="22.5" customHeight="1">
      <c r="A113" s="187"/>
      <c r="B113" s="892" t="s">
        <v>414</v>
      </c>
      <c r="C113" s="439" t="s">
        <v>138</v>
      </c>
      <c r="D113" s="563">
        <v>200</v>
      </c>
      <c r="E113" s="563">
        <v>325</v>
      </c>
      <c r="F113" s="563">
        <v>325</v>
      </c>
      <c r="G113" s="893" t="s">
        <v>239</v>
      </c>
      <c r="H113" s="548"/>
    </row>
    <row r="114" spans="1:8" ht="22.5" customHeight="1">
      <c r="A114" s="187"/>
      <c r="B114" s="892" t="s">
        <v>415</v>
      </c>
      <c r="C114" s="439" t="s">
        <v>141</v>
      </c>
      <c r="D114" s="563">
        <v>225</v>
      </c>
      <c r="E114" s="563">
        <v>375</v>
      </c>
      <c r="F114" s="563">
        <v>375</v>
      </c>
      <c r="G114" s="894" t="s">
        <v>239</v>
      </c>
      <c r="H114" s="548"/>
    </row>
    <row r="115" spans="1:8" ht="22.5" customHeight="1">
      <c r="A115" s="187"/>
      <c r="B115" s="892" t="s">
        <v>417</v>
      </c>
      <c r="C115" s="439" t="s">
        <v>138</v>
      </c>
      <c r="D115" s="563">
        <v>200</v>
      </c>
      <c r="E115" s="563">
        <v>375</v>
      </c>
      <c r="F115" s="563">
        <v>375</v>
      </c>
      <c r="G115" s="894" t="s">
        <v>239</v>
      </c>
      <c r="H115" s="548"/>
    </row>
    <row r="116" spans="1:8" ht="22.5" customHeight="1">
      <c r="A116" s="187"/>
      <c r="B116" s="892" t="s">
        <v>420</v>
      </c>
      <c r="C116" s="439" t="s">
        <v>138</v>
      </c>
      <c r="D116" s="563">
        <v>900</v>
      </c>
      <c r="E116" s="563">
        <v>1625</v>
      </c>
      <c r="F116" s="563">
        <v>1625</v>
      </c>
      <c r="G116" s="893" t="s">
        <v>239</v>
      </c>
      <c r="H116" s="548"/>
    </row>
    <row r="117" spans="1:8" ht="22.5" customHeight="1">
      <c r="A117" s="187"/>
      <c r="B117" s="892" t="s">
        <v>425</v>
      </c>
      <c r="C117" s="439" t="s">
        <v>141</v>
      </c>
      <c r="D117" s="563">
        <v>250</v>
      </c>
      <c r="E117" s="563">
        <v>375</v>
      </c>
      <c r="F117" s="563">
        <v>375</v>
      </c>
      <c r="G117" s="894" t="s">
        <v>239</v>
      </c>
      <c r="H117" s="548"/>
    </row>
    <row r="118" spans="1:8" ht="22.5" customHeight="1">
      <c r="A118" s="187"/>
      <c r="B118" s="892" t="s">
        <v>429</v>
      </c>
      <c r="C118" s="439" t="s">
        <v>138</v>
      </c>
      <c r="D118" s="563">
        <v>125</v>
      </c>
      <c r="E118" s="563">
        <v>150</v>
      </c>
      <c r="F118" s="563">
        <v>150</v>
      </c>
      <c r="G118" s="893" t="s">
        <v>239</v>
      </c>
      <c r="H118" s="548"/>
    </row>
    <row r="119" spans="1:8" ht="22.5" customHeight="1">
      <c r="A119" s="187"/>
      <c r="B119" s="892" t="s">
        <v>433</v>
      </c>
      <c r="C119" s="439" t="s">
        <v>137</v>
      </c>
      <c r="D119" s="563">
        <v>250</v>
      </c>
      <c r="E119" s="563">
        <v>425</v>
      </c>
      <c r="F119" s="563">
        <v>425</v>
      </c>
      <c r="G119" s="894" t="s">
        <v>239</v>
      </c>
      <c r="H119" s="548"/>
    </row>
    <row r="120" spans="1:8" ht="22.5" customHeight="1">
      <c r="A120" s="187"/>
      <c r="B120" s="892" t="s">
        <v>435</v>
      </c>
      <c r="C120" s="439" t="s">
        <v>141</v>
      </c>
      <c r="D120" s="563">
        <v>250</v>
      </c>
      <c r="E120" s="563">
        <v>375</v>
      </c>
      <c r="F120" s="563">
        <v>375</v>
      </c>
      <c r="G120" s="893" t="s">
        <v>239</v>
      </c>
      <c r="H120" s="548"/>
    </row>
    <row r="121" spans="1:8" ht="22.5" customHeight="1">
      <c r="A121" s="187"/>
      <c r="B121" s="892" t="s">
        <v>437</v>
      </c>
      <c r="C121" s="439" t="s">
        <v>141</v>
      </c>
      <c r="D121" s="563">
        <v>300</v>
      </c>
      <c r="E121" s="563">
        <v>425</v>
      </c>
      <c r="F121" s="563">
        <v>425</v>
      </c>
      <c r="G121" s="894" t="s">
        <v>239</v>
      </c>
      <c r="H121" s="548"/>
    </row>
    <row r="122" spans="1:8" ht="22.5" customHeight="1">
      <c r="A122" s="187"/>
      <c r="B122" s="892" t="s">
        <v>144</v>
      </c>
      <c r="C122" s="439" t="s">
        <v>138</v>
      </c>
      <c r="D122" s="563">
        <v>125</v>
      </c>
      <c r="E122" s="563">
        <v>150</v>
      </c>
      <c r="F122" s="563">
        <v>150</v>
      </c>
      <c r="G122" s="893" t="s">
        <v>239</v>
      </c>
      <c r="H122" s="548"/>
    </row>
    <row r="123" spans="1:8" ht="22.5" customHeight="1">
      <c r="A123" s="187"/>
      <c r="B123" s="892" t="s">
        <v>441</v>
      </c>
      <c r="C123" s="439" t="s">
        <v>578</v>
      </c>
      <c r="D123" s="563">
        <v>225</v>
      </c>
      <c r="E123" s="563">
        <v>375</v>
      </c>
      <c r="F123" s="563">
        <v>375</v>
      </c>
      <c r="G123" s="893" t="s">
        <v>239</v>
      </c>
      <c r="H123" s="548"/>
    </row>
    <row r="124" spans="1:8" ht="22.5" customHeight="1">
      <c r="A124" s="187"/>
      <c r="B124" s="892" t="s">
        <v>445</v>
      </c>
      <c r="C124" s="439" t="s">
        <v>578</v>
      </c>
      <c r="D124" s="563">
        <v>225</v>
      </c>
      <c r="E124" s="563">
        <v>300</v>
      </c>
      <c r="F124" s="563">
        <v>300</v>
      </c>
      <c r="G124" s="893" t="s">
        <v>239</v>
      </c>
      <c r="H124" s="548"/>
    </row>
    <row r="125" spans="1:8" ht="22.5" customHeight="1">
      <c r="A125" s="187"/>
      <c r="B125" s="892" t="s">
        <v>446</v>
      </c>
      <c r="C125" s="439" t="s">
        <v>578</v>
      </c>
      <c r="D125" s="563">
        <v>275</v>
      </c>
      <c r="E125" s="563">
        <v>400</v>
      </c>
      <c r="F125" s="563">
        <v>400</v>
      </c>
      <c r="G125" s="893" t="s">
        <v>239</v>
      </c>
    </row>
    <row r="126" spans="1:8" ht="22.5" customHeight="1">
      <c r="A126" s="187"/>
      <c r="B126" s="892" t="s">
        <v>447</v>
      </c>
      <c r="C126" s="439" t="s">
        <v>578</v>
      </c>
      <c r="D126" s="563">
        <v>225</v>
      </c>
      <c r="E126" s="563">
        <v>325</v>
      </c>
      <c r="F126" s="563">
        <v>325</v>
      </c>
      <c r="G126" s="893" t="s">
        <v>239</v>
      </c>
    </row>
    <row r="127" spans="1:8" ht="22.5" customHeight="1">
      <c r="A127" s="187"/>
      <c r="B127" s="892" t="s">
        <v>448</v>
      </c>
      <c r="C127" s="439" t="s">
        <v>138</v>
      </c>
      <c r="D127" s="563">
        <v>500</v>
      </c>
      <c r="E127" s="563">
        <v>975</v>
      </c>
      <c r="F127" s="563">
        <v>975</v>
      </c>
      <c r="G127" s="893" t="s">
        <v>239</v>
      </c>
    </row>
    <row r="128" spans="1:8" ht="22.5" customHeight="1">
      <c r="A128" s="187"/>
      <c r="B128" s="892" t="s">
        <v>452</v>
      </c>
      <c r="C128" s="439" t="s">
        <v>141</v>
      </c>
      <c r="D128" s="563">
        <v>225</v>
      </c>
      <c r="E128" s="563">
        <v>375</v>
      </c>
      <c r="F128" s="563">
        <v>375</v>
      </c>
      <c r="G128" s="893" t="s">
        <v>239</v>
      </c>
    </row>
    <row r="129" spans="1:8" ht="22.5" customHeight="1">
      <c r="A129" s="187"/>
      <c r="B129" s="892" t="s">
        <v>455</v>
      </c>
      <c r="C129" s="439" t="s">
        <v>141</v>
      </c>
      <c r="D129" s="563">
        <v>600</v>
      </c>
      <c r="E129" s="563">
        <v>1025</v>
      </c>
      <c r="F129" s="563">
        <v>1025</v>
      </c>
      <c r="G129" s="893" t="s">
        <v>239</v>
      </c>
    </row>
    <row r="130" spans="1:8" ht="22.5" customHeight="1">
      <c r="A130" s="187"/>
      <c r="B130" s="892" t="s">
        <v>456</v>
      </c>
      <c r="C130" s="439" t="s">
        <v>141</v>
      </c>
      <c r="D130" s="563">
        <v>400</v>
      </c>
      <c r="E130" s="563">
        <v>675</v>
      </c>
      <c r="F130" s="563">
        <v>675</v>
      </c>
      <c r="G130" s="894" t="s">
        <v>239</v>
      </c>
      <c r="H130" s="33"/>
    </row>
    <row r="131" spans="1:8" ht="22.5" customHeight="1">
      <c r="A131" s="187"/>
      <c r="B131" s="892" t="s">
        <v>459</v>
      </c>
      <c r="C131" s="439" t="s">
        <v>141</v>
      </c>
      <c r="D131" s="563">
        <v>350</v>
      </c>
      <c r="E131" s="563">
        <v>625</v>
      </c>
      <c r="F131" s="563">
        <v>625</v>
      </c>
      <c r="G131" s="893" t="s">
        <v>239</v>
      </c>
      <c r="H131" s="33"/>
    </row>
    <row r="132" spans="1:8" ht="22.5" customHeight="1">
      <c r="A132" s="187"/>
      <c r="B132" s="892" t="s">
        <v>460</v>
      </c>
      <c r="C132" s="439" t="s">
        <v>578</v>
      </c>
      <c r="D132" s="563">
        <v>200</v>
      </c>
      <c r="E132" s="563">
        <v>350</v>
      </c>
      <c r="F132" s="563">
        <v>350</v>
      </c>
      <c r="G132" s="893" t="s">
        <v>239</v>
      </c>
      <c r="H132" s="33"/>
    </row>
    <row r="133" spans="1:8" ht="22.5" customHeight="1">
      <c r="A133" s="187"/>
      <c r="B133" s="892" t="s">
        <v>461</v>
      </c>
      <c r="C133" s="439" t="s">
        <v>168</v>
      </c>
      <c r="D133" s="563">
        <v>275</v>
      </c>
      <c r="E133" s="563">
        <v>450</v>
      </c>
      <c r="F133" s="563">
        <v>450</v>
      </c>
      <c r="G133" s="893" t="s">
        <v>239</v>
      </c>
    </row>
    <row r="134" spans="1:8" ht="22.5" customHeight="1">
      <c r="A134" s="187"/>
      <c r="B134" s="892" t="s">
        <v>594</v>
      </c>
      <c r="C134" s="439" t="s">
        <v>578</v>
      </c>
      <c r="D134" s="563">
        <v>200</v>
      </c>
      <c r="E134" s="563">
        <v>350</v>
      </c>
      <c r="F134" s="563">
        <v>350</v>
      </c>
      <c r="G134" s="894" t="s">
        <v>239</v>
      </c>
    </row>
    <row r="135" spans="1:8" ht="22.5" customHeight="1">
      <c r="A135" s="187"/>
      <c r="B135" s="892" t="s">
        <v>463</v>
      </c>
      <c r="C135" s="439" t="s">
        <v>137</v>
      </c>
      <c r="D135" s="563">
        <v>225</v>
      </c>
      <c r="E135" s="563">
        <v>350</v>
      </c>
      <c r="F135" s="563">
        <v>350</v>
      </c>
      <c r="G135" s="894" t="s">
        <v>239</v>
      </c>
    </row>
    <row r="136" spans="1:8" ht="22.5" customHeight="1">
      <c r="A136" s="187"/>
      <c r="B136" s="892" t="s">
        <v>467</v>
      </c>
      <c r="C136" s="439" t="s">
        <v>168</v>
      </c>
      <c r="D136" s="563">
        <v>275</v>
      </c>
      <c r="E136" s="563">
        <v>450</v>
      </c>
      <c r="F136" s="563">
        <v>450</v>
      </c>
      <c r="G136" s="894" t="s">
        <v>239</v>
      </c>
    </row>
    <row r="137" spans="1:8" ht="22.5" customHeight="1">
      <c r="A137" s="187"/>
      <c r="B137" s="892" t="s">
        <v>468</v>
      </c>
      <c r="C137" s="439" t="s">
        <v>578</v>
      </c>
      <c r="D137" s="563">
        <v>225</v>
      </c>
      <c r="E137" s="563">
        <v>325</v>
      </c>
      <c r="F137" s="563">
        <v>325</v>
      </c>
      <c r="G137" s="893" t="s">
        <v>239</v>
      </c>
    </row>
    <row r="138" spans="1:8" ht="22.5" customHeight="1">
      <c r="A138" s="187"/>
      <c r="B138" s="892" t="s">
        <v>469</v>
      </c>
      <c r="C138" s="439" t="s">
        <v>578</v>
      </c>
      <c r="D138" s="563">
        <v>275</v>
      </c>
      <c r="E138" s="563">
        <v>425</v>
      </c>
      <c r="F138" s="563">
        <v>425</v>
      </c>
      <c r="G138" s="893" t="s">
        <v>239</v>
      </c>
    </row>
    <row r="139" spans="1:8">
      <c r="G139" s="187"/>
    </row>
    <row r="140" spans="1:8">
      <c r="B140" s="274" t="s">
        <v>527</v>
      </c>
      <c r="C140" s="104"/>
      <c r="D140" s="33"/>
      <c r="E140" s="33"/>
      <c r="F140" s="33"/>
    </row>
    <row r="141" spans="1:8">
      <c r="B141" s="191"/>
      <c r="C141" s="104"/>
      <c r="D141" s="33"/>
      <c r="E141" s="33"/>
      <c r="F141" s="33"/>
    </row>
    <row r="142" spans="1:8">
      <c r="B142" s="343" t="s">
        <v>617</v>
      </c>
      <c r="C142" s="40" t="s">
        <v>618</v>
      </c>
      <c r="D142" s="185"/>
      <c r="E142" s="185"/>
      <c r="F142" s="33"/>
    </row>
    <row r="143" spans="1:8">
      <c r="B143" s="104" t="s">
        <v>619</v>
      </c>
      <c r="C143" s="40" t="s">
        <v>620</v>
      </c>
      <c r="D143" s="155"/>
      <c r="E143" s="210"/>
      <c r="F143" s="210"/>
    </row>
    <row r="144" spans="1:8">
      <c r="B144" s="104"/>
      <c r="C144" s="40"/>
      <c r="D144" s="203"/>
      <c r="E144" s="103"/>
      <c r="F144" s="103"/>
    </row>
    <row r="145" spans="2:6">
      <c r="B145" s="104" t="s">
        <v>621</v>
      </c>
      <c r="C145" s="40" t="s">
        <v>622</v>
      </c>
      <c r="D145" s="155"/>
      <c r="E145" s="210"/>
      <c r="F145" s="210"/>
    </row>
    <row r="146" spans="2:6">
      <c r="B146" s="104" t="s">
        <v>623</v>
      </c>
      <c r="C146" s="40" t="s">
        <v>624</v>
      </c>
      <c r="D146" s="103"/>
      <c r="E146" s="895"/>
      <c r="F146" s="895"/>
    </row>
    <row r="147" spans="2:6">
      <c r="B147" s="104" t="s">
        <v>625</v>
      </c>
      <c r="C147" s="40" t="s">
        <v>626</v>
      </c>
      <c r="D147" s="203"/>
    </row>
    <row r="148" spans="2:6">
      <c r="B148" s="104" t="s">
        <v>627</v>
      </c>
      <c r="C148" s="40" t="s">
        <v>628</v>
      </c>
      <c r="D148" s="203"/>
    </row>
    <row r="149" spans="2:6">
      <c r="B149" s="104" t="s">
        <v>528</v>
      </c>
      <c r="C149" s="40" t="s">
        <v>529</v>
      </c>
      <c r="D149" s="203"/>
    </row>
    <row r="150" spans="2:6">
      <c r="B150" s="104" t="s">
        <v>629</v>
      </c>
      <c r="C150" s="40" t="s">
        <v>630</v>
      </c>
      <c r="D150" s="187"/>
    </row>
    <row r="151" spans="2:6">
      <c r="B151" s="104" t="s">
        <v>631</v>
      </c>
      <c r="C151" s="40" t="s">
        <v>632</v>
      </c>
      <c r="D151" s="187"/>
    </row>
    <row r="152" spans="2:6">
      <c r="B152" s="93" t="s">
        <v>534</v>
      </c>
      <c r="C152" s="40" t="s">
        <v>535</v>
      </c>
      <c r="D152" s="187"/>
    </row>
    <row r="153" spans="2:6">
      <c r="B153" s="104" t="s">
        <v>536</v>
      </c>
      <c r="C153" s="40" t="s">
        <v>537</v>
      </c>
      <c r="D153" s="187"/>
    </row>
    <row r="154" spans="2:6">
      <c r="B154" s="187"/>
      <c r="C154" s="187"/>
      <c r="D154" s="187"/>
    </row>
    <row r="155" spans="2:6">
      <c r="B155" s="187"/>
      <c r="C155" s="187"/>
      <c r="D155" s="187"/>
    </row>
    <row r="156" spans="2:6">
      <c r="B156" s="187" t="s">
        <v>633</v>
      </c>
      <c r="C156" s="187"/>
      <c r="D156" s="187"/>
    </row>
    <row r="157" spans="2:6">
      <c r="B157" s="550" t="s">
        <v>634</v>
      </c>
      <c r="C157" s="187"/>
      <c r="D157" s="187" t="s">
        <v>635</v>
      </c>
    </row>
    <row r="158" spans="2:6">
      <c r="B158" s="550" t="s">
        <v>636</v>
      </c>
      <c r="C158" s="187"/>
      <c r="D158" s="187" t="s">
        <v>637</v>
      </c>
    </row>
    <row r="159" spans="2:6">
      <c r="B159" s="187"/>
      <c r="C159" s="187"/>
      <c r="D159" s="187"/>
    </row>
    <row r="160" spans="2:6">
      <c r="B160" s="104" t="s">
        <v>575</v>
      </c>
      <c r="C160" s="187"/>
      <c r="D160" s="187" t="s">
        <v>577</v>
      </c>
    </row>
  </sheetData>
  <autoFilter ref="B41:G138" xr:uid="{6935EE6D-23EA-4DD8-A0EB-70AD91D1958B}"/>
  <mergeCells count="7">
    <mergeCell ref="C2:G2"/>
    <mergeCell ref="C9:G9"/>
    <mergeCell ref="C25:G25"/>
    <mergeCell ref="C40:G40"/>
    <mergeCell ref="B5:G5"/>
    <mergeCell ref="B3:G3"/>
    <mergeCell ref="B4:G4"/>
  </mergeCells>
  <hyperlinks>
    <hyperlink ref="B157" r:id="rId1" xr:uid="{224B7139-420D-41A8-A3F4-7A15F18E14ED}"/>
    <hyperlink ref="B158" r:id="rId2" xr:uid="{74995274-110E-49D2-A3F6-F3E0820729C9}"/>
  </hyperlinks>
  <pageMargins left="0.62" right="0.82" top="1.1499999999999999" bottom="1.1100000000000001" header="0.4921259845" footer="0.4921259845"/>
  <pageSetup paperSize="9" scale="32" orientation="portrait" r:id="rId3"/>
  <headerFooter alignWithMargins="0"/>
  <ignoredErrors>
    <ignoredError sqref="E18"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0" tint="-0.14999847407452621"/>
    <pageSetUpPr fitToPage="1"/>
  </sheetPr>
  <dimension ref="A1:M44"/>
  <sheetViews>
    <sheetView showGridLines="0" zoomScale="90" zoomScaleNormal="90" zoomScaleSheetLayoutView="75" workbookViewId="0"/>
  </sheetViews>
  <sheetFormatPr defaultColWidth="11.42578125" defaultRowHeight="12.75"/>
  <cols>
    <col min="1" max="1" width="8.5703125" style="9" customWidth="1"/>
    <col min="2" max="2" width="27.28515625" style="9" customWidth="1"/>
    <col min="3" max="3" width="28.42578125" style="9" customWidth="1"/>
    <col min="4" max="6" width="15.7109375" style="9" customWidth="1"/>
    <col min="7" max="7" width="14" style="9" customWidth="1"/>
    <col min="8" max="8" width="38.85546875" style="9" customWidth="1"/>
    <col min="9" max="16384" width="11.42578125" style="9"/>
  </cols>
  <sheetData>
    <row r="1" spans="1:13" ht="13.5" thickBot="1"/>
    <row r="2" spans="1:13">
      <c r="B2" s="551"/>
      <c r="C2" s="552"/>
      <c r="D2" s="552"/>
      <c r="E2" s="1123"/>
      <c r="F2" s="1123"/>
      <c r="G2" s="1124"/>
    </row>
    <row r="3" spans="1:13" ht="15" customHeight="1">
      <c r="B3" s="1117" t="s">
        <v>470</v>
      </c>
      <c r="C3" s="1083"/>
      <c r="D3" s="1083"/>
      <c r="E3" s="1083"/>
      <c r="F3" s="1083"/>
      <c r="G3" s="1118"/>
      <c r="H3" s="7"/>
      <c r="I3" s="7"/>
    </row>
    <row r="4" spans="1:13">
      <c r="B4" s="1119" t="str">
        <f>Introduction!D8</f>
        <v xml:space="preserve">NEW: rate reference mentioned in your email </v>
      </c>
      <c r="C4" s="1115"/>
      <c r="D4" s="1115"/>
      <c r="E4" s="1115"/>
      <c r="F4" s="1115"/>
      <c r="G4" s="1120"/>
    </row>
    <row r="5" spans="1:13" ht="12.75" customHeight="1">
      <c r="B5" s="1121" t="str">
        <f>Introduction!B9</f>
        <v>valid as from 01.12.2025 - 31.01.2026</v>
      </c>
      <c r="C5" s="1071"/>
      <c r="D5" s="1071"/>
      <c r="E5" s="1071"/>
      <c r="F5" s="1071"/>
      <c r="G5" s="1122"/>
      <c r="H5" s="553"/>
    </row>
    <row r="6" spans="1:13" ht="12.75" customHeight="1" thickBot="1">
      <c r="B6" s="554"/>
      <c r="C6" s="555"/>
      <c r="D6" s="555"/>
      <c r="E6" s="555"/>
      <c r="F6" s="555"/>
      <c r="G6" s="556"/>
      <c r="H6" s="553"/>
    </row>
    <row r="7" spans="1:13" ht="12.75" customHeight="1">
      <c r="B7" s="553"/>
      <c r="C7" s="553"/>
      <c r="D7" s="553"/>
      <c r="E7" s="553"/>
      <c r="F7" s="553"/>
      <c r="G7" s="553"/>
      <c r="H7" s="553"/>
    </row>
    <row r="8" spans="1:13" ht="15" customHeight="1" thickBot="1">
      <c r="B8" s="553"/>
      <c r="C8" s="553"/>
      <c r="D8" s="553"/>
      <c r="E8" s="553"/>
      <c r="F8" s="553"/>
      <c r="G8" s="553"/>
      <c r="H8" s="553"/>
    </row>
    <row r="9" spans="1:13" ht="15.75" customHeight="1">
      <c r="A9" s="12"/>
      <c r="B9" s="282" t="s">
        <v>638</v>
      </c>
      <c r="C9" s="283"/>
      <c r="D9" s="1125" t="s">
        <v>472</v>
      </c>
      <c r="E9" s="1125"/>
      <c r="F9" s="1125"/>
      <c r="G9" s="1126"/>
      <c r="H9" s="557"/>
      <c r="I9" s="8"/>
      <c r="K9" s="8"/>
      <c r="L9" s="8"/>
      <c r="M9" s="8"/>
    </row>
    <row r="10" spans="1:13" ht="15" customHeight="1">
      <c r="A10" s="549"/>
      <c r="B10" s="271" t="s">
        <v>473</v>
      </c>
      <c r="C10" s="226" t="s">
        <v>474</v>
      </c>
      <c r="D10" s="226" t="s">
        <v>475</v>
      </c>
      <c r="E10" s="226" t="s">
        <v>476</v>
      </c>
      <c r="F10" s="226" t="s">
        <v>477</v>
      </c>
      <c r="G10" s="272" t="s">
        <v>479</v>
      </c>
    </row>
    <row r="11" spans="1:13" ht="15" customHeight="1">
      <c r="A11" s="549"/>
      <c r="B11" s="337" t="s">
        <v>639</v>
      </c>
      <c r="C11" s="262" t="s">
        <v>640</v>
      </c>
      <c r="D11" s="263">
        <v>350</v>
      </c>
      <c r="E11" s="258">
        <v>250</v>
      </c>
      <c r="F11" s="258">
        <f>E11</f>
        <v>250</v>
      </c>
      <c r="G11" s="338" t="s">
        <v>641</v>
      </c>
    </row>
    <row r="12" spans="1:13" ht="15" customHeight="1">
      <c r="A12" s="549"/>
      <c r="B12" s="318" t="s">
        <v>639</v>
      </c>
      <c r="C12" s="261" t="s">
        <v>642</v>
      </c>
      <c r="D12" s="263">
        <f>D11</f>
        <v>350</v>
      </c>
      <c r="E12" s="258">
        <f>E11</f>
        <v>250</v>
      </c>
      <c r="F12" s="258">
        <f>E12</f>
        <v>250</v>
      </c>
      <c r="G12" s="312" t="s">
        <v>641</v>
      </c>
    </row>
    <row r="13" spans="1:13" ht="15" customHeight="1">
      <c r="A13" s="549"/>
      <c r="B13" s="339" t="s">
        <v>639</v>
      </c>
      <c r="C13" s="261" t="s">
        <v>643</v>
      </c>
      <c r="D13" s="263">
        <f>D11</f>
        <v>350</v>
      </c>
      <c r="E13" s="258">
        <f>E11</f>
        <v>250</v>
      </c>
      <c r="F13" s="258">
        <f>E13</f>
        <v>250</v>
      </c>
      <c r="G13" s="307" t="s">
        <v>641</v>
      </c>
    </row>
    <row r="14" spans="1:13" ht="15" customHeight="1" thickBot="1">
      <c r="A14" s="549"/>
      <c r="B14" s="319" t="s">
        <v>639</v>
      </c>
      <c r="C14" s="340" t="s">
        <v>644</v>
      </c>
      <c r="D14" s="341">
        <f>D13</f>
        <v>350</v>
      </c>
      <c r="E14" s="342">
        <f>E11</f>
        <v>250</v>
      </c>
      <c r="F14" s="342">
        <f>E14</f>
        <v>250</v>
      </c>
      <c r="G14" s="321" t="s">
        <v>641</v>
      </c>
    </row>
    <row r="15" spans="1:13" ht="15" customHeight="1" thickBot="1">
      <c r="A15" s="549"/>
      <c r="B15" s="198"/>
      <c r="C15" s="198"/>
      <c r="D15" s="336"/>
      <c r="E15" s="336"/>
      <c r="F15" s="336"/>
      <c r="G15" s="198"/>
    </row>
    <row r="16" spans="1:13" ht="15" customHeight="1">
      <c r="B16" s="316" t="s">
        <v>639</v>
      </c>
      <c r="C16" s="326" t="s">
        <v>645</v>
      </c>
      <c r="D16" s="327">
        <v>485</v>
      </c>
      <c r="E16" s="327">
        <v>520</v>
      </c>
      <c r="F16" s="317">
        <f>E16</f>
        <v>520</v>
      </c>
      <c r="G16" s="328" t="s">
        <v>641</v>
      </c>
      <c r="H16" s="558"/>
    </row>
    <row r="17" spans="2:8" ht="15" customHeight="1">
      <c r="B17" s="318" t="s">
        <v>22</v>
      </c>
      <c r="C17" s="329" t="s">
        <v>645</v>
      </c>
      <c r="D17" s="330">
        <v>535</v>
      </c>
      <c r="E17" s="330">
        <v>695</v>
      </c>
      <c r="F17" s="259">
        <f>E17</f>
        <v>695</v>
      </c>
      <c r="G17" s="331" t="s">
        <v>641</v>
      </c>
      <c r="H17" s="558"/>
    </row>
    <row r="18" spans="2:8" ht="15" customHeight="1" thickBot="1">
      <c r="B18" s="319" t="s">
        <v>22</v>
      </c>
      <c r="C18" s="332" t="s">
        <v>645</v>
      </c>
      <c r="D18" s="333">
        <v>450</v>
      </c>
      <c r="E18" s="333">
        <v>520</v>
      </c>
      <c r="F18" s="320">
        <f>E18</f>
        <v>520</v>
      </c>
      <c r="G18" s="334" t="s">
        <v>646</v>
      </c>
      <c r="H18" s="558"/>
    </row>
    <row r="19" spans="2:8" ht="15" customHeight="1" thickBot="1">
      <c r="B19" s="1043"/>
      <c r="C19" s="1043"/>
      <c r="D19" s="1044"/>
      <c r="E19" s="1044"/>
      <c r="F19" s="1044"/>
      <c r="G19" s="1043"/>
      <c r="H19" s="558"/>
    </row>
    <row r="20" spans="2:8" ht="15" customHeight="1">
      <c r="B20" s="316" t="s">
        <v>647</v>
      </c>
      <c r="C20" s="326" t="s">
        <v>648</v>
      </c>
      <c r="D20" s="327">
        <v>400</v>
      </c>
      <c r="E20" s="327">
        <f>F20</f>
        <v>450</v>
      </c>
      <c r="F20" s="317">
        <v>450</v>
      </c>
      <c r="G20" s="328" t="s">
        <v>646</v>
      </c>
    </row>
    <row r="21" spans="2:8" ht="15" customHeight="1">
      <c r="B21" s="318" t="s">
        <v>647</v>
      </c>
      <c r="C21" s="329" t="s">
        <v>649</v>
      </c>
      <c r="D21" s="330">
        <v>450</v>
      </c>
      <c r="E21" s="330">
        <v>500</v>
      </c>
      <c r="F21" s="259">
        <f t="shared" ref="F21:F22" si="0">E21</f>
        <v>500</v>
      </c>
      <c r="G21" s="331" t="s">
        <v>646</v>
      </c>
    </row>
    <row r="22" spans="2:8" ht="15" customHeight="1" thickBot="1">
      <c r="B22" s="319" t="s">
        <v>647</v>
      </c>
      <c r="C22" s="332" t="s">
        <v>650</v>
      </c>
      <c r="D22" s="333">
        <v>525</v>
      </c>
      <c r="E22" s="333">
        <v>650</v>
      </c>
      <c r="F22" s="320">
        <f t="shared" si="0"/>
        <v>650</v>
      </c>
      <c r="G22" s="334" t="s">
        <v>646</v>
      </c>
    </row>
    <row r="23" spans="2:8" ht="15" customHeight="1" thickBot="1">
      <c r="B23" s="322"/>
      <c r="C23" s="323"/>
      <c r="D23" s="324"/>
      <c r="E23" s="324"/>
      <c r="F23" s="325"/>
      <c r="G23" s="322"/>
    </row>
    <row r="24" spans="2:8" ht="15" customHeight="1">
      <c r="B24" s="316" t="s">
        <v>480</v>
      </c>
      <c r="C24" s="357" t="s">
        <v>651</v>
      </c>
      <c r="D24" s="308">
        <v>1100</v>
      </c>
      <c r="E24" s="309">
        <v>1300</v>
      </c>
      <c r="F24" s="310">
        <f>E24</f>
        <v>1300</v>
      </c>
      <c r="G24" s="311" t="s">
        <v>652</v>
      </c>
    </row>
    <row r="25" spans="2:8" ht="15" customHeight="1" thickBot="1">
      <c r="B25" s="351" t="s">
        <v>480</v>
      </c>
      <c r="C25" s="332" t="s">
        <v>653</v>
      </c>
      <c r="D25" s="313">
        <v>1100</v>
      </c>
      <c r="E25" s="314">
        <v>1200</v>
      </c>
      <c r="F25" s="314">
        <f>E25</f>
        <v>1200</v>
      </c>
      <c r="G25" s="315" t="s">
        <v>652</v>
      </c>
    </row>
    <row r="26" spans="2:8" ht="15" customHeight="1">
      <c r="B26" s="198"/>
      <c r="C26" s="223"/>
      <c r="D26" s="224"/>
      <c r="E26" s="224"/>
      <c r="F26" s="225"/>
      <c r="G26" s="198"/>
    </row>
    <row r="27" spans="2:8" s="43" customFormat="1" ht="15" customHeight="1">
      <c r="B27" s="209" t="s">
        <v>654</v>
      </c>
      <c r="H27" s="207"/>
    </row>
    <row r="28" spans="2:8" ht="15" customHeight="1">
      <c r="B28" s="209" t="s">
        <v>526</v>
      </c>
      <c r="C28" s="110"/>
      <c r="D28" s="90"/>
      <c r="E28" s="90"/>
      <c r="F28" s="90"/>
      <c r="H28" s="88"/>
    </row>
    <row r="29" spans="2:8" ht="15" customHeight="1">
      <c r="B29" s="274" t="s">
        <v>527</v>
      </c>
      <c r="C29" s="37"/>
      <c r="D29" s="37"/>
      <c r="E29" s="90"/>
      <c r="F29" s="90"/>
      <c r="H29" s="88"/>
    </row>
    <row r="30" spans="2:8" ht="7.5" customHeight="1">
      <c r="B30" s="274"/>
      <c r="C30" s="37"/>
      <c r="D30" s="37"/>
      <c r="E30" s="90"/>
      <c r="F30" s="90"/>
      <c r="H30" s="88"/>
    </row>
    <row r="31" spans="2:8" s="37" customFormat="1" ht="15" customHeight="1">
      <c r="B31" s="76" t="s">
        <v>655</v>
      </c>
      <c r="C31" s="43" t="s">
        <v>656</v>
      </c>
      <c r="D31" s="33"/>
      <c r="E31" s="33"/>
      <c r="F31" s="33"/>
      <c r="G31" s="33"/>
      <c r="H31" s="33"/>
    </row>
    <row r="32" spans="2:8" s="43" customFormat="1" ht="15" customHeight="1">
      <c r="B32" s="76" t="s">
        <v>528</v>
      </c>
      <c r="C32" s="43" t="s">
        <v>529</v>
      </c>
      <c r="E32" s="46"/>
      <c r="F32" s="46"/>
      <c r="H32" s="207"/>
    </row>
    <row r="33" spans="2:8" s="43" customFormat="1" ht="15" customHeight="1">
      <c r="B33" s="76" t="s">
        <v>625</v>
      </c>
      <c r="C33" s="43" t="s">
        <v>657</v>
      </c>
      <c r="E33" s="46"/>
      <c r="F33" s="46"/>
      <c r="H33" s="207"/>
    </row>
    <row r="34" spans="2:8" s="43" customFormat="1" ht="15" customHeight="1">
      <c r="B34" s="76" t="s">
        <v>658</v>
      </c>
      <c r="C34" s="43" t="s">
        <v>628</v>
      </c>
      <c r="E34" s="46"/>
      <c r="F34" s="46"/>
      <c r="H34" s="207"/>
    </row>
    <row r="35" spans="2:8" s="37" customFormat="1" ht="15" customHeight="1">
      <c r="B35" s="93" t="s">
        <v>659</v>
      </c>
      <c r="C35" s="40" t="s">
        <v>660</v>
      </c>
      <c r="D35" s="40"/>
      <c r="E35" s="33"/>
      <c r="F35" s="33"/>
      <c r="G35" s="33"/>
      <c r="H35" s="33"/>
    </row>
    <row r="36" spans="2:8" s="43" customFormat="1" ht="15" customHeight="1">
      <c r="B36" s="76" t="s">
        <v>661</v>
      </c>
      <c r="C36" s="40" t="s">
        <v>662</v>
      </c>
      <c r="E36" s="163"/>
      <c r="F36" s="163"/>
      <c r="G36" s="163"/>
      <c r="H36" s="46"/>
    </row>
    <row r="37" spans="2:8" s="43" customFormat="1" ht="15" customHeight="1">
      <c r="B37" s="93" t="s">
        <v>663</v>
      </c>
      <c r="C37" s="40" t="s">
        <v>664</v>
      </c>
      <c r="D37" s="112"/>
      <c r="E37" s="112"/>
      <c r="F37" s="112"/>
      <c r="G37" s="208"/>
      <c r="H37" s="46"/>
    </row>
    <row r="38" spans="2:8" ht="15" customHeight="1">
      <c r="B38" s="40"/>
      <c r="C38" s="93"/>
      <c r="D38" s="112"/>
      <c r="E38" s="111"/>
      <c r="F38" s="111"/>
      <c r="G38" s="559"/>
      <c r="H38" s="560"/>
    </row>
    <row r="39" spans="2:8" ht="15" customHeight="1">
      <c r="B39" s="541" t="s">
        <v>542</v>
      </c>
      <c r="C39" s="541"/>
      <c r="D39" s="541"/>
      <c r="E39" s="113"/>
      <c r="F39" s="113"/>
      <c r="G39" s="559"/>
      <c r="H39" s="560"/>
    </row>
    <row r="40" spans="2:8" ht="15" customHeight="1">
      <c r="B40" s="541" t="s">
        <v>543</v>
      </c>
      <c r="C40" s="541"/>
      <c r="D40" s="541"/>
      <c r="E40" s="114"/>
      <c r="F40" s="114"/>
      <c r="G40" s="559"/>
      <c r="H40" s="88"/>
    </row>
    <row r="41" spans="2:8" ht="13.5" customHeight="1">
      <c r="B41" s="38"/>
      <c r="C41" s="561"/>
      <c r="D41" s="113"/>
      <c r="E41" s="113"/>
      <c r="F41" s="113"/>
      <c r="G41" s="115"/>
      <c r="H41" s="88"/>
    </row>
    <row r="42" spans="2:8">
      <c r="B42" s="202" t="s">
        <v>665</v>
      </c>
    </row>
    <row r="43" spans="2:8">
      <c r="B43" s="92"/>
    </row>
    <row r="44" spans="2:8">
      <c r="B44" s="562" t="s">
        <v>576</v>
      </c>
    </row>
  </sheetData>
  <mergeCells count="5">
    <mergeCell ref="B3:G3"/>
    <mergeCell ref="B4:G4"/>
    <mergeCell ref="B5:G5"/>
    <mergeCell ref="E2:G2"/>
    <mergeCell ref="D9:G9"/>
  </mergeCells>
  <hyperlinks>
    <hyperlink ref="B39" r:id="rId1" display="http://www.oocl.com/eng/resourcecenter/globalinfo/Pages/default.aspx" xr:uid="{0314A160-2FB5-4DAB-870C-3F890571CE6C}"/>
    <hyperlink ref="B40" r:id="rId2" display="http://www.oocl.com/eng/resourcecenter/globalinfo/Pages/default.aspx" xr:uid="{F1065276-90E8-4FC0-9155-FE58A9EF7A3E}"/>
  </hyperlinks>
  <pageMargins left="0.62" right="0.82" top="1.1499999999999999" bottom="1.1100000000000001" header="0.4921259845" footer="0.4921259845"/>
  <pageSetup paperSize="9" scale="60" orientation="portrait" r:id="rId3"/>
  <headerFooter alignWithMargins="0"/>
  <ignoredErrors>
    <ignoredError sqref="D13"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1" tint="0.499984740745262"/>
    <pageSetUpPr fitToPage="1"/>
  </sheetPr>
  <dimension ref="A1:L44"/>
  <sheetViews>
    <sheetView showGridLines="0" topLeftCell="A15" zoomScale="90" zoomScaleNormal="90" zoomScaleSheetLayoutView="75" workbookViewId="0"/>
  </sheetViews>
  <sheetFormatPr defaultColWidth="11.42578125" defaultRowHeight="12.75"/>
  <cols>
    <col min="1" max="1" width="8.5703125" style="9" customWidth="1"/>
    <col min="2" max="2" width="45.28515625" style="9" customWidth="1"/>
    <col min="3" max="3" width="40.42578125" style="9" customWidth="1"/>
    <col min="4" max="4" width="24.5703125" style="9" customWidth="1"/>
    <col min="5" max="7" width="18.5703125" style="9" customWidth="1"/>
    <col min="8" max="8" width="13.140625" style="9" customWidth="1"/>
    <col min="9" max="9" width="18.85546875" style="9" bestFit="1" customWidth="1"/>
    <col min="10" max="10" width="19.42578125" style="9" customWidth="1"/>
    <col min="11" max="11" width="22.5703125" style="9" customWidth="1"/>
    <col min="12" max="16384" width="11.42578125" style="9"/>
  </cols>
  <sheetData>
    <row r="1" spans="1:12" ht="12.75" customHeight="1" thickBot="1">
      <c r="E1" s="1127"/>
      <c r="F1" s="1127"/>
      <c r="G1" s="1127"/>
      <c r="H1" s="1127"/>
    </row>
    <row r="2" spans="1:12" ht="12.75" customHeight="1">
      <c r="B2" s="543"/>
      <c r="C2" s="1109"/>
      <c r="D2" s="1109"/>
      <c r="E2" s="1109"/>
      <c r="F2" s="1109"/>
      <c r="G2" s="1109"/>
      <c r="H2" s="1110"/>
    </row>
    <row r="3" spans="1:12" ht="12.75" customHeight="1">
      <c r="B3" s="1089" t="s">
        <v>470</v>
      </c>
      <c r="C3" s="1083"/>
      <c r="D3" s="1083"/>
      <c r="E3" s="1083"/>
      <c r="F3" s="1083"/>
      <c r="G3" s="1083"/>
      <c r="H3" s="1090"/>
    </row>
    <row r="4" spans="1:12" ht="12.75" customHeight="1">
      <c r="B4" s="1114" t="str">
        <f>Introduction!D8</f>
        <v xml:space="preserve">NEW: rate reference mentioned in your email </v>
      </c>
      <c r="C4" s="1115"/>
      <c r="D4" s="1115"/>
      <c r="E4" s="1115"/>
      <c r="F4" s="1115"/>
      <c r="G4" s="1115"/>
      <c r="H4" s="1116"/>
    </row>
    <row r="5" spans="1:12" ht="12.75" customHeight="1">
      <c r="B5" s="1096" t="str">
        <f>Introduction!B9</f>
        <v>valid as from 01.12.2025 - 31.01.2026</v>
      </c>
      <c r="C5" s="1071"/>
      <c r="D5" s="1071"/>
      <c r="E5" s="1071"/>
      <c r="F5" s="1071"/>
      <c r="G5" s="1071"/>
      <c r="H5" s="1097"/>
    </row>
    <row r="6" spans="1:12" ht="12.75" customHeight="1" thickBot="1">
      <c r="B6" s="1098"/>
      <c r="C6" s="1099"/>
      <c r="D6" s="1099"/>
      <c r="E6" s="1099"/>
      <c r="F6" s="1099"/>
      <c r="G6" s="1099"/>
      <c r="H6" s="1100"/>
    </row>
    <row r="7" spans="1:12" ht="15" customHeight="1">
      <c r="B7" s="536"/>
      <c r="C7" s="536"/>
      <c r="D7" s="536"/>
      <c r="E7" s="536"/>
      <c r="F7" s="536"/>
      <c r="G7" s="536"/>
      <c r="H7" s="536"/>
    </row>
    <row r="8" spans="1:12" ht="15" customHeight="1">
      <c r="B8" s="536"/>
      <c r="C8" s="536"/>
      <c r="D8" s="536"/>
      <c r="E8" s="536"/>
      <c r="F8" s="536"/>
      <c r="G8" s="536"/>
      <c r="H8" s="536"/>
    </row>
    <row r="9" spans="1:12" ht="15" customHeight="1" thickBot="1">
      <c r="E9" s="90"/>
      <c r="F9" s="1132" t="s">
        <v>666</v>
      </c>
      <c r="G9" s="1132"/>
      <c r="H9" s="1132"/>
    </row>
    <row r="10" spans="1:12" ht="19.5" customHeight="1">
      <c r="A10" s="12"/>
      <c r="B10" s="284" t="s">
        <v>667</v>
      </c>
      <c r="C10" s="1130" t="s">
        <v>472</v>
      </c>
      <c r="D10" s="1130"/>
      <c r="E10" s="1130"/>
      <c r="F10" s="1130"/>
      <c r="G10" s="1130"/>
      <c r="H10" s="1131"/>
      <c r="I10" s="8"/>
      <c r="J10" s="8"/>
      <c r="K10" s="8"/>
      <c r="L10" s="8"/>
    </row>
    <row r="11" spans="1:12" ht="19.5" customHeight="1" thickBot="1">
      <c r="A11" s="549"/>
      <c r="B11" s="96" t="s">
        <v>473</v>
      </c>
      <c r="C11" s="152" t="s">
        <v>474</v>
      </c>
      <c r="D11" s="152" t="s">
        <v>475</v>
      </c>
      <c r="E11" s="152" t="s">
        <v>476</v>
      </c>
      <c r="F11" s="152" t="s">
        <v>477</v>
      </c>
      <c r="G11" s="152" t="s">
        <v>478</v>
      </c>
      <c r="H11" s="273" t="s">
        <v>479</v>
      </c>
      <c r="K11" s="200"/>
    </row>
    <row r="12" spans="1:12" ht="19.5" customHeight="1">
      <c r="A12" s="549"/>
      <c r="B12" s="982" t="s">
        <v>496</v>
      </c>
      <c r="C12" s="392" t="s">
        <v>668</v>
      </c>
      <c r="D12" s="393">
        <v>575</v>
      </c>
      <c r="E12" s="394">
        <v>575</v>
      </c>
      <c r="F12" s="501">
        <f>E12</f>
        <v>575</v>
      </c>
      <c r="G12" s="516" t="s">
        <v>478</v>
      </c>
      <c r="H12" s="983" t="s">
        <v>669</v>
      </c>
      <c r="J12" s="201"/>
      <c r="K12" s="201"/>
      <c r="L12" s="119"/>
    </row>
    <row r="13" spans="1:12" ht="19.5" customHeight="1" thickBot="1">
      <c r="A13" s="549"/>
      <c r="B13" s="984" t="s">
        <v>496</v>
      </c>
      <c r="C13" s="985" t="s">
        <v>670</v>
      </c>
      <c r="D13" s="986">
        <v>575</v>
      </c>
      <c r="E13" s="987">
        <v>575</v>
      </c>
      <c r="F13" s="988">
        <f>E13</f>
        <v>575</v>
      </c>
      <c r="G13" s="981" t="s">
        <v>478</v>
      </c>
      <c r="H13" s="989" t="s">
        <v>669</v>
      </c>
      <c r="J13" s="200"/>
      <c r="K13" s="200"/>
    </row>
    <row r="14" spans="1:12" ht="15" customHeight="1" thickBot="1">
      <c r="A14" s="549"/>
      <c r="B14" s="197"/>
      <c r="C14" s="197"/>
      <c r="D14" s="163"/>
      <c r="E14" s="175"/>
      <c r="F14" s="164"/>
      <c r="G14" s="155"/>
      <c r="H14" s="197"/>
      <c r="J14" s="201"/>
      <c r="K14" s="201"/>
    </row>
    <row r="15" spans="1:12" ht="15" customHeight="1">
      <c r="A15" s="549"/>
      <c r="B15" s="280" t="s">
        <v>671</v>
      </c>
      <c r="C15" s="1103" t="s">
        <v>472</v>
      </c>
      <c r="D15" s="1103"/>
      <c r="E15" s="1103"/>
      <c r="F15" s="1103"/>
      <c r="G15" s="1103"/>
      <c r="H15" s="1104"/>
    </row>
    <row r="16" spans="1:12" ht="15" customHeight="1" thickBot="1">
      <c r="A16" s="549"/>
      <c r="B16" s="153" t="s">
        <v>474</v>
      </c>
      <c r="C16" s="96" t="s">
        <v>518</v>
      </c>
      <c r="D16" s="152" t="s">
        <v>475</v>
      </c>
      <c r="E16" s="152" t="s">
        <v>476</v>
      </c>
      <c r="F16" s="152" t="s">
        <v>477</v>
      </c>
      <c r="G16" s="97" t="s">
        <v>478</v>
      </c>
      <c r="H16" s="154"/>
    </row>
    <row r="17" spans="1:9" ht="15" customHeight="1">
      <c r="A17" s="549"/>
      <c r="B17" s="990" t="s">
        <v>221</v>
      </c>
      <c r="C17" s="991" t="s">
        <v>149</v>
      </c>
      <c r="D17" s="1041">
        <v>875</v>
      </c>
      <c r="E17" s="1041">
        <v>1025</v>
      </c>
      <c r="F17" s="1041">
        <v>1025</v>
      </c>
      <c r="G17" s="516" t="s">
        <v>478</v>
      </c>
      <c r="H17" s="992" t="s">
        <v>669</v>
      </c>
    </row>
    <row r="18" spans="1:9" ht="15" customHeight="1">
      <c r="A18" s="549"/>
      <c r="B18" s="993" t="s">
        <v>223</v>
      </c>
      <c r="C18" s="994" t="s">
        <v>149</v>
      </c>
      <c r="D18" s="1042">
        <v>825</v>
      </c>
      <c r="E18" s="1042">
        <v>925</v>
      </c>
      <c r="F18" s="1042">
        <v>925</v>
      </c>
      <c r="G18" s="440" t="s">
        <v>478</v>
      </c>
      <c r="H18" s="995" t="s">
        <v>669</v>
      </c>
    </row>
    <row r="19" spans="1:9" ht="15" customHeight="1">
      <c r="A19" s="549"/>
      <c r="B19" s="993" t="s">
        <v>224</v>
      </c>
      <c r="C19" s="994" t="s">
        <v>149</v>
      </c>
      <c r="D19" s="1042">
        <v>900</v>
      </c>
      <c r="E19" s="1042">
        <v>1150</v>
      </c>
      <c r="F19" s="1042">
        <v>1150</v>
      </c>
      <c r="G19" s="440" t="s">
        <v>478</v>
      </c>
      <c r="H19" s="995" t="s">
        <v>669</v>
      </c>
    </row>
    <row r="20" spans="1:9" ht="15" customHeight="1">
      <c r="A20" s="549"/>
      <c r="B20" s="996" t="s">
        <v>225</v>
      </c>
      <c r="C20" s="997" t="s">
        <v>126</v>
      </c>
      <c r="D20" s="1042">
        <v>1175</v>
      </c>
      <c r="E20" s="1042">
        <v>1575</v>
      </c>
      <c r="F20" s="1042">
        <v>1575</v>
      </c>
      <c r="G20" s="440" t="s">
        <v>478</v>
      </c>
      <c r="H20" s="995" t="s">
        <v>669</v>
      </c>
      <c r="I20" s="270"/>
    </row>
    <row r="21" spans="1:9" ht="15" customHeight="1">
      <c r="A21" s="549"/>
      <c r="B21" s="996" t="s">
        <v>126</v>
      </c>
      <c r="C21" s="997" t="s">
        <v>149</v>
      </c>
      <c r="D21" s="1042">
        <v>925</v>
      </c>
      <c r="E21" s="1042">
        <v>1125</v>
      </c>
      <c r="F21" s="1042">
        <v>1125</v>
      </c>
      <c r="G21" s="440" t="s">
        <v>478</v>
      </c>
      <c r="H21" s="995" t="s">
        <v>669</v>
      </c>
    </row>
    <row r="22" spans="1:9" ht="15" customHeight="1">
      <c r="B22" s="993" t="s">
        <v>226</v>
      </c>
      <c r="C22" s="994" t="s">
        <v>149</v>
      </c>
      <c r="D22" s="1042">
        <v>950</v>
      </c>
      <c r="E22" s="1042">
        <v>1050</v>
      </c>
      <c r="F22" s="1042">
        <v>1050</v>
      </c>
      <c r="G22" s="440" t="s">
        <v>478</v>
      </c>
      <c r="H22" s="995" t="s">
        <v>669</v>
      </c>
    </row>
    <row r="23" spans="1:9" s="187" customFormat="1" ht="15" customHeight="1">
      <c r="B23" s="993" t="s">
        <v>227</v>
      </c>
      <c r="C23" s="994" t="s">
        <v>149</v>
      </c>
      <c r="D23" s="1042">
        <v>900</v>
      </c>
      <c r="E23" s="1042">
        <v>1150</v>
      </c>
      <c r="F23" s="1042">
        <v>1150</v>
      </c>
      <c r="G23" s="440" t="s">
        <v>478</v>
      </c>
      <c r="H23" s="995" t="s">
        <v>669</v>
      </c>
    </row>
    <row r="24" spans="1:9" ht="15" customHeight="1">
      <c r="A24" s="549"/>
      <c r="B24" s="993" t="s">
        <v>228</v>
      </c>
      <c r="C24" s="994" t="s">
        <v>149</v>
      </c>
      <c r="D24" s="1042">
        <v>725</v>
      </c>
      <c r="E24" s="1042">
        <v>850</v>
      </c>
      <c r="F24" s="1042">
        <v>850</v>
      </c>
      <c r="G24" s="440" t="s">
        <v>478</v>
      </c>
      <c r="H24" s="995" t="s">
        <v>669</v>
      </c>
    </row>
    <row r="25" spans="1:9" ht="15" customHeight="1">
      <c r="A25" s="549"/>
      <c r="B25" s="993" t="s">
        <v>229</v>
      </c>
      <c r="C25" s="994" t="s">
        <v>149</v>
      </c>
      <c r="D25" s="1042">
        <v>900</v>
      </c>
      <c r="E25" s="1042">
        <v>1125</v>
      </c>
      <c r="F25" s="1042">
        <v>1125</v>
      </c>
      <c r="G25" s="440" t="s">
        <v>478</v>
      </c>
      <c r="H25" s="995" t="s">
        <v>669</v>
      </c>
      <c r="I25" s="270"/>
    </row>
    <row r="26" spans="1:9" ht="15" customHeight="1">
      <c r="A26" s="549"/>
      <c r="B26" s="993" t="s">
        <v>230</v>
      </c>
      <c r="C26" s="994" t="s">
        <v>149</v>
      </c>
      <c r="D26" s="1042">
        <v>825</v>
      </c>
      <c r="E26" s="1042">
        <v>925</v>
      </c>
      <c r="F26" s="1042">
        <v>925</v>
      </c>
      <c r="G26" s="440" t="s">
        <v>478</v>
      </c>
      <c r="H26" s="995" t="s">
        <v>669</v>
      </c>
    </row>
    <row r="27" spans="1:9" ht="15" customHeight="1">
      <c r="B27" s="993" t="s">
        <v>231</v>
      </c>
      <c r="C27" s="994" t="s">
        <v>149</v>
      </c>
      <c r="D27" s="1042">
        <v>925</v>
      </c>
      <c r="E27" s="1042">
        <v>1175</v>
      </c>
      <c r="F27" s="1042">
        <v>1175</v>
      </c>
      <c r="G27" s="440" t="s">
        <v>478</v>
      </c>
      <c r="H27" s="995" t="s">
        <v>669</v>
      </c>
    </row>
    <row r="28" spans="1:9" ht="14.25" customHeight="1">
      <c r="B28" s="1128"/>
      <c r="C28" s="1128"/>
      <c r="D28" s="1128"/>
      <c r="E28" s="1128"/>
      <c r="F28" s="1128"/>
      <c r="G28" s="1128"/>
      <c r="H28" s="1128"/>
    </row>
    <row r="29" spans="1:9" ht="14.25" customHeight="1">
      <c r="B29" s="464" t="s">
        <v>672</v>
      </c>
      <c r="C29" s="40"/>
      <c r="D29" s="40"/>
      <c r="E29" s="40"/>
      <c r="F29" s="40"/>
      <c r="G29" s="40"/>
      <c r="H29" s="40"/>
    </row>
    <row r="30" spans="1:9" ht="14.25" customHeight="1">
      <c r="B30" s="40" t="s">
        <v>526</v>
      </c>
      <c r="C30" s="40"/>
      <c r="D30" s="40"/>
      <c r="E30" s="40"/>
      <c r="F30" s="40"/>
      <c r="G30" s="40"/>
      <c r="H30" s="40"/>
    </row>
    <row r="31" spans="1:9" ht="14.25" customHeight="1">
      <c r="B31" s="93" t="s">
        <v>527</v>
      </c>
      <c r="C31" s="40"/>
      <c r="D31" s="40"/>
      <c r="E31" s="40"/>
      <c r="F31" s="40"/>
      <c r="G31" s="40"/>
      <c r="H31" s="40"/>
    </row>
    <row r="32" spans="1:9">
      <c r="B32" s="34"/>
      <c r="C32" s="33"/>
      <c r="D32" s="33"/>
      <c r="E32" s="33"/>
      <c r="F32" s="33"/>
      <c r="G32" s="33"/>
      <c r="H32" s="2"/>
    </row>
    <row r="33" spans="2:9" ht="14.25" customHeight="1">
      <c r="B33" s="93" t="s">
        <v>673</v>
      </c>
      <c r="C33" s="40" t="s">
        <v>674</v>
      </c>
      <c r="D33" s="33"/>
      <c r="E33" s="33"/>
      <c r="F33" s="33"/>
      <c r="G33" s="33"/>
      <c r="H33" s="2"/>
    </row>
    <row r="34" spans="2:9" ht="14.25" customHeight="1">
      <c r="B34" s="93" t="s">
        <v>528</v>
      </c>
      <c r="C34" s="40" t="s">
        <v>529</v>
      </c>
      <c r="D34" s="33"/>
      <c r="E34" s="33"/>
      <c r="F34" s="33"/>
      <c r="G34" s="33"/>
      <c r="H34" s="2"/>
    </row>
    <row r="35" spans="2:9" ht="14.25" customHeight="1">
      <c r="B35" s="93" t="s">
        <v>530</v>
      </c>
      <c r="C35" s="40" t="s">
        <v>628</v>
      </c>
      <c r="D35" s="33"/>
      <c r="E35" s="33"/>
      <c r="F35" s="33"/>
      <c r="G35" s="33"/>
      <c r="H35" s="2"/>
    </row>
    <row r="36" spans="2:9" ht="14.25" customHeight="1">
      <c r="B36" s="93" t="s">
        <v>534</v>
      </c>
      <c r="C36" s="40" t="s">
        <v>675</v>
      </c>
      <c r="D36" s="40"/>
      <c r="E36" s="40"/>
      <c r="F36" s="40"/>
      <c r="G36" s="40"/>
      <c r="H36" s="40"/>
      <c r="I36" s="43"/>
    </row>
    <row r="37" spans="2:9" ht="14.25" customHeight="1">
      <c r="B37" s="93"/>
      <c r="C37" s="48"/>
      <c r="D37" s="33"/>
      <c r="E37" s="33"/>
      <c r="F37" s="33"/>
      <c r="G37" s="33"/>
      <c r="H37" s="2"/>
    </row>
    <row r="38" spans="2:9" ht="14.25" customHeight="1">
      <c r="B38" s="1129" t="s">
        <v>542</v>
      </c>
      <c r="C38" s="1129"/>
      <c r="D38" s="1129"/>
      <c r="E38" s="2"/>
      <c r="F38" s="2"/>
      <c r="G38" s="2"/>
      <c r="H38" s="2"/>
    </row>
    <row r="39" spans="2:9" ht="14.25" customHeight="1">
      <c r="B39" s="1129" t="s">
        <v>543</v>
      </c>
      <c r="C39" s="1129"/>
      <c r="D39" s="1129"/>
      <c r="E39" s="2"/>
      <c r="F39" s="2"/>
      <c r="G39" s="2"/>
      <c r="H39" s="2"/>
    </row>
    <row r="40" spans="2:9" ht="14.25" customHeight="1">
      <c r="B40" s="33"/>
      <c r="C40" s="33"/>
      <c r="D40" s="2"/>
    </row>
    <row r="41" spans="2:9" ht="12" customHeight="1">
      <c r="B41" s="202" t="s">
        <v>575</v>
      </c>
    </row>
    <row r="42" spans="2:9">
      <c r="B42" s="105"/>
      <c r="D42" s="28"/>
      <c r="E42" s="28"/>
      <c r="F42" s="28"/>
      <c r="G42" s="28"/>
      <c r="H42" s="28"/>
    </row>
    <row r="43" spans="2:9">
      <c r="B43" s="542" t="s">
        <v>576</v>
      </c>
    </row>
    <row r="44" spans="2:9">
      <c r="D44" s="9" t="s">
        <v>577</v>
      </c>
    </row>
  </sheetData>
  <mergeCells count="12">
    <mergeCell ref="E1:H1"/>
    <mergeCell ref="C2:H2"/>
    <mergeCell ref="B28:H28"/>
    <mergeCell ref="B38:D38"/>
    <mergeCell ref="B39:D39"/>
    <mergeCell ref="B4:H4"/>
    <mergeCell ref="B5:H5"/>
    <mergeCell ref="B6:H6"/>
    <mergeCell ref="B3:H3"/>
    <mergeCell ref="C10:H10"/>
    <mergeCell ref="C15:H15"/>
    <mergeCell ref="F9:H9"/>
  </mergeCells>
  <hyperlinks>
    <hyperlink ref="B38" r:id="rId1" display="http://www.oocl.com/eng/resourcecenter/globalinfo/Pages/default.aspx" xr:uid="{00000000-0004-0000-0900-000000000000}"/>
    <hyperlink ref="B39" r:id="rId2" display="http://www.oocl.com/eng/resourcecenter/globalinfo/Pages/default.aspx" xr:uid="{00000000-0004-0000-0900-000001000000}"/>
  </hyperlinks>
  <pageMargins left="0.62" right="0.82" top="1.1499999999999999" bottom="1.1100000000000001" header="0.4921259845" footer="0.4921259845"/>
  <pageSetup paperSize="9" scale="60" orientation="portrait" r:id="rId3"/>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91EEF-1909-4DC0-8188-39AC93CC7711}">
  <sheetPr>
    <tabColor theme="0" tint="-0.14999847407452621"/>
  </sheetPr>
  <dimension ref="A1:AT43"/>
  <sheetViews>
    <sheetView showGridLines="0" zoomScale="90" zoomScaleNormal="90" workbookViewId="0"/>
  </sheetViews>
  <sheetFormatPr defaultColWidth="11.42578125" defaultRowHeight="12.75"/>
  <cols>
    <col min="1" max="1" width="8.5703125" style="187" customWidth="1"/>
    <col min="2" max="2" width="31.7109375" style="9" customWidth="1"/>
    <col min="3" max="3" width="37.7109375" style="9" customWidth="1"/>
    <col min="4" max="7" width="23.7109375" style="9" customWidth="1"/>
    <col min="8" max="8" width="17.7109375" style="9" customWidth="1"/>
    <col min="9" max="9" width="18.85546875" style="9" bestFit="1" customWidth="1"/>
    <col min="10" max="10" width="9.28515625" style="187" bestFit="1" customWidth="1"/>
    <col min="11" max="46" width="11.42578125" style="187"/>
    <col min="47" max="16384" width="11.42578125" style="9"/>
  </cols>
  <sheetData>
    <row r="1" spans="2:9" ht="12.75" customHeight="1" thickBot="1">
      <c r="B1" s="187"/>
      <c r="C1" s="187"/>
      <c r="D1" s="187"/>
      <c r="E1" s="187"/>
      <c r="F1" s="1127"/>
      <c r="G1" s="1127"/>
      <c r="H1" s="1127"/>
      <c r="I1" s="1127"/>
    </row>
    <row r="2" spans="2:9" ht="12.75" customHeight="1">
      <c r="B2" s="543"/>
      <c r="C2" s="1109"/>
      <c r="D2" s="1109"/>
      <c r="E2" s="1109"/>
      <c r="F2" s="1109"/>
      <c r="G2" s="1109"/>
      <c r="H2" s="1109"/>
      <c r="I2" s="1110"/>
    </row>
    <row r="3" spans="2:9" ht="12.75" customHeight="1">
      <c r="B3" s="1134" t="s">
        <v>470</v>
      </c>
      <c r="C3" s="1135"/>
      <c r="D3" s="1135"/>
      <c r="E3" s="1135"/>
      <c r="F3" s="1135"/>
      <c r="G3" s="1135"/>
      <c r="H3" s="1135"/>
      <c r="I3" s="1136"/>
    </row>
    <row r="4" spans="2:9" ht="12.75" customHeight="1">
      <c r="B4" s="1137" t="str">
        <f>Introduction!D8</f>
        <v xml:space="preserve">NEW: rate reference mentioned in your email </v>
      </c>
      <c r="C4" s="1138"/>
      <c r="D4" s="1138"/>
      <c r="E4" s="1138"/>
      <c r="F4" s="1138"/>
      <c r="G4" s="1138"/>
      <c r="H4" s="1138"/>
      <c r="I4" s="1139"/>
    </row>
    <row r="5" spans="2:9" ht="12.75" customHeight="1">
      <c r="B5" s="1121" t="str">
        <f>Introduction!B9</f>
        <v>valid as from 01.12.2025 - 31.01.2026</v>
      </c>
      <c r="C5" s="1071"/>
      <c r="D5" s="1071"/>
      <c r="E5" s="1071"/>
      <c r="F5" s="1071"/>
      <c r="G5" s="1071"/>
      <c r="H5" s="1071"/>
      <c r="I5" s="1097"/>
    </row>
    <row r="6" spans="2:9" ht="12.75" customHeight="1" thickBot="1">
      <c r="B6" s="1098"/>
      <c r="C6" s="1099"/>
      <c r="D6" s="1099"/>
      <c r="E6" s="1099"/>
      <c r="F6" s="1099"/>
      <c r="G6" s="1099"/>
      <c r="H6" s="1099"/>
      <c r="I6" s="1100"/>
    </row>
    <row r="7" spans="2:9" ht="13.35" customHeight="1">
      <c r="B7" s="187"/>
      <c r="C7" s="187"/>
      <c r="D7" s="187"/>
      <c r="E7" s="187"/>
      <c r="F7" s="101"/>
      <c r="G7" s="101"/>
      <c r="H7" s="101"/>
      <c r="I7" s="101"/>
    </row>
    <row r="8" spans="2:9" ht="13.35" customHeight="1">
      <c r="B8" s="187"/>
      <c r="C8" s="187"/>
      <c r="D8" s="187"/>
      <c r="E8" s="187"/>
      <c r="F8" s="101"/>
      <c r="G8" s="101"/>
      <c r="H8" s="101"/>
      <c r="I8" s="101"/>
    </row>
    <row r="9" spans="2:9" ht="15" customHeight="1" thickBot="1">
      <c r="B9" s="191" t="s">
        <v>676</v>
      </c>
      <c r="C9" s="187"/>
      <c r="D9" s="187"/>
      <c r="E9" s="187"/>
      <c r="F9" s="101"/>
      <c r="G9" s="101"/>
      <c r="H9" s="101"/>
      <c r="I9" s="101"/>
    </row>
    <row r="10" spans="2:9" ht="15" customHeight="1">
      <c r="B10" s="284" t="s">
        <v>677</v>
      </c>
      <c r="C10" s="1130" t="s">
        <v>472</v>
      </c>
      <c r="D10" s="1130"/>
      <c r="E10" s="1130"/>
      <c r="F10" s="1130"/>
      <c r="G10" s="1130"/>
      <c r="H10" s="1130"/>
      <c r="I10" s="1131"/>
    </row>
    <row r="11" spans="2:9" ht="15" customHeight="1" thickBot="1">
      <c r="B11" s="153" t="s">
        <v>473</v>
      </c>
      <c r="C11" s="152" t="s">
        <v>474</v>
      </c>
      <c r="D11" s="152" t="s">
        <v>518</v>
      </c>
      <c r="E11" s="152" t="s">
        <v>475</v>
      </c>
      <c r="F11" s="152" t="s">
        <v>476</v>
      </c>
      <c r="G11" s="152" t="s">
        <v>477</v>
      </c>
      <c r="H11" s="152" t="s">
        <v>478</v>
      </c>
      <c r="I11" s="154" t="s">
        <v>479</v>
      </c>
    </row>
    <row r="12" spans="2:9" ht="15" customHeight="1">
      <c r="B12" s="407" t="s">
        <v>480</v>
      </c>
      <c r="C12" s="408" t="s">
        <v>678</v>
      </c>
      <c r="D12" s="564" t="s">
        <v>679</v>
      </c>
      <c r="E12" s="409">
        <v>1075</v>
      </c>
      <c r="F12" s="409">
        <v>1550</v>
      </c>
      <c r="G12" s="409">
        <f>F12</f>
        <v>1550</v>
      </c>
      <c r="H12" s="410" t="s">
        <v>478</v>
      </c>
      <c r="I12" s="411" t="s">
        <v>680</v>
      </c>
    </row>
    <row r="13" spans="2:9" ht="15" customHeight="1">
      <c r="B13" s="412" t="s">
        <v>480</v>
      </c>
      <c r="C13" s="413" t="s">
        <v>681</v>
      </c>
      <c r="D13" s="565" t="s">
        <v>682</v>
      </c>
      <c r="E13" s="414">
        <v>2275</v>
      </c>
      <c r="F13" s="414">
        <v>2950</v>
      </c>
      <c r="G13" s="414">
        <f t="shared" ref="G13:G18" si="0">F13</f>
        <v>2950</v>
      </c>
      <c r="H13" s="415" t="s">
        <v>478</v>
      </c>
      <c r="I13" s="416" t="s">
        <v>680</v>
      </c>
    </row>
    <row r="14" spans="2:9" ht="15" customHeight="1">
      <c r="B14" s="412" t="s">
        <v>480</v>
      </c>
      <c r="C14" s="413" t="s">
        <v>683</v>
      </c>
      <c r="D14" s="565" t="s">
        <v>682</v>
      </c>
      <c r="E14" s="414">
        <v>1525</v>
      </c>
      <c r="F14" s="414">
        <v>1750</v>
      </c>
      <c r="G14" s="414">
        <f t="shared" si="0"/>
        <v>1750</v>
      </c>
      <c r="H14" s="415" t="s">
        <v>478</v>
      </c>
      <c r="I14" s="416" t="s">
        <v>680</v>
      </c>
    </row>
    <row r="15" spans="2:9" ht="15" customHeight="1">
      <c r="B15" s="412" t="s">
        <v>480</v>
      </c>
      <c r="C15" s="413" t="s">
        <v>684</v>
      </c>
      <c r="D15" s="565" t="s">
        <v>679</v>
      </c>
      <c r="E15" s="414">
        <v>1475</v>
      </c>
      <c r="F15" s="414">
        <v>1800</v>
      </c>
      <c r="G15" s="414">
        <f t="shared" si="0"/>
        <v>1800</v>
      </c>
      <c r="H15" s="415" t="s">
        <v>478</v>
      </c>
      <c r="I15" s="416" t="s">
        <v>680</v>
      </c>
    </row>
    <row r="16" spans="2:9" ht="15" customHeight="1">
      <c r="B16" s="412" t="s">
        <v>480</v>
      </c>
      <c r="C16" s="413" t="s">
        <v>685</v>
      </c>
      <c r="D16" s="565" t="s">
        <v>682</v>
      </c>
      <c r="E16" s="414">
        <v>2275</v>
      </c>
      <c r="F16" s="414">
        <v>2950</v>
      </c>
      <c r="G16" s="414">
        <f t="shared" si="0"/>
        <v>2950</v>
      </c>
      <c r="H16" s="415" t="s">
        <v>478</v>
      </c>
      <c r="I16" s="416" t="s">
        <v>680</v>
      </c>
    </row>
    <row r="17" spans="2:9" ht="15" customHeight="1">
      <c r="B17" s="412" t="s">
        <v>480</v>
      </c>
      <c r="C17" s="413" t="s">
        <v>686</v>
      </c>
      <c r="D17" s="565" t="s">
        <v>682</v>
      </c>
      <c r="E17" s="414">
        <v>1525</v>
      </c>
      <c r="F17" s="414">
        <v>1750</v>
      </c>
      <c r="G17" s="414">
        <f t="shared" si="0"/>
        <v>1750</v>
      </c>
      <c r="H17" s="415" t="s">
        <v>478</v>
      </c>
      <c r="I17" s="416" t="s">
        <v>680</v>
      </c>
    </row>
    <row r="18" spans="2:9" ht="15" customHeight="1" thickBot="1">
      <c r="B18" s="418" t="s">
        <v>480</v>
      </c>
      <c r="C18" s="463" t="s">
        <v>687</v>
      </c>
      <c r="D18" s="566" t="s">
        <v>679</v>
      </c>
      <c r="E18" s="420">
        <v>1525</v>
      </c>
      <c r="F18" s="420">
        <v>1850</v>
      </c>
      <c r="G18" s="420">
        <f t="shared" si="0"/>
        <v>1850</v>
      </c>
      <c r="H18" s="422" t="s">
        <v>478</v>
      </c>
      <c r="I18" s="421" t="s">
        <v>680</v>
      </c>
    </row>
    <row r="19" spans="2:9" ht="15" customHeight="1">
      <c r="B19" s="187"/>
      <c r="C19" s="187"/>
      <c r="D19" s="187"/>
      <c r="E19" s="187"/>
      <c r="F19" s="101"/>
      <c r="G19" s="101"/>
      <c r="H19" s="185"/>
      <c r="I19" s="101"/>
    </row>
    <row r="20" spans="2:9" ht="15" customHeight="1" thickBot="1">
      <c r="B20" s="191" t="s">
        <v>676</v>
      </c>
      <c r="C20" s="187"/>
      <c r="D20" s="187"/>
      <c r="E20" s="187"/>
      <c r="F20" s="101"/>
      <c r="G20" s="101"/>
      <c r="H20" s="101"/>
      <c r="I20" s="101"/>
    </row>
    <row r="21" spans="2:9" ht="15" customHeight="1">
      <c r="B21" s="284" t="s">
        <v>688</v>
      </c>
      <c r="C21" s="1130" t="s">
        <v>472</v>
      </c>
      <c r="D21" s="1130"/>
      <c r="E21" s="1130"/>
      <c r="F21" s="1130"/>
      <c r="G21" s="1130"/>
      <c r="H21" s="1130"/>
      <c r="I21" s="1131"/>
    </row>
    <row r="22" spans="2:9" ht="15" customHeight="1" thickBot="1">
      <c r="B22" s="96" t="s">
        <v>473</v>
      </c>
      <c r="C22" s="152" t="s">
        <v>474</v>
      </c>
      <c r="D22" s="152" t="s">
        <v>518</v>
      </c>
      <c r="E22" s="152" t="s">
        <v>475</v>
      </c>
      <c r="F22" s="152" t="s">
        <v>476</v>
      </c>
      <c r="G22" s="152" t="s">
        <v>477</v>
      </c>
      <c r="H22" s="152" t="s">
        <v>478</v>
      </c>
      <c r="I22" s="273" t="s">
        <v>479</v>
      </c>
    </row>
    <row r="23" spans="2:9" ht="15" customHeight="1">
      <c r="B23" s="407" t="s">
        <v>480</v>
      </c>
      <c r="C23" s="408" t="s">
        <v>689</v>
      </c>
      <c r="D23" s="567" t="s">
        <v>690</v>
      </c>
      <c r="E23" s="525">
        <v>1775</v>
      </c>
      <c r="F23" s="525">
        <v>2200</v>
      </c>
      <c r="G23" s="525">
        <f>F23</f>
        <v>2200</v>
      </c>
      <c r="H23" s="524" t="s">
        <v>325</v>
      </c>
      <c r="I23" s="411" t="s">
        <v>669</v>
      </c>
    </row>
    <row r="24" spans="2:9" ht="15" customHeight="1">
      <c r="B24" s="412" t="s">
        <v>480</v>
      </c>
      <c r="C24" s="413" t="s">
        <v>691</v>
      </c>
      <c r="D24" s="568" t="s">
        <v>690</v>
      </c>
      <c r="E24" s="525">
        <v>1775</v>
      </c>
      <c r="F24" s="525">
        <v>2200</v>
      </c>
      <c r="G24" s="525">
        <v>2200</v>
      </c>
      <c r="H24" s="521" t="s">
        <v>325</v>
      </c>
      <c r="I24" s="416" t="s">
        <v>669</v>
      </c>
    </row>
    <row r="25" spans="2:9" ht="15" customHeight="1">
      <c r="B25" s="412" t="s">
        <v>480</v>
      </c>
      <c r="C25" s="417" t="s">
        <v>692</v>
      </c>
      <c r="D25" s="568" t="s">
        <v>690</v>
      </c>
      <c r="E25" s="525">
        <v>1775</v>
      </c>
      <c r="F25" s="525">
        <v>2200</v>
      </c>
      <c r="G25" s="525">
        <v>2200</v>
      </c>
      <c r="H25" s="522" t="s">
        <v>325</v>
      </c>
      <c r="I25" s="416" t="s">
        <v>669</v>
      </c>
    </row>
    <row r="26" spans="2:9" ht="15" customHeight="1" thickBot="1">
      <c r="B26" s="418" t="s">
        <v>480</v>
      </c>
      <c r="C26" s="419" t="s">
        <v>693</v>
      </c>
      <c r="D26" s="569" t="s">
        <v>690</v>
      </c>
      <c r="E26" s="526">
        <v>1775</v>
      </c>
      <c r="F26" s="526">
        <v>2200</v>
      </c>
      <c r="G26" s="526">
        <v>2200</v>
      </c>
      <c r="H26" s="523" t="s">
        <v>325</v>
      </c>
      <c r="I26" s="421" t="s">
        <v>669</v>
      </c>
    </row>
    <row r="27" spans="2:9" ht="15" customHeight="1">
      <c r="B27" s="352"/>
      <c r="C27" s="352"/>
      <c r="D27" s="570"/>
      <c r="E27" s="353"/>
      <c r="F27" s="353"/>
      <c r="G27" s="353"/>
      <c r="H27" s="185" t="s">
        <v>694</v>
      </c>
      <c r="I27" s="197"/>
    </row>
    <row r="28" spans="2:9" ht="15" customHeight="1">
      <c r="B28" s="187"/>
      <c r="C28" s="187"/>
      <c r="D28" s="187"/>
      <c r="E28" s="187"/>
      <c r="F28" s="101"/>
      <c r="G28" s="101"/>
      <c r="I28" s="101"/>
    </row>
    <row r="29" spans="2:9" ht="15" customHeight="1">
      <c r="B29" s="191" t="s">
        <v>695</v>
      </c>
      <c r="C29" s="245"/>
      <c r="D29" s="245"/>
    </row>
    <row r="30" spans="2:9" ht="15" customHeight="1">
      <c r="B30" s="191" t="s">
        <v>526</v>
      </c>
      <c r="C30" s="187"/>
      <c r="D30" s="187"/>
      <c r="F30" s="106"/>
      <c r="G30" s="107"/>
      <c r="H30" s="107"/>
      <c r="I30" s="107"/>
    </row>
    <row r="31" spans="2:9" ht="15" customHeight="1">
      <c r="B31" s="104" t="s">
        <v>527</v>
      </c>
      <c r="C31" s="189"/>
      <c r="D31" s="189"/>
      <c r="E31" s="37"/>
      <c r="F31" s="37"/>
      <c r="G31" s="37"/>
      <c r="H31" s="37"/>
    </row>
    <row r="33" spans="2:5" ht="15" customHeight="1">
      <c r="B33" s="104" t="s">
        <v>655</v>
      </c>
      <c r="C33" s="191" t="s">
        <v>696</v>
      </c>
      <c r="D33" s="33"/>
      <c r="E33" s="33"/>
    </row>
    <row r="34" spans="2:5" ht="15" customHeight="1">
      <c r="B34" s="104" t="s">
        <v>697</v>
      </c>
      <c r="C34" s="191" t="s">
        <v>698</v>
      </c>
      <c r="D34" s="191"/>
      <c r="E34" s="189"/>
    </row>
    <row r="35" spans="2:5" ht="15" customHeight="1">
      <c r="B35" s="104" t="s">
        <v>699</v>
      </c>
      <c r="C35" s="191" t="s">
        <v>700</v>
      </c>
      <c r="D35" s="191"/>
      <c r="E35" s="189"/>
    </row>
    <row r="36" spans="2:5" ht="15" customHeight="1">
      <c r="B36" s="104" t="s">
        <v>528</v>
      </c>
      <c r="C36" s="191" t="s">
        <v>529</v>
      </c>
      <c r="D36" s="104"/>
      <c r="E36" s="189"/>
    </row>
    <row r="37" spans="2:5" s="37" customFormat="1" ht="15" customHeight="1">
      <c r="B37" s="104" t="s">
        <v>530</v>
      </c>
      <c r="C37" s="191" t="s">
        <v>628</v>
      </c>
      <c r="D37" s="191"/>
      <c r="E37" s="189"/>
    </row>
    <row r="38" spans="2:5" s="37" customFormat="1" ht="15" customHeight="1">
      <c r="B38" s="104" t="s">
        <v>534</v>
      </c>
      <c r="C38" s="191" t="s">
        <v>701</v>
      </c>
      <c r="D38" s="191"/>
      <c r="E38" s="189"/>
    </row>
    <row r="39" spans="2:5" ht="15" customHeight="1">
      <c r="B39" s="189"/>
      <c r="C39" s="244"/>
      <c r="D39" s="244"/>
      <c r="E39" s="189"/>
    </row>
    <row r="40" spans="2:5" ht="15" customHeight="1">
      <c r="B40" s="1133" t="s">
        <v>542</v>
      </c>
      <c r="C40" s="1133"/>
      <c r="D40" s="1133"/>
      <c r="E40" s="1133"/>
    </row>
    <row r="41" spans="2:5" ht="15" customHeight="1">
      <c r="B41" s="1133" t="s">
        <v>543</v>
      </c>
      <c r="C41" s="1133"/>
      <c r="D41" s="1133"/>
      <c r="E41" s="1133"/>
    </row>
    <row r="42" spans="2:5" ht="15" customHeight="1">
      <c r="B42" s="571"/>
      <c r="C42" s="571"/>
      <c r="D42" s="571"/>
      <c r="E42" s="571"/>
    </row>
    <row r="43" spans="2:5" ht="15" customHeight="1">
      <c r="B43" s="202" t="s">
        <v>575</v>
      </c>
      <c r="C43" s="243"/>
      <c r="D43" s="571"/>
      <c r="E43" s="571"/>
    </row>
  </sheetData>
  <mergeCells count="10">
    <mergeCell ref="F1:I1"/>
    <mergeCell ref="C2:I2"/>
    <mergeCell ref="B40:E40"/>
    <mergeCell ref="B41:E41"/>
    <mergeCell ref="B3:I3"/>
    <mergeCell ref="B4:I4"/>
    <mergeCell ref="B5:I5"/>
    <mergeCell ref="B6:I6"/>
    <mergeCell ref="C10:I10"/>
    <mergeCell ref="C21:I21"/>
  </mergeCells>
  <hyperlinks>
    <hyperlink ref="B40" r:id="rId1" display="http://www.oocl.com/eng/resourcecenter/globalinfo/Pages/default.aspx" xr:uid="{AE1D4919-F190-41E3-8C71-BA0D7EEA9795}"/>
    <hyperlink ref="B41" r:id="rId2" display="http://www.oocl.com/eng/resourcecenter/globalinfo/Pages/default.aspx" xr:uid="{843193C0-6E18-435C-A2B6-EA2BAA442C65}"/>
  </hyperlinks>
  <pageMargins left="0.7" right="0.7" top="0.75" bottom="0.75" header="0.3" footer="0.3"/>
  <pageSetup paperSize="9" orientation="portrait" verticalDpi="0"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1" tint="0.499984740745262"/>
  </sheetPr>
  <dimension ref="B1:N68"/>
  <sheetViews>
    <sheetView showGridLines="0" zoomScale="90" zoomScaleNormal="90" workbookViewId="0"/>
  </sheetViews>
  <sheetFormatPr defaultColWidth="9.140625" defaultRowHeight="12.75"/>
  <cols>
    <col min="1" max="1" width="8.5703125" style="2" customWidth="1"/>
    <col min="2" max="2" width="46" style="2" customWidth="1"/>
    <col min="3" max="3" width="54.140625" style="2" customWidth="1"/>
    <col min="4" max="4" width="21.28515625" style="2" customWidth="1"/>
    <col min="5" max="5" width="20.5703125" style="2" customWidth="1"/>
    <col min="6" max="6" width="21.5703125" style="2" customWidth="1"/>
    <col min="7" max="7" width="14" style="2" customWidth="1"/>
    <col min="8" max="8" width="32.42578125" style="2" customWidth="1"/>
    <col min="9" max="9" width="9.140625" style="2"/>
    <col min="10" max="10" width="9" style="2" customWidth="1"/>
    <col min="11" max="11" width="9.140625" style="2" hidden="1" customWidth="1"/>
    <col min="12" max="12" width="3" style="2" hidden="1" customWidth="1"/>
    <col min="13" max="14" width="9.140625" style="2" hidden="1" customWidth="1"/>
    <col min="15" max="16384" width="9.140625" style="2"/>
  </cols>
  <sheetData>
    <row r="1" spans="2:8" ht="13.5" thickBot="1"/>
    <row r="2" spans="2:8">
      <c r="B2" s="572"/>
      <c r="C2" s="573"/>
      <c r="D2" s="573"/>
      <c r="E2" s="573"/>
      <c r="F2" s="573"/>
      <c r="G2" s="573"/>
      <c r="H2" s="574"/>
    </row>
    <row r="3" spans="2:8">
      <c r="B3" s="1089" t="s">
        <v>470</v>
      </c>
      <c r="C3" s="1083"/>
      <c r="D3" s="1083"/>
      <c r="E3" s="1083"/>
      <c r="F3" s="1083"/>
      <c r="G3" s="1083"/>
      <c r="H3" s="1090"/>
    </row>
    <row r="4" spans="2:8">
      <c r="B4" s="1114" t="str">
        <f>Introduction!D8</f>
        <v xml:space="preserve">NEW: rate reference mentioned in your email </v>
      </c>
      <c r="C4" s="1115"/>
      <c r="D4" s="1115"/>
      <c r="E4" s="1115"/>
      <c r="F4" s="1115"/>
      <c r="G4" s="1115"/>
      <c r="H4" s="1116"/>
    </row>
    <row r="5" spans="2:8">
      <c r="B5" s="1096" t="str">
        <f>Introduction!B9</f>
        <v>valid as from 01.12.2025 - 31.01.2026</v>
      </c>
      <c r="C5" s="1071"/>
      <c r="D5" s="1071"/>
      <c r="E5" s="1071"/>
      <c r="F5" s="1071"/>
      <c r="G5" s="1071"/>
      <c r="H5" s="1097"/>
    </row>
    <row r="6" spans="2:8" ht="13.5" thickBot="1">
      <c r="B6" s="575"/>
      <c r="C6" s="576"/>
      <c r="D6" s="576"/>
      <c r="E6" s="576"/>
      <c r="F6" s="576"/>
      <c r="G6" s="576"/>
      <c r="H6" s="577"/>
    </row>
    <row r="8" spans="2:8" ht="13.5" thickBot="1">
      <c r="G8" s="186" t="s">
        <v>666</v>
      </c>
    </row>
    <row r="9" spans="2:8" ht="18.75" customHeight="1">
      <c r="B9" s="285" t="s">
        <v>702</v>
      </c>
      <c r="C9" s="1103" t="s">
        <v>472</v>
      </c>
      <c r="D9" s="1103"/>
      <c r="E9" s="1103"/>
      <c r="F9" s="1103"/>
      <c r="G9" s="1103"/>
      <c r="H9" s="1104"/>
    </row>
    <row r="10" spans="2:8" ht="18.75" customHeight="1">
      <c r="B10" s="240" t="s">
        <v>473</v>
      </c>
      <c r="C10" s="239" t="s">
        <v>474</v>
      </c>
      <c r="D10" s="239" t="s">
        <v>475</v>
      </c>
      <c r="E10" s="239" t="s">
        <v>476</v>
      </c>
      <c r="F10" s="239" t="s">
        <v>477</v>
      </c>
      <c r="G10" s="239" t="s">
        <v>478</v>
      </c>
      <c r="H10" s="241" t="s">
        <v>479</v>
      </c>
    </row>
    <row r="11" spans="2:8" ht="18.75" customHeight="1">
      <c r="B11" s="181" t="s">
        <v>496</v>
      </c>
      <c r="C11" s="176" t="s">
        <v>703</v>
      </c>
      <c r="D11" s="177">
        <v>550</v>
      </c>
      <c r="E11" s="178">
        <v>550</v>
      </c>
      <c r="F11" s="179">
        <v>550</v>
      </c>
      <c r="G11" s="180" t="s">
        <v>325</v>
      </c>
      <c r="H11" s="195" t="s">
        <v>669</v>
      </c>
    </row>
    <row r="12" spans="2:8" ht="18.75" customHeight="1">
      <c r="B12" s="181" t="s">
        <v>496</v>
      </c>
      <c r="C12" s="176" t="s">
        <v>704</v>
      </c>
      <c r="D12" s="177">
        <v>800</v>
      </c>
      <c r="E12" s="177">
        <v>850</v>
      </c>
      <c r="F12" s="177">
        <f>E12</f>
        <v>850</v>
      </c>
      <c r="G12" s="180" t="s">
        <v>325</v>
      </c>
      <c r="H12" s="195" t="s">
        <v>669</v>
      </c>
    </row>
    <row r="13" spans="2:8" ht="18.75" customHeight="1">
      <c r="B13" s="181" t="s">
        <v>647</v>
      </c>
      <c r="C13" s="176" t="s">
        <v>705</v>
      </c>
      <c r="D13" s="177">
        <v>1125</v>
      </c>
      <c r="E13" s="177">
        <v>1650</v>
      </c>
      <c r="F13" s="177">
        <f>E13</f>
        <v>1650</v>
      </c>
      <c r="G13" s="176" t="s">
        <v>325</v>
      </c>
      <c r="H13" s="195" t="s">
        <v>18</v>
      </c>
    </row>
    <row r="14" spans="2:8" ht="19.899999999999999" customHeight="1">
      <c r="B14" s="199" t="s">
        <v>706</v>
      </c>
      <c r="C14" s="176" t="s">
        <v>707</v>
      </c>
      <c r="D14" s="177">
        <f>D13</f>
        <v>1125</v>
      </c>
      <c r="E14" s="177">
        <f>E13</f>
        <v>1650</v>
      </c>
      <c r="F14" s="177">
        <f>F13</f>
        <v>1650</v>
      </c>
      <c r="G14" s="176" t="s">
        <v>325</v>
      </c>
      <c r="H14" s="195" t="s">
        <v>708</v>
      </c>
    </row>
    <row r="15" spans="2:8" ht="18.75" customHeight="1" thickBot="1">
      <c r="B15" s="161" t="s">
        <v>647</v>
      </c>
      <c r="C15" s="182" t="s">
        <v>709</v>
      </c>
      <c r="D15" s="183">
        <v>650</v>
      </c>
      <c r="E15" s="183">
        <v>750</v>
      </c>
      <c r="F15" s="184">
        <f>E15</f>
        <v>750</v>
      </c>
      <c r="G15" s="182" t="s">
        <v>325</v>
      </c>
      <c r="H15" s="196" t="s">
        <v>18</v>
      </c>
    </row>
    <row r="17" spans="2:8" ht="18.75" customHeight="1" thickBot="1">
      <c r="B17" s="1135"/>
      <c r="C17" s="1135"/>
      <c r="D17" s="1135"/>
      <c r="E17" s="1135"/>
      <c r="F17" s="1135"/>
      <c r="G17" s="1135"/>
      <c r="H17" s="1135"/>
    </row>
    <row r="18" spans="2:8" ht="18" customHeight="1" thickBot="1">
      <c r="B18" s="280" t="s">
        <v>504</v>
      </c>
      <c r="C18" s="1140" t="s">
        <v>710</v>
      </c>
      <c r="D18" s="1140"/>
      <c r="E18" s="1140"/>
      <c r="F18" s="1140"/>
      <c r="G18" s="1140"/>
      <c r="H18" s="1141"/>
    </row>
    <row r="19" spans="2:8" ht="18" customHeight="1" thickBot="1">
      <c r="B19" s="153" t="s">
        <v>473</v>
      </c>
      <c r="C19" s="152" t="s">
        <v>474</v>
      </c>
      <c r="D19" s="152" t="s">
        <v>475</v>
      </c>
      <c r="E19" s="152" t="s">
        <v>476</v>
      </c>
      <c r="F19" s="152" t="s">
        <v>477</v>
      </c>
      <c r="G19" s="257" t="s">
        <v>478</v>
      </c>
      <c r="H19" s="154" t="s">
        <v>479</v>
      </c>
    </row>
    <row r="20" spans="2:8" ht="18" customHeight="1">
      <c r="B20" s="1036" t="s">
        <v>506</v>
      </c>
      <c r="C20" s="1037" t="s">
        <v>507</v>
      </c>
      <c r="D20" s="1037">
        <v>1300</v>
      </c>
      <c r="E20" s="1037">
        <v>1600</v>
      </c>
      <c r="F20" s="1037">
        <v>1600</v>
      </c>
      <c r="G20" s="1038" t="s">
        <v>478</v>
      </c>
      <c r="H20" s="1039" t="s">
        <v>485</v>
      </c>
    </row>
    <row r="21" spans="2:8" ht="18" customHeight="1" thickBot="1">
      <c r="B21" s="458" t="s">
        <v>493</v>
      </c>
      <c r="C21" s="459" t="s">
        <v>508</v>
      </c>
      <c r="D21" s="998">
        <v>550</v>
      </c>
      <c r="E21" s="998">
        <v>550</v>
      </c>
      <c r="F21" s="999">
        <v>550</v>
      </c>
      <c r="G21" s="460" t="s">
        <v>478</v>
      </c>
      <c r="H21" s="461" t="s">
        <v>18</v>
      </c>
    </row>
    <row r="22" spans="2:8" ht="13.5" customHeight="1" thickBot="1">
      <c r="B22" s="1000"/>
      <c r="C22" s="223"/>
      <c r="D22" s="163"/>
      <c r="E22" s="163"/>
      <c r="F22" s="164"/>
      <c r="G22" s="1001"/>
      <c r="H22" s="1001"/>
    </row>
    <row r="23" spans="2:8" ht="13.5" customHeight="1">
      <c r="B23" s="285" t="s">
        <v>711</v>
      </c>
      <c r="C23" s="1103" t="s">
        <v>712</v>
      </c>
      <c r="D23" s="1103"/>
      <c r="E23" s="1103"/>
      <c r="F23" s="1103"/>
      <c r="G23" s="1103"/>
      <c r="H23" s="1104"/>
    </row>
    <row r="24" spans="2:8" ht="13.5" thickBot="1">
      <c r="B24" s="1142" t="s">
        <v>713</v>
      </c>
      <c r="C24" s="1143"/>
      <c r="D24" s="1143"/>
      <c r="E24" s="1143"/>
      <c r="F24" s="1143"/>
      <c r="G24" s="1143"/>
      <c r="H24" s="1144"/>
    </row>
    <row r="25" spans="2:8">
      <c r="B25" s="229" t="s">
        <v>714</v>
      </c>
      <c r="C25" s="197"/>
      <c r="D25" s="163"/>
      <c r="E25" s="175"/>
      <c r="F25" s="164"/>
      <c r="G25" s="155"/>
      <c r="H25" s="165"/>
    </row>
    <row r="26" spans="2:8">
      <c r="B26" s="651"/>
      <c r="C26" s="197"/>
      <c r="D26" s="163"/>
      <c r="E26" s="175"/>
      <c r="F26" s="164"/>
      <c r="G26" s="155"/>
      <c r="H26" s="165"/>
    </row>
    <row r="27" spans="2:8" ht="13.5" thickBot="1">
      <c r="B27" s="923" t="s">
        <v>715</v>
      </c>
      <c r="C27" s="231"/>
      <c r="D27" s="232"/>
      <c r="E27" s="233"/>
      <c r="F27" s="234"/>
      <c r="G27" s="235"/>
      <c r="H27" s="236"/>
    </row>
    <row r="28" spans="2:8" ht="13.5" thickBot="1">
      <c r="B28" s="197"/>
      <c r="C28" s="197"/>
      <c r="D28" s="163"/>
      <c r="E28" s="175"/>
      <c r="F28" s="164"/>
      <c r="G28" s="155"/>
      <c r="H28" s="197"/>
    </row>
    <row r="29" spans="2:8" ht="13.5" thickBot="1">
      <c r="B29" s="286" t="s">
        <v>716</v>
      </c>
      <c r="C29" s="1140"/>
      <c r="D29" s="1140"/>
      <c r="E29" s="1140"/>
      <c r="F29" s="1140"/>
      <c r="G29" s="1140"/>
      <c r="H29" s="1141"/>
    </row>
    <row r="30" spans="2:8">
      <c r="B30" s="651" t="s">
        <v>717</v>
      </c>
      <c r="C30" s="197"/>
      <c r="D30" s="163"/>
      <c r="E30" s="175"/>
      <c r="F30" s="164"/>
      <c r="G30" s="155"/>
      <c r="H30" s="165"/>
    </row>
    <row r="31" spans="2:8">
      <c r="B31" s="578" t="s">
        <v>718</v>
      </c>
      <c r="C31" s="197"/>
      <c r="H31" s="924"/>
    </row>
    <row r="32" spans="2:8" ht="13.5" thickBot="1">
      <c r="B32" s="230"/>
      <c r="C32" s="231"/>
      <c r="D32" s="576"/>
      <c r="E32" s="576"/>
      <c r="F32" s="576"/>
      <c r="G32" s="576"/>
      <c r="H32" s="577"/>
    </row>
    <row r="33" spans="2:3">
      <c r="B33" s="197"/>
      <c r="C33" s="197"/>
    </row>
    <row r="34" spans="2:3" s="40" customFormat="1" ht="15" customHeight="1">
      <c r="B34" s="464" t="s">
        <v>719</v>
      </c>
    </row>
    <row r="35" spans="2:3" ht="15" customHeight="1">
      <c r="B35" s="40" t="s">
        <v>526</v>
      </c>
      <c r="C35" s="197"/>
    </row>
    <row r="36" spans="2:3" s="9" customFormat="1" ht="15" customHeight="1">
      <c r="B36" s="93" t="s">
        <v>527</v>
      </c>
      <c r="C36" s="33"/>
    </row>
    <row r="37" spans="2:3">
      <c r="B37" s="34"/>
      <c r="C37" s="33"/>
    </row>
    <row r="38" spans="2:3" ht="15" customHeight="1">
      <c r="B38" s="93" t="s">
        <v>528</v>
      </c>
      <c r="C38" s="40" t="s">
        <v>529</v>
      </c>
    </row>
    <row r="39" spans="2:3" ht="15" customHeight="1">
      <c r="B39" s="93" t="s">
        <v>530</v>
      </c>
      <c r="C39" s="40" t="s">
        <v>628</v>
      </c>
    </row>
    <row r="40" spans="2:3" ht="15" customHeight="1">
      <c r="B40" s="93" t="s">
        <v>720</v>
      </c>
      <c r="C40" s="40" t="s">
        <v>535</v>
      </c>
    </row>
    <row r="41" spans="2:3" ht="15" customHeight="1">
      <c r="B41" s="93" t="s">
        <v>721</v>
      </c>
      <c r="C41" s="275" t="s">
        <v>722</v>
      </c>
    </row>
    <row r="42" spans="2:3" ht="15" customHeight="1">
      <c r="B42" s="34" t="s">
        <v>538</v>
      </c>
      <c r="C42" s="33" t="s">
        <v>539</v>
      </c>
    </row>
    <row r="43" spans="2:3" ht="15" customHeight="1">
      <c r="B43" s="34" t="s">
        <v>540</v>
      </c>
      <c r="C43" s="33" t="s">
        <v>541</v>
      </c>
    </row>
    <row r="44" spans="2:3" ht="15" customHeight="1">
      <c r="B44" s="34" t="s">
        <v>723</v>
      </c>
      <c r="C44" s="33" t="s">
        <v>724</v>
      </c>
    </row>
    <row r="45" spans="2:3" ht="15" customHeight="1">
      <c r="B45" s="33"/>
      <c r="C45" s="33"/>
    </row>
    <row r="46" spans="2:3" ht="15" customHeight="1">
      <c r="B46" s="541" t="s">
        <v>542</v>
      </c>
    </row>
    <row r="47" spans="2:3" ht="15" customHeight="1">
      <c r="B47" s="541" t="s">
        <v>543</v>
      </c>
    </row>
    <row r="48" spans="2:3" ht="15" customHeight="1"/>
    <row r="49" spans="2:2" ht="15" customHeight="1">
      <c r="B49" s="276" t="s">
        <v>725</v>
      </c>
    </row>
    <row r="50" spans="2:2" ht="15" customHeight="1">
      <c r="B50" s="40" t="s">
        <v>726</v>
      </c>
    </row>
    <row r="51" spans="2:2" ht="15" customHeight="1">
      <c r="B51" s="40"/>
    </row>
    <row r="52" spans="2:2" ht="15" customHeight="1">
      <c r="B52" s="40" t="s">
        <v>727</v>
      </c>
    </row>
    <row r="53" spans="2:2" ht="15" customHeight="1">
      <c r="B53" s="652" t="s">
        <v>546</v>
      </c>
    </row>
    <row r="54" spans="2:2" ht="15" customHeight="1">
      <c r="B54" s="652" t="s">
        <v>547</v>
      </c>
    </row>
    <row r="55" spans="2:2" ht="15" customHeight="1">
      <c r="B55" s="652" t="s">
        <v>548</v>
      </c>
    </row>
    <row r="56" spans="2:2" ht="15" customHeight="1">
      <c r="B56" s="652" t="s">
        <v>549</v>
      </c>
    </row>
    <row r="57" spans="2:2" ht="15" customHeight="1">
      <c r="B57" s="652" t="s">
        <v>550</v>
      </c>
    </row>
    <row r="58" spans="2:2" ht="15" customHeight="1">
      <c r="B58" s="652" t="s">
        <v>551</v>
      </c>
    </row>
    <row r="59" spans="2:2" ht="15" customHeight="1">
      <c r="B59" s="652" t="s">
        <v>552</v>
      </c>
    </row>
    <row r="60" spans="2:2" ht="15" customHeight="1">
      <c r="B60" s="652" t="s">
        <v>553</v>
      </c>
    </row>
    <row r="61" spans="2:2" ht="15" customHeight="1">
      <c r="B61" s="33"/>
    </row>
    <row r="62" spans="2:2" ht="15" customHeight="1">
      <c r="B62" s="33" t="s">
        <v>728</v>
      </c>
    </row>
    <row r="63" spans="2:2" ht="15" customHeight="1">
      <c r="B63" s="541" t="s">
        <v>729</v>
      </c>
    </row>
    <row r="64" spans="2:2" ht="15" customHeight="1">
      <c r="B64" s="541"/>
    </row>
    <row r="65" spans="2:2" ht="15" customHeight="1">
      <c r="B65" s="39" t="s">
        <v>730</v>
      </c>
    </row>
    <row r="66" spans="2:2" ht="15" customHeight="1">
      <c r="B66" s="541" t="s">
        <v>731</v>
      </c>
    </row>
    <row r="67" spans="2:2" ht="15" customHeight="1"/>
    <row r="68" spans="2:2">
      <c r="B68" s="202" t="s">
        <v>575</v>
      </c>
    </row>
  </sheetData>
  <mergeCells count="9">
    <mergeCell ref="C29:H29"/>
    <mergeCell ref="B24:H24"/>
    <mergeCell ref="C23:H23"/>
    <mergeCell ref="B3:H3"/>
    <mergeCell ref="B4:H4"/>
    <mergeCell ref="B5:H5"/>
    <mergeCell ref="C9:H9"/>
    <mergeCell ref="B17:H17"/>
    <mergeCell ref="C18:H18"/>
  </mergeCells>
  <phoneticPr fontId="79" type="noConversion"/>
  <hyperlinks>
    <hyperlink ref="B47" r:id="rId1" display="http://www.oocl.com/eng/resourcecenter/globalinfo/Pages/default.aspx" xr:uid="{00000000-0004-0000-0A00-000000000000}"/>
    <hyperlink ref="B46" r:id="rId2" display="http://www.oocl.com/eng/resourcecenter/globalinfo/Pages/default.aspx" xr:uid="{00000000-0004-0000-0A00-000001000000}"/>
    <hyperlink ref="B27" r:id="rId3" display="https://www.oocl.com/india/eng/localinformation/localsurcharges/Pages/default.aspx?site=india&amp;lang=eng" xr:uid="{B5943AB7-F12F-40BC-BD0D-06136A96BAA7}"/>
    <hyperlink ref="B31" r:id="rId4" display="https://www.oocl.com/india/eng/localinformation/ddfreetime/Pages/default.aspx?site=india&amp;lang=eng" xr:uid="{11A20472-AEBC-4054-80B4-F34728DC511C}"/>
    <hyperlink ref="B63" r:id="rId5" xr:uid="{11690BBF-812E-4FFE-9AC3-2987E1E5257E}"/>
    <hyperlink ref="B66" r:id="rId6" xr:uid="{F02AEDD6-12F1-4DE6-A62E-B6A087D92053}"/>
  </hyperlinks>
  <pageMargins left="0.7" right="0.7" top="0.75" bottom="0.75" header="0.3" footer="0.3"/>
  <pageSetup paperSize="9" orientation="portrait" verticalDpi="360" r:id="rId7"/>
  <ignoredErrors>
    <ignoredError sqref="F14" formula="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0" tint="-0.14999847407452621"/>
    <pageSetUpPr fitToPage="1"/>
  </sheetPr>
  <dimension ref="A1:K70"/>
  <sheetViews>
    <sheetView showGridLines="0" zoomScale="90" zoomScaleNormal="90" zoomScaleSheetLayoutView="75" workbookViewId="0">
      <selection activeCell="F22" sqref="E22:F22"/>
    </sheetView>
  </sheetViews>
  <sheetFormatPr defaultColWidth="11.42578125" defaultRowHeight="12.75"/>
  <cols>
    <col min="1" max="1" width="8.5703125" style="2" customWidth="1"/>
    <col min="2" max="2" width="31.42578125" style="2" customWidth="1"/>
    <col min="3" max="3" width="19.28515625" style="2" customWidth="1"/>
    <col min="4" max="4" width="41.28515625" style="2" customWidth="1"/>
    <col min="5" max="5" width="24.28515625" style="2" customWidth="1"/>
    <col min="6" max="6" width="21.85546875" style="2" customWidth="1"/>
    <col min="7" max="7" width="22.85546875" style="2" customWidth="1"/>
    <col min="8" max="8" width="11.42578125" style="2"/>
    <col min="9" max="9" width="16.42578125" style="2" customWidth="1"/>
    <col min="10" max="12" width="11.42578125" style="2" customWidth="1"/>
    <col min="13" max="16384" width="11.42578125" style="2"/>
  </cols>
  <sheetData>
    <row r="1" spans="1:11" ht="13.5" thickBot="1"/>
    <row r="2" spans="1:11">
      <c r="B2" s="157"/>
      <c r="C2" s="158"/>
      <c r="D2" s="158"/>
      <c r="E2" s="158"/>
      <c r="F2" s="158"/>
      <c r="G2" s="159"/>
    </row>
    <row r="3" spans="1:11" ht="15" customHeight="1">
      <c r="B3" s="1089" t="s">
        <v>470</v>
      </c>
      <c r="C3" s="1083"/>
      <c r="D3" s="1083"/>
      <c r="E3" s="1083"/>
      <c r="F3" s="1083"/>
      <c r="G3" s="1090"/>
      <c r="H3" s="7"/>
      <c r="I3" s="7"/>
      <c r="J3" s="7"/>
    </row>
    <row r="4" spans="1:11" ht="12.75" customHeight="1">
      <c r="B4" s="1114" t="str">
        <f>Introduction!D8</f>
        <v xml:space="preserve">NEW: rate reference mentioned in your email </v>
      </c>
      <c r="C4" s="1115"/>
      <c r="D4" s="1115"/>
      <c r="E4" s="1115"/>
      <c r="F4" s="1115"/>
      <c r="G4" s="1116"/>
      <c r="K4" s="187"/>
    </row>
    <row r="5" spans="1:11">
      <c r="B5" s="1121" t="str">
        <f>Introduction!B9</f>
        <v>valid as from 01.12.2025 - 31.01.2026</v>
      </c>
      <c r="C5" s="1071"/>
      <c r="D5" s="1071"/>
      <c r="E5" s="1071"/>
      <c r="F5" s="1071"/>
      <c r="G5" s="1122"/>
    </row>
    <row r="6" spans="1:11" ht="12.75" customHeight="1" thickBot="1">
      <c r="B6" s="579"/>
      <c r="C6" s="580"/>
      <c r="D6" s="580"/>
      <c r="E6" s="580"/>
      <c r="F6" s="580"/>
      <c r="G6" s="581"/>
    </row>
    <row r="7" spans="1:11" ht="12.75" customHeight="1">
      <c r="B7" s="582"/>
      <c r="C7" s="582"/>
      <c r="D7" s="582"/>
      <c r="E7" s="582"/>
      <c r="F7" s="582"/>
      <c r="G7" s="582"/>
    </row>
    <row r="8" spans="1:11" ht="12.75" customHeight="1" thickBot="1">
      <c r="B8" s="582"/>
      <c r="C8" s="582"/>
      <c r="D8" s="582"/>
      <c r="E8" s="582"/>
      <c r="F8" s="582"/>
      <c r="G8" s="582"/>
    </row>
    <row r="9" spans="1:11" s="9" customFormat="1" ht="16.350000000000001" customHeight="1">
      <c r="B9" s="280" t="s">
        <v>732</v>
      </c>
      <c r="C9" s="281"/>
      <c r="D9" s="1103" t="s">
        <v>472</v>
      </c>
      <c r="E9" s="1103"/>
      <c r="F9" s="1103"/>
      <c r="G9" s="1104"/>
    </row>
    <row r="10" spans="1:11" ht="15" customHeight="1">
      <c r="A10" s="3"/>
      <c r="B10" s="153" t="s">
        <v>473</v>
      </c>
      <c r="C10" s="152" t="s">
        <v>474</v>
      </c>
      <c r="D10" s="152" t="s">
        <v>733</v>
      </c>
      <c r="E10" s="152" t="s">
        <v>475</v>
      </c>
      <c r="F10" s="152" t="s">
        <v>476</v>
      </c>
      <c r="G10" s="154" t="s">
        <v>477</v>
      </c>
    </row>
    <row r="11" spans="1:11" ht="15" customHeight="1">
      <c r="A11" s="3"/>
      <c r="B11" s="169" t="s">
        <v>510</v>
      </c>
      <c r="C11" s="166" t="s">
        <v>610</v>
      </c>
      <c r="D11" s="583" t="s">
        <v>734</v>
      </c>
      <c r="E11" s="167">
        <v>800</v>
      </c>
      <c r="F11" s="168">
        <v>1300</v>
      </c>
      <c r="G11" s="170">
        <v>1300</v>
      </c>
    </row>
    <row r="12" spans="1:11" ht="15" customHeight="1">
      <c r="A12" s="3"/>
      <c r="B12" s="169" t="s">
        <v>510</v>
      </c>
      <c r="C12" s="166" t="s">
        <v>609</v>
      </c>
      <c r="D12" s="583" t="s">
        <v>734</v>
      </c>
      <c r="E12" s="167">
        <f>E13</f>
        <v>800</v>
      </c>
      <c r="F12" s="168">
        <f>F11</f>
        <v>1300</v>
      </c>
      <c r="G12" s="170">
        <f t="shared" ref="G12:G17" si="0">F12</f>
        <v>1300</v>
      </c>
    </row>
    <row r="13" spans="1:11" ht="15" customHeight="1">
      <c r="A13" s="3"/>
      <c r="B13" s="169" t="s">
        <v>510</v>
      </c>
      <c r="C13" s="166" t="s">
        <v>608</v>
      </c>
      <c r="D13" s="583" t="s">
        <v>735</v>
      </c>
      <c r="E13" s="167">
        <f>E11</f>
        <v>800</v>
      </c>
      <c r="F13" s="168">
        <f>F11</f>
        <v>1300</v>
      </c>
      <c r="G13" s="170">
        <f t="shared" si="0"/>
        <v>1300</v>
      </c>
    </row>
    <row r="14" spans="1:11" ht="15" customHeight="1">
      <c r="A14" s="3"/>
      <c r="B14" s="169" t="s">
        <v>510</v>
      </c>
      <c r="C14" s="166" t="s">
        <v>607</v>
      </c>
      <c r="D14" s="583" t="s">
        <v>735</v>
      </c>
      <c r="E14" s="167">
        <f>E13</f>
        <v>800</v>
      </c>
      <c r="F14" s="168">
        <f>F11</f>
        <v>1300</v>
      </c>
      <c r="G14" s="170">
        <f t="shared" si="0"/>
        <v>1300</v>
      </c>
    </row>
    <row r="15" spans="1:11" ht="15" customHeight="1">
      <c r="A15" s="3"/>
      <c r="B15" s="169" t="s">
        <v>510</v>
      </c>
      <c r="C15" s="166" t="s">
        <v>606</v>
      </c>
      <c r="D15" s="583" t="s">
        <v>734</v>
      </c>
      <c r="E15" s="167">
        <f>E14</f>
        <v>800</v>
      </c>
      <c r="F15" s="168">
        <f>F11</f>
        <v>1300</v>
      </c>
      <c r="G15" s="170">
        <f t="shared" si="0"/>
        <v>1300</v>
      </c>
    </row>
    <row r="16" spans="1:11" ht="15" customHeight="1">
      <c r="A16" s="3"/>
      <c r="B16" s="169" t="s">
        <v>510</v>
      </c>
      <c r="C16" s="166" t="s">
        <v>736</v>
      </c>
      <c r="D16" s="584" t="s">
        <v>737</v>
      </c>
      <c r="E16" s="167">
        <v>2430</v>
      </c>
      <c r="F16" s="168">
        <v>3725</v>
      </c>
      <c r="G16" s="170">
        <f t="shared" si="0"/>
        <v>3725</v>
      </c>
    </row>
    <row r="17" spans="1:8" ht="15" customHeight="1" thickBot="1">
      <c r="A17" s="3"/>
      <c r="B17" s="252" t="s">
        <v>510</v>
      </c>
      <c r="C17" s="253" t="s">
        <v>207</v>
      </c>
      <c r="D17" s="585" t="s">
        <v>738</v>
      </c>
      <c r="E17" s="254">
        <f>E15+305</f>
        <v>1105</v>
      </c>
      <c r="F17" s="255">
        <f>F15+405</f>
        <v>1705</v>
      </c>
      <c r="G17" s="256">
        <f t="shared" si="0"/>
        <v>1705</v>
      </c>
    </row>
    <row r="18" spans="1:8" ht="15" customHeight="1" thickBot="1">
      <c r="A18" s="3"/>
      <c r="B18" s="93"/>
      <c r="C18" s="1"/>
      <c r="F18" s="586"/>
      <c r="G18" s="586"/>
    </row>
    <row r="19" spans="1:8" ht="17.25" customHeight="1">
      <c r="B19" s="280" t="s">
        <v>739</v>
      </c>
      <c r="C19" s="281"/>
      <c r="D19" s="1103" t="s">
        <v>472</v>
      </c>
      <c r="E19" s="1103"/>
      <c r="F19" s="1103"/>
      <c r="G19" s="1104"/>
    </row>
    <row r="20" spans="1:8" ht="17.25" customHeight="1">
      <c r="B20" s="153" t="s">
        <v>473</v>
      </c>
      <c r="C20" s="152" t="s">
        <v>474</v>
      </c>
      <c r="D20" s="152" t="s">
        <v>733</v>
      </c>
      <c r="E20" s="152" t="s">
        <v>475</v>
      </c>
      <c r="F20" s="152" t="s">
        <v>476</v>
      </c>
      <c r="G20" s="154" t="s">
        <v>477</v>
      </c>
    </row>
    <row r="21" spans="1:8" ht="15" customHeight="1">
      <c r="B21" s="169" t="s">
        <v>510</v>
      </c>
      <c r="C21" s="166" t="s">
        <v>612</v>
      </c>
      <c r="D21" s="583" t="s">
        <v>734</v>
      </c>
      <c r="E21" s="167">
        <v>1150</v>
      </c>
      <c r="F21" s="168">
        <v>1500</v>
      </c>
      <c r="G21" s="170">
        <f>F21</f>
        <v>1500</v>
      </c>
    </row>
    <row r="22" spans="1:8" ht="15" customHeight="1">
      <c r="B22" s="169" t="s">
        <v>510</v>
      </c>
      <c r="C22" s="166" t="s">
        <v>613</v>
      </c>
      <c r="D22" s="583" t="s">
        <v>734</v>
      </c>
      <c r="E22" s="167">
        <f>E21</f>
        <v>1150</v>
      </c>
      <c r="F22" s="168">
        <f>F21</f>
        <v>1500</v>
      </c>
      <c r="G22" s="170">
        <f t="shared" ref="G22:G24" si="1">F22</f>
        <v>1500</v>
      </c>
    </row>
    <row r="23" spans="1:8" ht="15" customHeight="1">
      <c r="B23" s="169" t="s">
        <v>510</v>
      </c>
      <c r="C23" s="166" t="s">
        <v>614</v>
      </c>
      <c r="D23" s="583" t="s">
        <v>734</v>
      </c>
      <c r="E23" s="167">
        <f>E21</f>
        <v>1150</v>
      </c>
      <c r="F23" s="168">
        <f>F21</f>
        <v>1500</v>
      </c>
      <c r="G23" s="170">
        <f t="shared" si="1"/>
        <v>1500</v>
      </c>
    </row>
    <row r="24" spans="1:8" ht="15" customHeight="1">
      <c r="B24" s="169" t="s">
        <v>510</v>
      </c>
      <c r="C24" s="166" t="s">
        <v>615</v>
      </c>
      <c r="D24" s="583" t="s">
        <v>734</v>
      </c>
      <c r="E24" s="167">
        <f>E21</f>
        <v>1150</v>
      </c>
      <c r="F24" s="168">
        <f>F21</f>
        <v>1500</v>
      </c>
      <c r="G24" s="170">
        <f t="shared" si="1"/>
        <v>1500</v>
      </c>
    </row>
    <row r="25" spans="1:8" ht="15" customHeight="1" thickBot="1">
      <c r="B25" s="171" t="s">
        <v>510</v>
      </c>
      <c r="C25" s="172" t="s">
        <v>740</v>
      </c>
      <c r="D25" s="587" t="s">
        <v>734</v>
      </c>
      <c r="E25" s="173">
        <f>E21</f>
        <v>1150</v>
      </c>
      <c r="F25" s="174">
        <f>F21</f>
        <v>1500</v>
      </c>
      <c r="G25" s="925">
        <f>F25</f>
        <v>1500</v>
      </c>
    </row>
    <row r="26" spans="1:8" ht="15" customHeight="1">
      <c r="B26" s="35"/>
      <c r="C26" s="41"/>
      <c r="D26" s="41"/>
      <c r="E26" s="108"/>
      <c r="F26" s="42"/>
      <c r="G26" s="42"/>
    </row>
    <row r="27" spans="1:8" ht="15" customHeight="1">
      <c r="B27" s="40" t="s">
        <v>741</v>
      </c>
    </row>
    <row r="28" spans="1:8" ht="15" customHeight="1">
      <c r="B28" s="40" t="s">
        <v>526</v>
      </c>
    </row>
    <row r="29" spans="1:8" ht="15" customHeight="1">
      <c r="B29" s="93" t="s">
        <v>527</v>
      </c>
      <c r="C29" s="33"/>
      <c r="D29" s="33"/>
      <c r="E29" s="33"/>
      <c r="F29" s="33"/>
    </row>
    <row r="30" spans="1:8">
      <c r="B30" s="34"/>
      <c r="C30" s="33"/>
      <c r="D30" s="33"/>
      <c r="E30" s="33"/>
      <c r="F30" s="33"/>
    </row>
    <row r="31" spans="1:8" ht="15" customHeight="1">
      <c r="B31" s="93" t="s">
        <v>655</v>
      </c>
      <c r="C31" s="40" t="s">
        <v>742</v>
      </c>
      <c r="D31" s="40"/>
      <c r="E31" s="33"/>
      <c r="F31" s="33"/>
    </row>
    <row r="32" spans="1:8" s="9" customFormat="1" ht="15" customHeight="1">
      <c r="B32" s="104" t="s">
        <v>697</v>
      </c>
      <c r="C32" s="40" t="s">
        <v>743</v>
      </c>
      <c r="D32" s="40"/>
      <c r="E32" s="33"/>
      <c r="F32" s="33"/>
      <c r="G32" s="33"/>
      <c r="H32" s="33"/>
    </row>
    <row r="33" spans="2:8" ht="15" customHeight="1">
      <c r="B33" s="93" t="s">
        <v>528</v>
      </c>
      <c r="C33" s="40" t="s">
        <v>529</v>
      </c>
      <c r="D33" s="40"/>
      <c r="E33" s="33"/>
      <c r="F33" s="33"/>
    </row>
    <row r="34" spans="2:8" ht="15" customHeight="1">
      <c r="B34" s="93" t="s">
        <v>530</v>
      </c>
      <c r="C34" s="40" t="s">
        <v>628</v>
      </c>
      <c r="D34" s="40"/>
      <c r="E34" s="33"/>
      <c r="F34" s="33"/>
    </row>
    <row r="35" spans="2:8" s="37" customFormat="1" ht="15" customHeight="1">
      <c r="B35" s="93" t="s">
        <v>532</v>
      </c>
      <c r="C35" s="40" t="s">
        <v>744</v>
      </c>
      <c r="D35" s="40"/>
      <c r="E35" s="33"/>
      <c r="F35" s="33"/>
      <c r="G35" s="33"/>
      <c r="H35" s="33"/>
    </row>
    <row r="36" spans="2:8" ht="15" customHeight="1">
      <c r="B36" s="93" t="s">
        <v>534</v>
      </c>
      <c r="C36" s="40" t="s">
        <v>745</v>
      </c>
      <c r="D36" s="40"/>
      <c r="E36" s="33"/>
      <c r="F36" s="33"/>
    </row>
    <row r="37" spans="2:8" ht="15" customHeight="1">
      <c r="B37" s="33"/>
      <c r="C37" s="34"/>
      <c r="D37" s="33"/>
      <c r="E37" s="33"/>
      <c r="F37" s="33"/>
    </row>
    <row r="38" spans="2:8" ht="15" customHeight="1">
      <c r="B38" s="1129" t="s">
        <v>542</v>
      </c>
      <c r="C38" s="1129"/>
      <c r="D38" s="1129"/>
      <c r="E38" s="1129"/>
      <c r="F38" s="1129"/>
      <c r="G38" s="1129"/>
    </row>
    <row r="39" spans="2:8" ht="15" customHeight="1">
      <c r="B39" s="1129" t="s">
        <v>543</v>
      </c>
      <c r="C39" s="1129"/>
      <c r="D39" s="1129"/>
      <c r="E39" s="1129"/>
      <c r="F39" s="1129"/>
      <c r="G39" s="1129"/>
    </row>
    <row r="40" spans="2:8" ht="15" customHeight="1">
      <c r="B40" s="541"/>
    </row>
    <row r="41" spans="2:8" ht="15" customHeight="1">
      <c r="B41" s="93" t="s">
        <v>544</v>
      </c>
    </row>
    <row r="42" spans="2:8" ht="15" customHeight="1">
      <c r="B42" s="541"/>
    </row>
    <row r="43" spans="2:8" ht="15" customHeight="1">
      <c r="B43" s="40" t="s">
        <v>545</v>
      </c>
    </row>
    <row r="44" spans="2:8" ht="15" customHeight="1">
      <c r="B44" s="40" t="s">
        <v>546</v>
      </c>
    </row>
    <row r="45" spans="2:8" ht="15" customHeight="1">
      <c r="B45" s="40" t="s">
        <v>547</v>
      </c>
    </row>
    <row r="46" spans="2:8" ht="15" customHeight="1">
      <c r="B46" s="40" t="s">
        <v>548</v>
      </c>
    </row>
    <row r="47" spans="2:8" ht="15" customHeight="1">
      <c r="B47" s="40" t="s">
        <v>549</v>
      </c>
    </row>
    <row r="48" spans="2:8" ht="15" customHeight="1">
      <c r="B48" s="40" t="s">
        <v>550</v>
      </c>
    </row>
    <row r="49" spans="2:7" ht="15" customHeight="1">
      <c r="B49" s="40" t="s">
        <v>551</v>
      </c>
    </row>
    <row r="50" spans="2:7" ht="15" customHeight="1">
      <c r="B50" s="40" t="s">
        <v>552</v>
      </c>
    </row>
    <row r="51" spans="2:7" ht="15" customHeight="1">
      <c r="B51" s="40" t="s">
        <v>553</v>
      </c>
    </row>
    <row r="52" spans="2:7" ht="15" customHeight="1">
      <c r="B52" s="40"/>
    </row>
    <row r="53" spans="2:7" ht="15" customHeight="1">
      <c r="B53" s="40"/>
    </row>
    <row r="54" spans="2:7" ht="15" customHeight="1">
      <c r="B54" s="40" t="s">
        <v>554</v>
      </c>
      <c r="D54" s="30"/>
      <c r="E54" s="29"/>
      <c r="F54" s="29"/>
      <c r="G54" s="29"/>
    </row>
    <row r="55" spans="2:7" ht="15" customHeight="1">
      <c r="B55" s="40" t="s">
        <v>555</v>
      </c>
      <c r="C55" s="40" t="s">
        <v>556</v>
      </c>
      <c r="D55" s="30"/>
      <c r="E55" s="29"/>
      <c r="F55" s="29"/>
      <c r="G55" s="29"/>
    </row>
    <row r="56" spans="2:7" ht="15" customHeight="1">
      <c r="B56" s="40" t="s">
        <v>557</v>
      </c>
      <c r="C56" s="40" t="s">
        <v>558</v>
      </c>
      <c r="D56" s="30"/>
      <c r="E56" s="29"/>
      <c r="F56" s="29"/>
      <c r="G56" s="29"/>
    </row>
    <row r="57" spans="2:7" ht="15" customHeight="1">
      <c r="B57" s="40" t="s">
        <v>559</v>
      </c>
      <c r="C57" s="40" t="s">
        <v>560</v>
      </c>
      <c r="D57" s="40"/>
      <c r="E57" s="29"/>
      <c r="F57" s="29"/>
      <c r="G57" s="29"/>
    </row>
    <row r="58" spans="2:7" ht="15" customHeight="1">
      <c r="B58" s="40" t="s">
        <v>561</v>
      </c>
      <c r="C58" s="40" t="s">
        <v>562</v>
      </c>
      <c r="D58" s="40"/>
      <c r="E58" s="29"/>
      <c r="F58" s="29"/>
      <c r="G58" s="29"/>
    </row>
    <row r="59" spans="2:7" ht="15" customHeight="1">
      <c r="B59" s="40" t="s">
        <v>563</v>
      </c>
      <c r="C59" s="40" t="s">
        <v>564</v>
      </c>
      <c r="D59" s="30"/>
      <c r="E59" s="29"/>
      <c r="F59" s="29"/>
      <c r="G59" s="29"/>
    </row>
    <row r="60" spans="2:7">
      <c r="B60" s="40" t="s">
        <v>565</v>
      </c>
      <c r="C60" s="40" t="s">
        <v>566</v>
      </c>
    </row>
    <row r="61" spans="2:7">
      <c r="B61" s="40" t="s">
        <v>567</v>
      </c>
      <c r="C61" s="40" t="s">
        <v>568</v>
      </c>
      <c r="D61" s="2" t="s">
        <v>577</v>
      </c>
    </row>
    <row r="62" spans="2:7">
      <c r="B62" s="40" t="s">
        <v>569</v>
      </c>
      <c r="C62" s="40" t="s">
        <v>570</v>
      </c>
    </row>
    <row r="63" spans="2:7">
      <c r="B63" s="40" t="s">
        <v>571</v>
      </c>
      <c r="C63" s="40" t="s">
        <v>572</v>
      </c>
    </row>
    <row r="64" spans="2:7">
      <c r="B64" s="40"/>
    </row>
    <row r="65" spans="2:3">
      <c r="B65" s="93" t="s">
        <v>573</v>
      </c>
      <c r="C65" s="31"/>
    </row>
    <row r="66" spans="2:3">
      <c r="B66" s="40" t="s">
        <v>574</v>
      </c>
    </row>
    <row r="67" spans="2:3">
      <c r="B67" s="541"/>
    </row>
    <row r="68" spans="2:3">
      <c r="B68" s="202" t="s">
        <v>575</v>
      </c>
      <c r="C68" s="40"/>
    </row>
    <row r="69" spans="2:3">
      <c r="B69" s="43"/>
      <c r="C69" s="40"/>
    </row>
    <row r="70" spans="2:3">
      <c r="B70" s="542" t="s">
        <v>576</v>
      </c>
      <c r="C70" s="6"/>
    </row>
  </sheetData>
  <mergeCells count="7">
    <mergeCell ref="B3:G3"/>
    <mergeCell ref="B38:G38"/>
    <mergeCell ref="B39:G39"/>
    <mergeCell ref="B4:G4"/>
    <mergeCell ref="B5:G5"/>
    <mergeCell ref="D19:G19"/>
    <mergeCell ref="D9:G9"/>
  </mergeCells>
  <hyperlinks>
    <hyperlink ref="B38" r:id="rId1" display="http://www.oocl.com/eng/resourcecenter/globalinfo/Pages/default.aspx" xr:uid="{CC9B28BD-986C-49F6-85DF-3AB44E8EE130}"/>
    <hyperlink ref="B39" r:id="rId2" display="http://www.oocl.com/eng/resourcecenter/globalinfo/Pages/default.aspx" xr:uid="{AE83BCF2-BFFC-4926-96B9-663CE20B38EC}"/>
  </hyperlinks>
  <pageMargins left="0.62" right="0.82" top="1.1499999999999999" bottom="1.1100000000000001" header="0.4921259845" footer="0.4921259845"/>
  <pageSetup paperSize="9" scale="60" orientation="portrait" r:id="rId3"/>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BE73C-8CF6-4AD6-94A3-84CA50E6E2C7}">
  <sheetPr>
    <tabColor theme="1" tint="0.499984740745262"/>
    <pageSetUpPr fitToPage="1"/>
  </sheetPr>
  <dimension ref="A1:XFC422"/>
  <sheetViews>
    <sheetView showGridLines="0" zoomScale="90" zoomScaleNormal="90" workbookViewId="0"/>
  </sheetViews>
  <sheetFormatPr defaultColWidth="11.42578125" defaultRowHeight="12.75"/>
  <cols>
    <col min="1" max="1" width="1" style="187" customWidth="1"/>
    <col min="2" max="2" width="27.42578125" style="187" customWidth="1"/>
    <col min="3" max="3" width="25" style="187" customWidth="1"/>
    <col min="4" max="4" width="19.140625" style="187" customWidth="1"/>
    <col min="5" max="5" width="10.7109375" style="187" customWidth="1"/>
    <col min="6" max="6" width="13.140625" style="187" bestFit="1" customWidth="1"/>
    <col min="7" max="7" width="11.85546875" style="187" customWidth="1"/>
    <col min="8" max="8" width="14.85546875" style="187" bestFit="1" customWidth="1"/>
    <col min="9" max="9" width="13.5703125" style="187" bestFit="1" customWidth="1"/>
    <col min="10" max="11" width="10.7109375" style="187" customWidth="1"/>
    <col min="12" max="12" width="13" style="187" bestFit="1" customWidth="1"/>
    <col min="13" max="13" width="10.7109375" style="187" customWidth="1"/>
    <col min="14" max="14" width="14.140625" style="187" customWidth="1"/>
    <col min="15" max="15" width="13.42578125" style="187" customWidth="1"/>
    <col min="16" max="16" width="12.5703125" style="187" customWidth="1"/>
    <col min="17" max="17" width="13.42578125" style="187" customWidth="1"/>
    <col min="18" max="18" width="13" style="187" customWidth="1"/>
    <col min="19" max="19" width="12.5703125" style="187" customWidth="1"/>
    <col min="20" max="23" width="12.7109375" style="187" customWidth="1"/>
    <col min="24" max="25" width="15.85546875" style="187" customWidth="1"/>
    <col min="26" max="26" width="15.42578125" style="187" customWidth="1"/>
    <col min="27" max="16384" width="11.42578125" style="187"/>
  </cols>
  <sheetData>
    <row r="1" spans="2:26" ht="13.5" thickBot="1"/>
    <row r="2" spans="2:26" ht="12.75" customHeight="1">
      <c r="B2" s="940"/>
      <c r="C2" s="941"/>
      <c r="D2" s="941"/>
      <c r="E2" s="941"/>
      <c r="F2" s="941"/>
      <c r="G2" s="941"/>
      <c r="H2" s="941"/>
      <c r="I2" s="942"/>
      <c r="J2" s="942"/>
      <c r="K2" s="942"/>
      <c r="L2" s="942"/>
      <c r="M2" s="942"/>
      <c r="N2" s="942"/>
      <c r="O2" s="942"/>
      <c r="P2" s="942"/>
      <c r="Q2" s="942"/>
      <c r="R2" s="942"/>
      <c r="S2" s="942"/>
      <c r="T2" s="942"/>
      <c r="U2" s="942"/>
      <c r="V2" s="942"/>
      <c r="W2" s="942"/>
      <c r="X2" s="942"/>
      <c r="Y2" s="942"/>
      <c r="Z2" s="943"/>
    </row>
    <row r="3" spans="2:26" ht="12.75" customHeight="1" thickBot="1">
      <c r="B3" s="944"/>
      <c r="C3" s="1165"/>
      <c r="D3" s="1165"/>
      <c r="E3" s="1165"/>
      <c r="F3" s="1165"/>
      <c r="G3" s="1165"/>
      <c r="H3" s="1165"/>
      <c r="M3" s="829"/>
      <c r="Z3" s="830"/>
    </row>
    <row r="4" spans="2:26" ht="38.25">
      <c r="B4" s="944"/>
      <c r="C4" s="831"/>
      <c r="D4" s="831"/>
      <c r="E4" s="831"/>
      <c r="F4" s="831"/>
      <c r="G4" s="817" t="s">
        <v>746</v>
      </c>
      <c r="H4" s="818" t="s">
        <v>747</v>
      </c>
      <c r="I4" s="818" t="s">
        <v>748</v>
      </c>
      <c r="J4" s="818" t="s">
        <v>749</v>
      </c>
      <c r="K4" s="818" t="s">
        <v>750</v>
      </c>
      <c r="L4" s="819" t="s">
        <v>751</v>
      </c>
      <c r="Z4" s="830"/>
    </row>
    <row r="5" spans="2:26" ht="15">
      <c r="B5" s="588"/>
      <c r="C5" s="831"/>
      <c r="D5" s="831"/>
      <c r="E5" s="831"/>
      <c r="F5" s="831"/>
      <c r="G5" s="659" t="s">
        <v>752</v>
      </c>
      <c r="H5" s="820" t="s">
        <v>753</v>
      </c>
      <c r="I5" s="820" t="s">
        <v>754</v>
      </c>
      <c r="J5" s="820" t="s">
        <v>755</v>
      </c>
      <c r="K5" s="820" t="s">
        <v>756</v>
      </c>
      <c r="L5" s="821" t="s">
        <v>757</v>
      </c>
      <c r="Z5" s="830"/>
    </row>
    <row r="6" spans="2:26" ht="15">
      <c r="B6" s="588"/>
      <c r="C6" s="828"/>
      <c r="D6" s="828"/>
      <c r="E6" s="832"/>
      <c r="F6" s="832"/>
      <c r="G6" s="659" t="s">
        <v>758</v>
      </c>
      <c r="H6" s="820" t="s">
        <v>759</v>
      </c>
      <c r="I6" s="820" t="s">
        <v>754</v>
      </c>
      <c r="J6" s="820" t="s">
        <v>755</v>
      </c>
      <c r="K6" s="820" t="s">
        <v>756</v>
      </c>
      <c r="L6" s="821" t="s">
        <v>760</v>
      </c>
      <c r="Z6" s="830"/>
    </row>
    <row r="7" spans="2:26" ht="15.75">
      <c r="B7" s="588"/>
      <c r="C7" s="832"/>
      <c r="D7" s="832"/>
      <c r="E7" s="832"/>
      <c r="F7" s="832"/>
      <c r="G7" s="659" t="s">
        <v>761</v>
      </c>
      <c r="H7" s="820" t="s">
        <v>759</v>
      </c>
      <c r="I7" s="820" t="s">
        <v>754</v>
      </c>
      <c r="J7" s="820" t="s">
        <v>762</v>
      </c>
      <c r="K7" s="820" t="s">
        <v>756</v>
      </c>
      <c r="L7" s="821" t="s">
        <v>760</v>
      </c>
      <c r="M7" s="660" t="s">
        <v>763</v>
      </c>
      <c r="Z7" s="830"/>
    </row>
    <row r="8" spans="2:26" ht="15.75">
      <c r="B8" s="661"/>
      <c r="C8" s="822"/>
      <c r="D8" s="822"/>
      <c r="E8" s="822"/>
      <c r="F8" s="822"/>
      <c r="G8" s="661" t="s">
        <v>764</v>
      </c>
      <c r="H8" s="822"/>
      <c r="I8" s="822"/>
      <c r="J8" s="822"/>
      <c r="K8" s="822"/>
      <c r="L8" s="823"/>
      <c r="M8" s="822"/>
      <c r="N8" s="822"/>
      <c r="O8" s="822"/>
      <c r="P8" s="822"/>
      <c r="Q8" s="822"/>
      <c r="R8" s="822"/>
      <c r="S8" s="822"/>
      <c r="T8" s="822"/>
      <c r="U8" s="822"/>
      <c r="Z8" s="830"/>
    </row>
    <row r="9" spans="2:26" ht="15">
      <c r="B9" s="588"/>
      <c r="C9" s="832"/>
      <c r="D9" s="832"/>
      <c r="E9" s="832"/>
      <c r="F9" s="832"/>
      <c r="G9" s="659" t="s">
        <v>765</v>
      </c>
      <c r="H9" s="820" t="s">
        <v>766</v>
      </c>
      <c r="I9" s="820" t="s">
        <v>767</v>
      </c>
      <c r="J9" s="820" t="s">
        <v>756</v>
      </c>
      <c r="K9" s="820" t="s">
        <v>768</v>
      </c>
      <c r="L9" s="821" t="s">
        <v>769</v>
      </c>
      <c r="Z9" s="830"/>
    </row>
    <row r="10" spans="2:26" ht="15">
      <c r="B10" s="588"/>
      <c r="C10" s="832"/>
      <c r="D10" s="832"/>
      <c r="E10" s="832"/>
      <c r="F10" s="832"/>
      <c r="G10" s="659" t="s">
        <v>770</v>
      </c>
      <c r="H10" s="820" t="s">
        <v>771</v>
      </c>
      <c r="I10" s="820" t="s">
        <v>772</v>
      </c>
      <c r="J10" s="820" t="s">
        <v>773</v>
      </c>
      <c r="K10" s="820" t="s">
        <v>768</v>
      </c>
      <c r="L10" s="821" t="s">
        <v>774</v>
      </c>
      <c r="Z10" s="830"/>
    </row>
    <row r="11" spans="2:26" ht="16.5" thickBot="1">
      <c r="B11" s="588"/>
      <c r="C11" s="832"/>
      <c r="D11" s="832"/>
      <c r="E11" s="832"/>
      <c r="F11" s="832"/>
      <c r="G11" s="659" t="s">
        <v>775</v>
      </c>
      <c r="H11" s="820" t="s">
        <v>776</v>
      </c>
      <c r="I11" s="820" t="s">
        <v>772</v>
      </c>
      <c r="J11" s="820" t="s">
        <v>777</v>
      </c>
      <c r="K11" s="820" t="s">
        <v>768</v>
      </c>
      <c r="L11" s="821" t="s">
        <v>778</v>
      </c>
      <c r="M11" s="660" t="s">
        <v>779</v>
      </c>
      <c r="Z11" s="830"/>
    </row>
    <row r="12" spans="2:26">
      <c r="B12" s="588"/>
      <c r="C12" s="832"/>
      <c r="D12" s="832"/>
      <c r="E12" s="832"/>
      <c r="F12" s="832"/>
      <c r="G12" s="1166" t="s">
        <v>780</v>
      </c>
      <c r="H12" s="1167"/>
      <c r="I12" s="1167"/>
      <c r="J12" s="1167"/>
      <c r="K12" s="1167"/>
      <c r="L12" s="1168"/>
      <c r="Z12" s="830"/>
    </row>
    <row r="13" spans="2:26" ht="13.5" thickBot="1">
      <c r="B13" s="588"/>
      <c r="C13" s="832"/>
      <c r="D13" s="832"/>
      <c r="E13" s="832"/>
      <c r="F13" s="832"/>
      <c r="G13" s="1169" t="s">
        <v>781</v>
      </c>
      <c r="H13" s="1170"/>
      <c r="I13" s="1170"/>
      <c r="J13" s="1170"/>
      <c r="K13" s="1170"/>
      <c r="L13" s="1171"/>
      <c r="Z13" s="830"/>
    </row>
    <row r="14" spans="2:26">
      <c r="B14" s="588"/>
      <c r="D14" s="832"/>
      <c r="E14" s="832"/>
      <c r="F14" s="832"/>
      <c r="Z14" s="830"/>
    </row>
    <row r="15" spans="2:26" ht="15" customHeight="1">
      <c r="B15" s="662"/>
      <c r="E15" s="833"/>
      <c r="F15" s="833"/>
      <c r="G15" s="833"/>
      <c r="H15" s="833"/>
      <c r="I15" s="662" t="s">
        <v>0</v>
      </c>
      <c r="J15" s="833"/>
      <c r="K15" s="833"/>
      <c r="L15" s="833"/>
      <c r="M15" s="833"/>
      <c r="N15" s="833"/>
      <c r="O15" s="833"/>
      <c r="P15" s="833"/>
      <c r="Q15" s="833"/>
      <c r="R15" s="833"/>
      <c r="S15" s="833"/>
      <c r="T15" s="833"/>
      <c r="U15" s="833"/>
      <c r="Z15" s="830"/>
    </row>
    <row r="16" spans="2:26" ht="15" customHeight="1">
      <c r="B16" s="662"/>
      <c r="E16" s="833"/>
      <c r="F16" s="833"/>
      <c r="G16" s="833"/>
      <c r="H16" s="833"/>
      <c r="I16" s="662" t="s">
        <v>782</v>
      </c>
      <c r="J16" s="833"/>
      <c r="K16" s="833"/>
      <c r="L16" s="833"/>
      <c r="M16" s="833"/>
      <c r="N16" s="833"/>
      <c r="O16" s="833"/>
      <c r="P16" s="833"/>
      <c r="Q16" s="833"/>
      <c r="R16" s="833"/>
      <c r="S16" s="833"/>
      <c r="T16" s="833"/>
      <c r="U16" s="833"/>
      <c r="Z16" s="830"/>
    </row>
    <row r="17" spans="2:27" ht="15" customHeight="1">
      <c r="B17" s="663"/>
      <c r="C17" s="834"/>
      <c r="D17" s="834"/>
      <c r="E17" s="1172" t="s">
        <v>4</v>
      </c>
      <c r="F17" s="1172"/>
      <c r="G17" s="1172"/>
      <c r="H17" s="1172"/>
      <c r="I17" s="1172"/>
      <c r="J17" s="1172"/>
      <c r="K17" s="1172"/>
      <c r="L17" s="1172"/>
      <c r="M17" s="1172"/>
      <c r="N17" s="1172"/>
      <c r="O17" s="834"/>
      <c r="P17" s="834"/>
      <c r="Q17" s="834"/>
      <c r="R17" s="834"/>
      <c r="S17" s="834"/>
      <c r="T17" s="834"/>
      <c r="U17" s="834"/>
      <c r="Z17" s="830"/>
    </row>
    <row r="18" spans="2:27" ht="15" thickBot="1">
      <c r="B18" s="664"/>
      <c r="C18" s="665"/>
      <c r="D18" s="665"/>
      <c r="E18" s="665"/>
      <c r="F18" s="665"/>
      <c r="G18" s="665"/>
      <c r="H18" s="665"/>
      <c r="I18" s="589"/>
      <c r="J18" s="589"/>
      <c r="K18" s="589"/>
      <c r="L18" s="589"/>
      <c r="M18" s="589"/>
      <c r="N18" s="589"/>
      <c r="O18" s="589"/>
      <c r="P18" s="589"/>
      <c r="Q18" s="589"/>
      <c r="R18" s="589"/>
      <c r="S18" s="589"/>
      <c r="T18" s="589"/>
      <c r="U18" s="589"/>
      <c r="V18" s="589"/>
      <c r="W18" s="589"/>
      <c r="X18" s="589"/>
      <c r="Y18" s="589"/>
      <c r="Z18" s="835"/>
    </row>
    <row r="19" spans="2:27" ht="9.9499999999999993" hidden="1" customHeight="1" thickBot="1">
      <c r="B19" s="836"/>
      <c r="C19" s="837"/>
      <c r="D19" s="837"/>
      <c r="E19" s="837"/>
      <c r="F19" s="837"/>
      <c r="G19" s="837"/>
      <c r="H19" s="837"/>
      <c r="Z19" s="830"/>
    </row>
    <row r="20" spans="2:27" ht="29.1" hidden="1" customHeight="1">
      <c r="B20" s="836"/>
      <c r="C20" s="838"/>
      <c r="D20" s="837"/>
      <c r="E20" s="837"/>
      <c r="F20" s="837"/>
      <c r="G20" s="837"/>
      <c r="H20" s="837"/>
      <c r="X20" s="1173" t="s">
        <v>783</v>
      </c>
      <c r="Y20" s="1174"/>
      <c r="Z20" s="1175"/>
    </row>
    <row r="21" spans="2:27" ht="26.25" thickBot="1">
      <c r="B21" s="824" t="s">
        <v>474</v>
      </c>
      <c r="C21" s="825" t="s">
        <v>473</v>
      </c>
      <c r="D21" s="825" t="s">
        <v>784</v>
      </c>
      <c r="E21" s="825" t="s">
        <v>785</v>
      </c>
      <c r="F21" s="825" t="s">
        <v>786</v>
      </c>
      <c r="G21" s="825" t="s">
        <v>787</v>
      </c>
      <c r="H21" s="825" t="s">
        <v>788</v>
      </c>
      <c r="I21" s="825" t="s">
        <v>789</v>
      </c>
      <c r="J21" s="825" t="s">
        <v>790</v>
      </c>
      <c r="K21" s="825" t="s">
        <v>791</v>
      </c>
      <c r="L21" s="825" t="s">
        <v>792</v>
      </c>
      <c r="M21" s="825" t="s">
        <v>793</v>
      </c>
      <c r="N21" s="825" t="s">
        <v>794</v>
      </c>
      <c r="O21" s="825" t="s">
        <v>795</v>
      </c>
      <c r="P21" s="825" t="s">
        <v>796</v>
      </c>
      <c r="Q21" s="825" t="s">
        <v>797</v>
      </c>
      <c r="R21" s="825" t="s">
        <v>798</v>
      </c>
      <c r="S21" s="825" t="s">
        <v>799</v>
      </c>
      <c r="T21" s="825" t="s">
        <v>800</v>
      </c>
      <c r="U21" s="825" t="s">
        <v>801</v>
      </c>
      <c r="V21" s="825" t="s">
        <v>802</v>
      </c>
      <c r="W21" s="825" t="s">
        <v>803</v>
      </c>
      <c r="X21" s="825" t="s">
        <v>804</v>
      </c>
      <c r="Y21" s="825" t="s">
        <v>805</v>
      </c>
      <c r="Z21" s="826" t="s">
        <v>806</v>
      </c>
    </row>
    <row r="22" spans="2:27" ht="15" customHeight="1" thickBot="1">
      <c r="B22" s="588"/>
      <c r="Z22" s="830"/>
    </row>
    <row r="23" spans="2:27" ht="17.45" customHeight="1" thickBot="1">
      <c r="B23" s="839" t="s">
        <v>807</v>
      </c>
      <c r="C23" s="1157" t="s">
        <v>808</v>
      </c>
      <c r="D23" s="1157"/>
      <c r="E23" s="1157"/>
      <c r="F23" s="1157"/>
      <c r="G23" s="1157"/>
      <c r="H23" s="1157"/>
      <c r="I23" s="1157"/>
      <c r="J23" s="1157"/>
      <c r="K23" s="1157"/>
      <c r="L23" s="1157"/>
      <c r="M23" s="1157"/>
      <c r="N23" s="1157"/>
      <c r="O23" s="1157"/>
      <c r="P23" s="1157"/>
      <c r="Q23" s="1157"/>
      <c r="R23" s="1157"/>
      <c r="S23" s="1157"/>
      <c r="T23" s="1157"/>
      <c r="U23" s="1157"/>
      <c r="V23" s="1157"/>
      <c r="W23" s="1158"/>
      <c r="X23" s="536"/>
      <c r="Y23" s="536"/>
      <c r="Z23" s="840"/>
    </row>
    <row r="24" spans="2:27" ht="30" customHeight="1">
      <c r="B24" s="666" t="s">
        <v>809</v>
      </c>
      <c r="C24" s="667" t="s">
        <v>480</v>
      </c>
      <c r="D24" s="668" t="s">
        <v>810</v>
      </c>
      <c r="E24" s="669">
        <v>250</v>
      </c>
      <c r="F24" s="670">
        <v>750</v>
      </c>
      <c r="G24" s="670">
        <v>1050</v>
      </c>
      <c r="H24" s="670">
        <v>1450</v>
      </c>
      <c r="I24" s="670">
        <v>1550</v>
      </c>
      <c r="J24" s="669">
        <v>450</v>
      </c>
      <c r="K24" s="669">
        <v>550</v>
      </c>
      <c r="L24" s="669">
        <v>450</v>
      </c>
      <c r="M24" s="669">
        <v>550</v>
      </c>
      <c r="N24" s="670">
        <v>875</v>
      </c>
      <c r="O24" s="670">
        <v>975</v>
      </c>
      <c r="P24" s="670">
        <v>875</v>
      </c>
      <c r="Q24" s="670">
        <v>975</v>
      </c>
      <c r="R24" s="670">
        <v>1125</v>
      </c>
      <c r="S24" s="670">
        <v>1275</v>
      </c>
      <c r="T24" s="670">
        <v>1475</v>
      </c>
      <c r="U24" s="670">
        <v>1575</v>
      </c>
      <c r="V24" s="670">
        <v>1650</v>
      </c>
      <c r="W24" s="671">
        <v>1750</v>
      </c>
      <c r="X24" s="672" t="s">
        <v>811</v>
      </c>
      <c r="Y24" s="673"/>
      <c r="Z24" s="674"/>
      <c r="AA24" s="502"/>
    </row>
    <row r="25" spans="2:27" ht="30" customHeight="1">
      <c r="B25" s="675" t="s">
        <v>40</v>
      </c>
      <c r="C25" s="676" t="s">
        <v>481</v>
      </c>
      <c r="D25" s="677" t="s">
        <v>810</v>
      </c>
      <c r="E25" s="678">
        <v>250</v>
      </c>
      <c r="F25" s="679">
        <v>750</v>
      </c>
      <c r="G25" s="679">
        <v>1050</v>
      </c>
      <c r="H25" s="679">
        <v>1450</v>
      </c>
      <c r="I25" s="679">
        <v>1550</v>
      </c>
      <c r="J25" s="678">
        <v>450</v>
      </c>
      <c r="K25" s="678">
        <v>550</v>
      </c>
      <c r="L25" s="678">
        <v>450</v>
      </c>
      <c r="M25" s="678">
        <v>550</v>
      </c>
      <c r="N25" s="679">
        <v>875</v>
      </c>
      <c r="O25" s="679">
        <v>975</v>
      </c>
      <c r="P25" s="679">
        <v>875</v>
      </c>
      <c r="Q25" s="679">
        <v>975</v>
      </c>
      <c r="R25" s="679">
        <v>1125</v>
      </c>
      <c r="S25" s="679">
        <v>1275</v>
      </c>
      <c r="T25" s="679">
        <v>1475</v>
      </c>
      <c r="U25" s="679">
        <v>1575</v>
      </c>
      <c r="V25" s="679">
        <v>1650</v>
      </c>
      <c r="W25" s="680">
        <v>1750</v>
      </c>
      <c r="X25" s="681" t="s">
        <v>811</v>
      </c>
      <c r="Y25" s="679"/>
      <c r="Z25" s="682"/>
      <c r="AA25" s="502"/>
    </row>
    <row r="26" spans="2:27" ht="30" customHeight="1">
      <c r="B26" s="675" t="s">
        <v>38</v>
      </c>
      <c r="C26" s="676" t="s">
        <v>493</v>
      </c>
      <c r="D26" s="677" t="s">
        <v>810</v>
      </c>
      <c r="E26" s="678">
        <v>250</v>
      </c>
      <c r="F26" s="679">
        <v>750</v>
      </c>
      <c r="G26" s="679">
        <v>1050</v>
      </c>
      <c r="H26" s="679">
        <v>1450</v>
      </c>
      <c r="I26" s="679">
        <v>1550</v>
      </c>
      <c r="J26" s="678">
        <v>450</v>
      </c>
      <c r="K26" s="678">
        <v>550</v>
      </c>
      <c r="L26" s="678">
        <v>450</v>
      </c>
      <c r="M26" s="678">
        <v>550</v>
      </c>
      <c r="N26" s="679">
        <v>875</v>
      </c>
      <c r="O26" s="679">
        <v>975</v>
      </c>
      <c r="P26" s="679">
        <v>875</v>
      </c>
      <c r="Q26" s="679">
        <v>975</v>
      </c>
      <c r="R26" s="679">
        <v>1125</v>
      </c>
      <c r="S26" s="679">
        <v>1275</v>
      </c>
      <c r="T26" s="679">
        <v>1475</v>
      </c>
      <c r="U26" s="679">
        <v>1575</v>
      </c>
      <c r="V26" s="679">
        <v>1650</v>
      </c>
      <c r="W26" s="680">
        <v>1750</v>
      </c>
      <c r="X26" s="681" t="s">
        <v>811</v>
      </c>
      <c r="Y26" s="679"/>
      <c r="Z26" s="682"/>
      <c r="AA26" s="502"/>
    </row>
    <row r="27" spans="2:27" ht="30" customHeight="1">
      <c r="B27" s="675" t="s">
        <v>34</v>
      </c>
      <c r="C27" s="676" t="s">
        <v>510</v>
      </c>
      <c r="D27" s="677" t="s">
        <v>810</v>
      </c>
      <c r="E27" s="678">
        <v>250</v>
      </c>
      <c r="F27" s="679">
        <v>750</v>
      </c>
      <c r="G27" s="679">
        <v>1050</v>
      </c>
      <c r="H27" s="679">
        <v>1450</v>
      </c>
      <c r="I27" s="679">
        <v>1550</v>
      </c>
      <c r="J27" s="678">
        <v>450</v>
      </c>
      <c r="K27" s="678">
        <v>550</v>
      </c>
      <c r="L27" s="678">
        <v>450</v>
      </c>
      <c r="M27" s="678">
        <v>550</v>
      </c>
      <c r="N27" s="679">
        <v>875</v>
      </c>
      <c r="O27" s="679">
        <v>975</v>
      </c>
      <c r="P27" s="679">
        <v>875</v>
      </c>
      <c r="Q27" s="679">
        <v>975</v>
      </c>
      <c r="R27" s="679">
        <v>1125</v>
      </c>
      <c r="S27" s="679">
        <v>1275</v>
      </c>
      <c r="T27" s="679">
        <v>1475</v>
      </c>
      <c r="U27" s="679">
        <v>1575</v>
      </c>
      <c r="V27" s="679">
        <v>1650</v>
      </c>
      <c r="W27" s="680">
        <v>1750</v>
      </c>
      <c r="X27" s="681" t="s">
        <v>811</v>
      </c>
      <c r="Y27" s="677"/>
      <c r="Z27" s="683"/>
      <c r="AA27" s="502"/>
    </row>
    <row r="28" spans="2:27" ht="30" customHeight="1">
      <c r="B28" s="684" t="s">
        <v>29</v>
      </c>
      <c r="C28" s="685" t="s">
        <v>812</v>
      </c>
      <c r="D28" s="686" t="s">
        <v>810</v>
      </c>
      <c r="E28" s="678">
        <v>250</v>
      </c>
      <c r="F28" s="679">
        <v>750</v>
      </c>
      <c r="G28" s="679">
        <v>1050</v>
      </c>
      <c r="H28" s="679">
        <v>1450</v>
      </c>
      <c r="I28" s="679">
        <v>1550</v>
      </c>
      <c r="J28" s="678">
        <v>450</v>
      </c>
      <c r="K28" s="678">
        <v>550</v>
      </c>
      <c r="L28" s="678">
        <v>450</v>
      </c>
      <c r="M28" s="678">
        <v>550</v>
      </c>
      <c r="N28" s="679">
        <v>875</v>
      </c>
      <c r="O28" s="679">
        <v>975</v>
      </c>
      <c r="P28" s="679">
        <v>875</v>
      </c>
      <c r="Q28" s="679">
        <v>975</v>
      </c>
      <c r="R28" s="679">
        <v>1125</v>
      </c>
      <c r="S28" s="679">
        <v>1275</v>
      </c>
      <c r="T28" s="679">
        <v>1475</v>
      </c>
      <c r="U28" s="679">
        <v>1575</v>
      </c>
      <c r="V28" s="679">
        <v>1650</v>
      </c>
      <c r="W28" s="680">
        <v>1750</v>
      </c>
      <c r="X28" s="681" t="s">
        <v>811</v>
      </c>
      <c r="Y28" s="679"/>
      <c r="Z28" s="682"/>
      <c r="AA28" s="502"/>
    </row>
    <row r="29" spans="2:27" ht="30" customHeight="1">
      <c r="B29" s="684" t="s">
        <v>39</v>
      </c>
      <c r="C29" s="685" t="s">
        <v>813</v>
      </c>
      <c r="D29" s="686" t="s">
        <v>810</v>
      </c>
      <c r="E29" s="678">
        <v>250</v>
      </c>
      <c r="F29" s="679">
        <v>750</v>
      </c>
      <c r="G29" s="679">
        <v>1050</v>
      </c>
      <c r="H29" s="679">
        <v>1450</v>
      </c>
      <c r="I29" s="679">
        <v>1550</v>
      </c>
      <c r="J29" s="678">
        <v>450</v>
      </c>
      <c r="K29" s="678">
        <v>550</v>
      </c>
      <c r="L29" s="678">
        <v>450</v>
      </c>
      <c r="M29" s="678">
        <v>550</v>
      </c>
      <c r="N29" s="679">
        <v>875</v>
      </c>
      <c r="O29" s="679">
        <v>975</v>
      </c>
      <c r="P29" s="679">
        <v>875</v>
      </c>
      <c r="Q29" s="679">
        <v>975</v>
      </c>
      <c r="R29" s="679">
        <v>1125</v>
      </c>
      <c r="S29" s="679">
        <v>1275</v>
      </c>
      <c r="T29" s="679">
        <v>1475</v>
      </c>
      <c r="U29" s="679">
        <v>1575</v>
      </c>
      <c r="V29" s="679">
        <v>1650</v>
      </c>
      <c r="W29" s="680">
        <v>1750</v>
      </c>
      <c r="X29" s="681" t="s">
        <v>811</v>
      </c>
      <c r="Y29" s="679"/>
      <c r="Z29" s="682"/>
      <c r="AA29" s="502"/>
    </row>
    <row r="30" spans="2:27" ht="30" customHeight="1">
      <c r="B30" s="684" t="s">
        <v>814</v>
      </c>
      <c r="C30" s="685" t="s">
        <v>510</v>
      </c>
      <c r="D30" s="686" t="s">
        <v>810</v>
      </c>
      <c r="E30" s="678">
        <v>250</v>
      </c>
      <c r="F30" s="679">
        <v>750</v>
      </c>
      <c r="G30" s="679">
        <v>1050</v>
      </c>
      <c r="H30" s="679">
        <v>1450</v>
      </c>
      <c r="I30" s="679">
        <v>1550</v>
      </c>
      <c r="J30" s="678">
        <v>450</v>
      </c>
      <c r="K30" s="678">
        <v>550</v>
      </c>
      <c r="L30" s="678">
        <v>450</v>
      </c>
      <c r="M30" s="678">
        <v>550</v>
      </c>
      <c r="N30" s="679">
        <v>875</v>
      </c>
      <c r="O30" s="679">
        <v>975</v>
      </c>
      <c r="P30" s="679">
        <v>875</v>
      </c>
      <c r="Q30" s="679">
        <v>975</v>
      </c>
      <c r="R30" s="679">
        <v>1125</v>
      </c>
      <c r="S30" s="679">
        <v>1275</v>
      </c>
      <c r="T30" s="679">
        <v>1475</v>
      </c>
      <c r="U30" s="679">
        <v>1575</v>
      </c>
      <c r="V30" s="679">
        <v>1650</v>
      </c>
      <c r="W30" s="680">
        <v>1750</v>
      </c>
      <c r="X30" s="681" t="s">
        <v>811</v>
      </c>
      <c r="Y30" s="679"/>
      <c r="Z30" s="682"/>
      <c r="AA30" s="502"/>
    </row>
    <row r="31" spans="2:27" ht="30" customHeight="1">
      <c r="B31" s="684" t="s">
        <v>32</v>
      </c>
      <c r="C31" s="685" t="s">
        <v>815</v>
      </c>
      <c r="D31" s="686" t="s">
        <v>810</v>
      </c>
      <c r="E31" s="678">
        <v>250</v>
      </c>
      <c r="F31" s="679">
        <v>750</v>
      </c>
      <c r="G31" s="679">
        <v>1050</v>
      </c>
      <c r="H31" s="679">
        <v>1450</v>
      </c>
      <c r="I31" s="679">
        <v>1550</v>
      </c>
      <c r="J31" s="678">
        <v>450</v>
      </c>
      <c r="K31" s="678">
        <v>550</v>
      </c>
      <c r="L31" s="678">
        <v>450</v>
      </c>
      <c r="M31" s="678">
        <v>550</v>
      </c>
      <c r="N31" s="679">
        <v>875</v>
      </c>
      <c r="O31" s="679">
        <v>975</v>
      </c>
      <c r="P31" s="679">
        <v>875</v>
      </c>
      <c r="Q31" s="679">
        <v>975</v>
      </c>
      <c r="R31" s="679">
        <v>1125</v>
      </c>
      <c r="S31" s="679">
        <v>1275</v>
      </c>
      <c r="T31" s="679">
        <v>1475</v>
      </c>
      <c r="U31" s="679">
        <v>1575</v>
      </c>
      <c r="V31" s="679">
        <v>1650</v>
      </c>
      <c r="W31" s="680">
        <v>1750</v>
      </c>
      <c r="X31" s="681" t="s">
        <v>811</v>
      </c>
      <c r="Y31" s="679"/>
      <c r="Z31" s="682"/>
      <c r="AA31" s="502"/>
    </row>
    <row r="32" spans="2:27" ht="30" customHeight="1">
      <c r="B32" s="684" t="s">
        <v>816</v>
      </c>
      <c r="C32" s="685" t="s">
        <v>493</v>
      </c>
      <c r="D32" s="686" t="s">
        <v>810</v>
      </c>
      <c r="E32" s="678">
        <v>250</v>
      </c>
      <c r="F32" s="679">
        <v>750</v>
      </c>
      <c r="G32" s="679">
        <v>1050</v>
      </c>
      <c r="H32" s="679">
        <v>1450</v>
      </c>
      <c r="I32" s="679">
        <v>1550</v>
      </c>
      <c r="J32" s="678">
        <v>450</v>
      </c>
      <c r="K32" s="678">
        <v>550</v>
      </c>
      <c r="L32" s="678">
        <v>450</v>
      </c>
      <c r="M32" s="678">
        <v>550</v>
      </c>
      <c r="N32" s="679">
        <v>875</v>
      </c>
      <c r="O32" s="679">
        <v>975</v>
      </c>
      <c r="P32" s="679">
        <v>875</v>
      </c>
      <c r="Q32" s="679">
        <v>975</v>
      </c>
      <c r="R32" s="679">
        <v>1125</v>
      </c>
      <c r="S32" s="679">
        <v>1275</v>
      </c>
      <c r="T32" s="679">
        <v>1475</v>
      </c>
      <c r="U32" s="679">
        <v>1575</v>
      </c>
      <c r="V32" s="679">
        <v>1650</v>
      </c>
      <c r="W32" s="680">
        <v>1750</v>
      </c>
      <c r="X32" s="681" t="s">
        <v>811</v>
      </c>
      <c r="Y32" s="679"/>
      <c r="Z32" s="682"/>
      <c r="AA32" s="502"/>
    </row>
    <row r="33" spans="2:27" ht="29.1" customHeight="1">
      <c r="B33" s="684" t="s">
        <v>33</v>
      </c>
      <c r="C33" s="685" t="s">
        <v>480</v>
      </c>
      <c r="D33" s="686" t="s">
        <v>810</v>
      </c>
      <c r="E33" s="678">
        <v>250</v>
      </c>
      <c r="F33" s="679">
        <v>750</v>
      </c>
      <c r="G33" s="679">
        <v>1050</v>
      </c>
      <c r="H33" s="679">
        <v>1450</v>
      </c>
      <c r="I33" s="679">
        <v>1550</v>
      </c>
      <c r="J33" s="678">
        <v>450</v>
      </c>
      <c r="K33" s="678">
        <v>550</v>
      </c>
      <c r="L33" s="678">
        <v>450</v>
      </c>
      <c r="M33" s="678">
        <v>550</v>
      </c>
      <c r="N33" s="679">
        <v>875</v>
      </c>
      <c r="O33" s="679">
        <v>975</v>
      </c>
      <c r="P33" s="679">
        <v>875</v>
      </c>
      <c r="Q33" s="679">
        <v>975</v>
      </c>
      <c r="R33" s="679">
        <v>1125</v>
      </c>
      <c r="S33" s="679">
        <v>1275</v>
      </c>
      <c r="T33" s="679">
        <v>1475</v>
      </c>
      <c r="U33" s="679">
        <v>1575</v>
      </c>
      <c r="V33" s="679">
        <v>1650</v>
      </c>
      <c r="W33" s="680">
        <v>1750</v>
      </c>
      <c r="X33" s="681" t="s">
        <v>811</v>
      </c>
      <c r="Y33" s="679"/>
      <c r="Z33" s="682"/>
      <c r="AA33" s="502"/>
    </row>
    <row r="34" spans="2:27" ht="30" customHeight="1">
      <c r="B34" s="684" t="s">
        <v>36</v>
      </c>
      <c r="C34" s="676" t="s">
        <v>817</v>
      </c>
      <c r="D34" s="686" t="s">
        <v>810</v>
      </c>
      <c r="E34" s="678">
        <v>250</v>
      </c>
      <c r="F34" s="679">
        <v>750</v>
      </c>
      <c r="G34" s="679">
        <v>1050</v>
      </c>
      <c r="H34" s="679">
        <v>1450</v>
      </c>
      <c r="I34" s="679">
        <v>1550</v>
      </c>
      <c r="J34" s="678">
        <v>450</v>
      </c>
      <c r="K34" s="678">
        <v>550</v>
      </c>
      <c r="L34" s="678">
        <v>450</v>
      </c>
      <c r="M34" s="678">
        <v>550</v>
      </c>
      <c r="N34" s="679">
        <v>875</v>
      </c>
      <c r="O34" s="679">
        <v>975</v>
      </c>
      <c r="P34" s="679">
        <v>875</v>
      </c>
      <c r="Q34" s="679">
        <v>975</v>
      </c>
      <c r="R34" s="679">
        <v>1125</v>
      </c>
      <c r="S34" s="679">
        <v>1275</v>
      </c>
      <c r="T34" s="679">
        <v>1475</v>
      </c>
      <c r="U34" s="679">
        <v>1575</v>
      </c>
      <c r="V34" s="679">
        <v>1650</v>
      </c>
      <c r="W34" s="680">
        <v>1750</v>
      </c>
      <c r="X34" s="681" t="s">
        <v>811</v>
      </c>
      <c r="Y34" s="679"/>
      <c r="Z34" s="682"/>
      <c r="AA34" s="502"/>
    </row>
    <row r="35" spans="2:27" ht="30" customHeight="1">
      <c r="B35" s="684" t="s">
        <v>30</v>
      </c>
      <c r="C35" s="685" t="s">
        <v>818</v>
      </c>
      <c r="D35" s="686" t="s">
        <v>810</v>
      </c>
      <c r="E35" s="678">
        <v>250</v>
      </c>
      <c r="F35" s="679">
        <v>750</v>
      </c>
      <c r="G35" s="679">
        <v>1050</v>
      </c>
      <c r="H35" s="679">
        <v>1450</v>
      </c>
      <c r="I35" s="679">
        <v>1550</v>
      </c>
      <c r="J35" s="678">
        <v>450</v>
      </c>
      <c r="K35" s="678">
        <v>550</v>
      </c>
      <c r="L35" s="678">
        <v>450</v>
      </c>
      <c r="M35" s="678">
        <v>550</v>
      </c>
      <c r="N35" s="679">
        <v>875</v>
      </c>
      <c r="O35" s="679">
        <v>975</v>
      </c>
      <c r="P35" s="679">
        <v>875</v>
      </c>
      <c r="Q35" s="679">
        <v>975</v>
      </c>
      <c r="R35" s="679">
        <v>1125</v>
      </c>
      <c r="S35" s="679">
        <v>1275</v>
      </c>
      <c r="T35" s="679">
        <v>1475</v>
      </c>
      <c r="U35" s="679">
        <v>1575</v>
      </c>
      <c r="V35" s="679">
        <v>1650</v>
      </c>
      <c r="W35" s="680">
        <v>1750</v>
      </c>
      <c r="X35" s="681" t="s">
        <v>811</v>
      </c>
      <c r="Y35" s="687"/>
      <c r="Z35" s="682"/>
      <c r="AA35" s="502"/>
    </row>
    <row r="36" spans="2:27" ht="30" customHeight="1">
      <c r="B36" s="684" t="s">
        <v>819</v>
      </c>
      <c r="C36" s="685" t="s">
        <v>480</v>
      </c>
      <c r="D36" s="686" t="s">
        <v>29</v>
      </c>
      <c r="E36" s="678">
        <v>1100</v>
      </c>
      <c r="F36" s="679">
        <v>1700</v>
      </c>
      <c r="G36" s="679">
        <v>2300</v>
      </c>
      <c r="H36" s="679">
        <v>2650</v>
      </c>
      <c r="I36" s="679">
        <v>2850</v>
      </c>
      <c r="J36" s="678">
        <v>1425</v>
      </c>
      <c r="K36" s="678">
        <v>1525</v>
      </c>
      <c r="L36" s="678">
        <v>1425</v>
      </c>
      <c r="M36" s="678">
        <v>1525</v>
      </c>
      <c r="N36" s="679">
        <v>2125</v>
      </c>
      <c r="O36" s="679">
        <v>2225</v>
      </c>
      <c r="P36" s="679">
        <v>2125</v>
      </c>
      <c r="Q36" s="679">
        <v>2225</v>
      </c>
      <c r="R36" s="679">
        <v>2475</v>
      </c>
      <c r="S36" s="679">
        <v>2575</v>
      </c>
      <c r="T36" s="679">
        <v>3225</v>
      </c>
      <c r="U36" s="679">
        <v>3325</v>
      </c>
      <c r="V36" s="679">
        <v>3600</v>
      </c>
      <c r="W36" s="680">
        <v>3700</v>
      </c>
      <c r="X36" s="681" t="s">
        <v>820</v>
      </c>
      <c r="Y36" s="687">
        <v>20</v>
      </c>
      <c r="Z36" s="688">
        <v>180</v>
      </c>
      <c r="AA36" s="502"/>
    </row>
    <row r="37" spans="2:27" ht="30" customHeight="1">
      <c r="B37" s="684" t="s">
        <v>819</v>
      </c>
      <c r="C37" s="685" t="s">
        <v>480</v>
      </c>
      <c r="D37" s="686" t="s">
        <v>29</v>
      </c>
      <c r="E37" s="678">
        <v>1100</v>
      </c>
      <c r="F37" s="679">
        <v>2150</v>
      </c>
      <c r="G37" s="679">
        <v>2750</v>
      </c>
      <c r="H37" s="679">
        <v>3100</v>
      </c>
      <c r="I37" s="679">
        <v>3300</v>
      </c>
      <c r="J37" s="678">
        <v>1425</v>
      </c>
      <c r="K37" s="678">
        <v>1525</v>
      </c>
      <c r="L37" s="678">
        <v>1425</v>
      </c>
      <c r="M37" s="678">
        <v>1525</v>
      </c>
      <c r="N37" s="679">
        <v>2575</v>
      </c>
      <c r="O37" s="679">
        <v>2675</v>
      </c>
      <c r="P37" s="679">
        <v>2575</v>
      </c>
      <c r="Q37" s="679">
        <v>2675</v>
      </c>
      <c r="R37" s="679">
        <v>2925</v>
      </c>
      <c r="S37" s="679">
        <v>3025</v>
      </c>
      <c r="T37" s="679">
        <v>3675</v>
      </c>
      <c r="U37" s="679">
        <v>3775</v>
      </c>
      <c r="V37" s="679">
        <v>4050</v>
      </c>
      <c r="W37" s="680">
        <v>4150</v>
      </c>
      <c r="X37" s="681" t="s">
        <v>820</v>
      </c>
      <c r="Y37" s="687"/>
      <c r="Z37" s="688">
        <v>200</v>
      </c>
      <c r="AA37" s="502"/>
    </row>
    <row r="38" spans="2:27" ht="30" customHeight="1" thickBot="1">
      <c r="B38" s="689" t="s">
        <v>821</v>
      </c>
      <c r="C38" s="690" t="s">
        <v>493</v>
      </c>
      <c r="D38" s="691" t="s">
        <v>810</v>
      </c>
      <c r="E38" s="692">
        <v>250</v>
      </c>
      <c r="F38" s="693">
        <v>750</v>
      </c>
      <c r="G38" s="693">
        <v>1050</v>
      </c>
      <c r="H38" s="693">
        <v>1650</v>
      </c>
      <c r="I38" s="693">
        <v>1550</v>
      </c>
      <c r="J38" s="692">
        <v>450</v>
      </c>
      <c r="K38" s="692">
        <v>550</v>
      </c>
      <c r="L38" s="692">
        <v>450</v>
      </c>
      <c r="M38" s="692">
        <v>550</v>
      </c>
      <c r="N38" s="693">
        <v>875</v>
      </c>
      <c r="O38" s="693">
        <v>975</v>
      </c>
      <c r="P38" s="693">
        <v>875</v>
      </c>
      <c r="Q38" s="693">
        <v>975</v>
      </c>
      <c r="R38" s="693">
        <v>1125</v>
      </c>
      <c r="S38" s="693">
        <v>1275</v>
      </c>
      <c r="T38" s="693">
        <v>1775</v>
      </c>
      <c r="U38" s="693">
        <v>1875</v>
      </c>
      <c r="V38" s="693">
        <v>1650</v>
      </c>
      <c r="W38" s="694">
        <v>1750</v>
      </c>
      <c r="X38" s="695" t="s">
        <v>811</v>
      </c>
      <c r="Y38" s="693"/>
      <c r="Z38" s="696"/>
      <c r="AA38" s="502"/>
    </row>
    <row r="39" spans="2:27">
      <c r="B39" s="1176" t="s">
        <v>822</v>
      </c>
      <c r="C39" s="1177"/>
      <c r="D39" s="841"/>
      <c r="E39" s="190"/>
      <c r="F39" s="842"/>
      <c r="G39" s="842"/>
      <c r="H39" s="842"/>
      <c r="I39" s="842"/>
      <c r="J39" s="843"/>
      <c r="K39" s="843"/>
      <c r="L39" s="843"/>
      <c r="M39" s="843"/>
      <c r="N39" s="842"/>
      <c r="O39" s="842"/>
      <c r="P39" s="842"/>
      <c r="Q39" s="842"/>
      <c r="R39" s="842"/>
      <c r="S39" s="842"/>
      <c r="T39" s="842"/>
      <c r="U39" s="842"/>
      <c r="V39" s="842"/>
      <c r="W39" s="842"/>
      <c r="X39" s="193" t="s">
        <v>823</v>
      </c>
      <c r="Y39" s="844"/>
      <c r="Z39" s="845"/>
      <c r="AA39" s="502"/>
    </row>
    <row r="40" spans="2:27" ht="13.5" thickBot="1">
      <c r="B40" s="846"/>
      <c r="C40" s="847"/>
      <c r="D40" s="848"/>
      <c r="E40" s="190"/>
      <c r="F40" s="842"/>
      <c r="G40" s="842"/>
      <c r="H40" s="842"/>
      <c r="I40" s="842"/>
      <c r="J40" s="843"/>
      <c r="K40" s="843"/>
      <c r="L40" s="843"/>
      <c r="M40" s="843"/>
      <c r="N40" s="842"/>
      <c r="O40" s="842"/>
      <c r="P40" s="842"/>
      <c r="Q40" s="842"/>
      <c r="R40" s="842"/>
      <c r="S40" s="842"/>
      <c r="T40" s="842"/>
      <c r="U40" s="842"/>
      <c r="V40" s="842"/>
      <c r="W40" s="842"/>
      <c r="X40" s="193"/>
      <c r="Y40" s="844"/>
      <c r="Z40" s="845"/>
      <c r="AA40" s="502"/>
    </row>
    <row r="41" spans="2:27" ht="13.5" customHeight="1" thickBot="1">
      <c r="B41" s="824" t="s">
        <v>824</v>
      </c>
      <c r="C41" s="1157" t="s">
        <v>825</v>
      </c>
      <c r="D41" s="1157"/>
      <c r="E41" s="1157"/>
      <c r="F41" s="1157"/>
      <c r="G41" s="1157"/>
      <c r="H41" s="1157"/>
      <c r="I41" s="1157"/>
      <c r="J41" s="1157"/>
      <c r="K41" s="1157"/>
      <c r="L41" s="1157"/>
      <c r="M41" s="1157"/>
      <c r="N41" s="1157"/>
      <c r="O41" s="1157"/>
      <c r="P41" s="1157"/>
      <c r="Q41" s="1157"/>
      <c r="R41" s="1157"/>
      <c r="S41" s="1157"/>
      <c r="T41" s="1157"/>
      <c r="U41" s="1157"/>
      <c r="V41" s="1157"/>
      <c r="W41" s="1158"/>
      <c r="X41" s="5"/>
      <c r="Y41" s="5"/>
      <c r="Z41" s="849"/>
      <c r="AA41" s="502"/>
    </row>
    <row r="42" spans="2:27" s="192" customFormat="1" ht="39" customHeight="1" thickBot="1">
      <c r="B42" s="697" t="s">
        <v>826</v>
      </c>
      <c r="C42" s="698" t="s">
        <v>480</v>
      </c>
      <c r="D42" s="699" t="s">
        <v>29</v>
      </c>
      <c r="E42" s="700">
        <v>1300</v>
      </c>
      <c r="F42" s="673" t="s">
        <v>827</v>
      </c>
      <c r="G42" s="673" t="s">
        <v>827</v>
      </c>
      <c r="H42" s="673" t="s">
        <v>827</v>
      </c>
      <c r="I42" s="673" t="s">
        <v>827</v>
      </c>
      <c r="J42" s="700">
        <v>2150</v>
      </c>
      <c r="K42" s="700">
        <v>2250</v>
      </c>
      <c r="L42" s="700">
        <v>2150</v>
      </c>
      <c r="M42" s="700">
        <v>2250</v>
      </c>
      <c r="N42" s="673" t="s">
        <v>827</v>
      </c>
      <c r="O42" s="673" t="s">
        <v>827</v>
      </c>
      <c r="P42" s="673" t="s">
        <v>827</v>
      </c>
      <c r="Q42" s="673" t="s">
        <v>827</v>
      </c>
      <c r="R42" s="673" t="s">
        <v>827</v>
      </c>
      <c r="S42" s="673" t="s">
        <v>827</v>
      </c>
      <c r="T42" s="673" t="s">
        <v>827</v>
      </c>
      <c r="U42" s="673" t="s">
        <v>827</v>
      </c>
      <c r="V42" s="673" t="s">
        <v>827</v>
      </c>
      <c r="W42" s="674" t="s">
        <v>827</v>
      </c>
      <c r="X42" s="701">
        <v>34</v>
      </c>
      <c r="Y42" s="701">
        <v>10</v>
      </c>
      <c r="Z42" s="850">
        <v>176</v>
      </c>
      <c r="AA42" s="502"/>
    </row>
    <row r="43" spans="2:27" s="192" customFormat="1" ht="38.25" customHeight="1" thickBot="1">
      <c r="B43" s="702" t="s">
        <v>826</v>
      </c>
      <c r="C43" s="703" t="s">
        <v>828</v>
      </c>
      <c r="D43" s="704" t="s">
        <v>32</v>
      </c>
      <c r="E43" s="700">
        <v>1300</v>
      </c>
      <c r="F43" s="693" t="s">
        <v>827</v>
      </c>
      <c r="G43" s="693" t="s">
        <v>827</v>
      </c>
      <c r="H43" s="693" t="s">
        <v>827</v>
      </c>
      <c r="I43" s="693" t="s">
        <v>827</v>
      </c>
      <c r="J43" s="700">
        <v>2150</v>
      </c>
      <c r="K43" s="700">
        <v>2250</v>
      </c>
      <c r="L43" s="700">
        <v>2150</v>
      </c>
      <c r="M43" s="700">
        <v>2250</v>
      </c>
      <c r="N43" s="693" t="s">
        <v>827</v>
      </c>
      <c r="O43" s="693" t="s">
        <v>827</v>
      </c>
      <c r="P43" s="693" t="s">
        <v>827</v>
      </c>
      <c r="Q43" s="693" t="s">
        <v>827</v>
      </c>
      <c r="R43" s="693" t="s">
        <v>827</v>
      </c>
      <c r="S43" s="693" t="s">
        <v>827</v>
      </c>
      <c r="T43" s="693" t="s">
        <v>827</v>
      </c>
      <c r="U43" s="693" t="s">
        <v>827</v>
      </c>
      <c r="V43" s="693" t="s">
        <v>827</v>
      </c>
      <c r="W43" s="696" t="s">
        <v>827</v>
      </c>
      <c r="X43" s="705">
        <v>34</v>
      </c>
      <c r="Y43" s="701">
        <v>10</v>
      </c>
      <c r="Z43" s="850">
        <v>176</v>
      </c>
      <c r="AA43" s="502"/>
    </row>
    <row r="44" spans="2:27">
      <c r="B44" s="1182" t="s">
        <v>829</v>
      </c>
      <c r="C44" s="1183"/>
      <c r="D44" s="381"/>
      <c r="E44" s="190"/>
      <c r="F44" s="852"/>
      <c r="G44" s="190"/>
      <c r="H44" s="190"/>
      <c r="I44" s="190"/>
      <c r="J44" s="190"/>
      <c r="K44" s="190"/>
      <c r="L44" s="190"/>
      <c r="M44" s="190"/>
      <c r="N44" s="852"/>
      <c r="O44" s="852"/>
      <c r="P44" s="852"/>
      <c r="Q44" s="852"/>
      <c r="R44" s="190"/>
      <c r="S44" s="190"/>
      <c r="T44" s="190"/>
      <c r="U44" s="190"/>
      <c r="V44" s="190"/>
      <c r="W44" s="190"/>
      <c r="X44" s="853"/>
      <c r="Y44" s="853"/>
      <c r="Z44" s="854"/>
      <c r="AA44" s="502"/>
    </row>
    <row r="45" spans="2:27" ht="13.5" thickBot="1">
      <c r="B45" s="855"/>
      <c r="C45" s="856"/>
      <c r="D45" s="381"/>
      <c r="E45" s="190"/>
      <c r="F45" s="842"/>
      <c r="G45" s="843"/>
      <c r="H45" s="843"/>
      <c r="I45" s="843"/>
      <c r="J45" s="843"/>
      <c r="K45" s="843"/>
      <c r="L45" s="843"/>
      <c r="M45" s="843"/>
      <c r="N45" s="842"/>
      <c r="O45" s="842"/>
      <c r="P45" s="842"/>
      <c r="Q45" s="842"/>
      <c r="R45" s="843"/>
      <c r="S45" s="842"/>
      <c r="T45" s="843"/>
      <c r="U45" s="843"/>
      <c r="V45" s="843"/>
      <c r="W45" s="842"/>
      <c r="X45" s="853"/>
      <c r="Y45" s="853"/>
      <c r="Z45" s="854"/>
      <c r="AA45" s="502"/>
    </row>
    <row r="46" spans="2:27" ht="20.100000000000001" customHeight="1" thickBot="1">
      <c r="B46" s="824" t="s">
        <v>830</v>
      </c>
      <c r="C46" s="1157" t="s">
        <v>825</v>
      </c>
      <c r="D46" s="1157"/>
      <c r="E46" s="1157"/>
      <c r="F46" s="1157"/>
      <c r="G46" s="1157"/>
      <c r="H46" s="1157"/>
      <c r="I46" s="1157"/>
      <c r="J46" s="1157"/>
      <c r="K46" s="1157"/>
      <c r="L46" s="1157"/>
      <c r="M46" s="1157"/>
      <c r="N46" s="1157"/>
      <c r="O46" s="1157"/>
      <c r="P46" s="1157"/>
      <c r="Q46" s="1157"/>
      <c r="R46" s="1157"/>
      <c r="S46" s="1157"/>
      <c r="T46" s="1157"/>
      <c r="U46" s="1157"/>
      <c r="V46" s="1157"/>
      <c r="W46" s="1158"/>
      <c r="X46" s="857"/>
      <c r="Y46" s="857"/>
      <c r="Z46" s="858"/>
      <c r="AA46" s="502"/>
    </row>
    <row r="47" spans="2:27" s="192" customFormat="1" ht="13.5" thickBot="1">
      <c r="B47" s="697" t="s">
        <v>831</v>
      </c>
      <c r="C47" s="697" t="s">
        <v>480</v>
      </c>
      <c r="D47" s="706" t="s">
        <v>29</v>
      </c>
      <c r="E47" s="700">
        <v>1600</v>
      </c>
      <c r="F47" s="673" t="s">
        <v>832</v>
      </c>
      <c r="G47" s="673" t="s">
        <v>832</v>
      </c>
      <c r="H47" s="673" t="s">
        <v>832</v>
      </c>
      <c r="I47" s="673" t="s">
        <v>832</v>
      </c>
      <c r="J47" s="700">
        <v>2450</v>
      </c>
      <c r="K47" s="700">
        <v>2550</v>
      </c>
      <c r="L47" s="700">
        <v>2450</v>
      </c>
      <c r="M47" s="700">
        <v>2550</v>
      </c>
      <c r="N47" s="673" t="s">
        <v>832</v>
      </c>
      <c r="O47" s="673" t="s">
        <v>832</v>
      </c>
      <c r="P47" s="673" t="s">
        <v>832</v>
      </c>
      <c r="Q47" s="673" t="s">
        <v>832</v>
      </c>
      <c r="R47" s="673" t="s">
        <v>832</v>
      </c>
      <c r="S47" s="673" t="s">
        <v>832</v>
      </c>
      <c r="T47" s="673" t="s">
        <v>832</v>
      </c>
      <c r="U47" s="673" t="s">
        <v>832</v>
      </c>
      <c r="V47" s="673" t="s">
        <v>832</v>
      </c>
      <c r="W47" s="674" t="s">
        <v>832</v>
      </c>
      <c r="X47" s="707">
        <v>34</v>
      </c>
      <c r="Y47" s="708" t="s">
        <v>833</v>
      </c>
      <c r="Z47" s="859" t="s">
        <v>833</v>
      </c>
      <c r="AA47" s="502"/>
    </row>
    <row r="48" spans="2:27" s="192" customFormat="1" ht="13.5" thickBot="1">
      <c r="B48" s="684" t="s">
        <v>831</v>
      </c>
      <c r="C48" s="684" t="s">
        <v>834</v>
      </c>
      <c r="D48" s="709" t="s">
        <v>32</v>
      </c>
      <c r="E48" s="700">
        <v>1600</v>
      </c>
      <c r="F48" s="679" t="s">
        <v>832</v>
      </c>
      <c r="G48" s="679" t="s">
        <v>832</v>
      </c>
      <c r="H48" s="679" t="s">
        <v>832</v>
      </c>
      <c r="I48" s="679" t="s">
        <v>832</v>
      </c>
      <c r="J48" s="700">
        <v>2450</v>
      </c>
      <c r="K48" s="700">
        <v>2550</v>
      </c>
      <c r="L48" s="700">
        <v>2450</v>
      </c>
      <c r="M48" s="700">
        <v>2550</v>
      </c>
      <c r="N48" s="679" t="s">
        <v>832</v>
      </c>
      <c r="O48" s="679" t="s">
        <v>832</v>
      </c>
      <c r="P48" s="679" t="s">
        <v>832</v>
      </c>
      <c r="Q48" s="679" t="s">
        <v>832</v>
      </c>
      <c r="R48" s="679" t="s">
        <v>832</v>
      </c>
      <c r="S48" s="679" t="s">
        <v>832</v>
      </c>
      <c r="T48" s="679" t="s">
        <v>832</v>
      </c>
      <c r="U48" s="679" t="s">
        <v>832</v>
      </c>
      <c r="V48" s="679" t="s">
        <v>832</v>
      </c>
      <c r="W48" s="682" t="s">
        <v>832</v>
      </c>
      <c r="X48" s="707">
        <v>34</v>
      </c>
      <c r="Y48" s="708" t="s">
        <v>833</v>
      </c>
      <c r="Z48" s="859" t="s">
        <v>833</v>
      </c>
      <c r="AA48" s="502"/>
    </row>
    <row r="49" spans="1:27" s="192" customFormat="1" ht="29.25" customHeight="1" thickBot="1">
      <c r="B49" s="702" t="s">
        <v>835</v>
      </c>
      <c r="C49" s="702" t="s">
        <v>480</v>
      </c>
      <c r="D49" s="710" t="s">
        <v>29</v>
      </c>
      <c r="E49" s="700">
        <v>1600</v>
      </c>
      <c r="F49" s="693" t="s">
        <v>832</v>
      </c>
      <c r="G49" s="693" t="s">
        <v>832</v>
      </c>
      <c r="H49" s="693" t="s">
        <v>832</v>
      </c>
      <c r="I49" s="693" t="s">
        <v>832</v>
      </c>
      <c r="J49" s="700">
        <v>2450</v>
      </c>
      <c r="K49" s="700">
        <v>2550</v>
      </c>
      <c r="L49" s="700">
        <v>2450</v>
      </c>
      <c r="M49" s="700">
        <v>2550</v>
      </c>
      <c r="N49" s="693" t="s">
        <v>832</v>
      </c>
      <c r="O49" s="693" t="s">
        <v>832</v>
      </c>
      <c r="P49" s="693" t="s">
        <v>832</v>
      </c>
      <c r="Q49" s="693" t="s">
        <v>832</v>
      </c>
      <c r="R49" s="693" t="s">
        <v>832</v>
      </c>
      <c r="S49" s="693" t="s">
        <v>832</v>
      </c>
      <c r="T49" s="693" t="s">
        <v>832</v>
      </c>
      <c r="U49" s="693" t="s">
        <v>832</v>
      </c>
      <c r="V49" s="693" t="s">
        <v>832</v>
      </c>
      <c r="W49" s="696" t="s">
        <v>832</v>
      </c>
      <c r="X49" s="707">
        <v>34</v>
      </c>
      <c r="Y49" s="708" t="s">
        <v>833</v>
      </c>
      <c r="Z49" s="859" t="s">
        <v>833</v>
      </c>
      <c r="AA49" s="502"/>
    </row>
    <row r="50" spans="1:27" ht="13.5" thickBot="1">
      <c r="B50" s="860"/>
      <c r="D50" s="381"/>
      <c r="E50" s="190"/>
      <c r="F50" s="852"/>
      <c r="G50" s="190"/>
      <c r="H50" s="190"/>
      <c r="I50" s="190"/>
      <c r="J50" s="190"/>
      <c r="K50" s="190"/>
      <c r="L50" s="190"/>
      <c r="M50" s="190"/>
      <c r="N50" s="852"/>
      <c r="O50" s="852"/>
      <c r="P50" s="852"/>
      <c r="Q50" s="852"/>
      <c r="R50" s="190"/>
      <c r="S50" s="190"/>
      <c r="T50" s="190"/>
      <c r="U50" s="190"/>
      <c r="V50" s="190"/>
      <c r="W50" s="190"/>
      <c r="X50" s="853"/>
      <c r="Y50" s="853"/>
      <c r="Z50" s="854"/>
      <c r="AA50" s="502"/>
    </row>
    <row r="51" spans="1:27" ht="18.75" customHeight="1" thickBot="1">
      <c r="B51" s="824" t="s">
        <v>836</v>
      </c>
      <c r="C51" s="1157" t="s">
        <v>808</v>
      </c>
      <c r="D51" s="1157"/>
      <c r="E51" s="1157"/>
      <c r="F51" s="1157"/>
      <c r="G51" s="1157"/>
      <c r="H51" s="1157"/>
      <c r="I51" s="1157"/>
      <c r="J51" s="1157"/>
      <c r="K51" s="1157"/>
      <c r="L51" s="1157"/>
      <c r="M51" s="1157"/>
      <c r="N51" s="1157"/>
      <c r="O51" s="1157"/>
      <c r="P51" s="1157"/>
      <c r="Q51" s="1157"/>
      <c r="R51" s="1157"/>
      <c r="S51" s="1157"/>
      <c r="T51" s="1157"/>
      <c r="U51" s="1157"/>
      <c r="V51" s="1157"/>
      <c r="W51" s="1158"/>
      <c r="X51" s="857"/>
      <c r="Y51" s="857"/>
      <c r="Z51" s="858"/>
      <c r="AA51" s="502"/>
    </row>
    <row r="52" spans="1:27" s="192" customFormat="1">
      <c r="B52" s="711" t="s">
        <v>837</v>
      </c>
      <c r="C52" s="712" t="s">
        <v>838</v>
      </c>
      <c r="D52" s="713" t="s">
        <v>839</v>
      </c>
      <c r="E52" s="700">
        <v>1150</v>
      </c>
      <c r="F52" s="673">
        <v>2150</v>
      </c>
      <c r="G52" s="673" t="s">
        <v>832</v>
      </c>
      <c r="H52" s="673" t="s">
        <v>832</v>
      </c>
      <c r="I52" s="673" t="s">
        <v>832</v>
      </c>
      <c r="J52" s="700">
        <v>1175</v>
      </c>
      <c r="K52" s="700">
        <v>1275</v>
      </c>
      <c r="L52" s="700">
        <v>1175</v>
      </c>
      <c r="M52" s="700">
        <v>1275</v>
      </c>
      <c r="N52" s="673">
        <v>2550</v>
      </c>
      <c r="O52" s="673">
        <v>2650</v>
      </c>
      <c r="P52" s="673">
        <v>2550</v>
      </c>
      <c r="Q52" s="673">
        <v>2650</v>
      </c>
      <c r="R52" s="673" t="s">
        <v>832</v>
      </c>
      <c r="S52" s="673" t="s">
        <v>832</v>
      </c>
      <c r="T52" s="673" t="s">
        <v>832</v>
      </c>
      <c r="U52" s="673" t="s">
        <v>832</v>
      </c>
      <c r="V52" s="673" t="s">
        <v>832</v>
      </c>
      <c r="W52" s="674" t="s">
        <v>832</v>
      </c>
      <c r="X52" s="701">
        <v>34</v>
      </c>
      <c r="Y52" s="714"/>
      <c r="Z52" s="715"/>
      <c r="AA52" s="502"/>
    </row>
    <row r="53" spans="1:27" s="192" customFormat="1">
      <c r="B53" s="1184" t="s">
        <v>840</v>
      </c>
      <c r="C53" s="1185"/>
      <c r="D53" s="381"/>
      <c r="E53" s="190"/>
      <c r="F53" s="852"/>
      <c r="G53" s="852"/>
      <c r="H53" s="852"/>
      <c r="I53" s="852"/>
      <c r="J53" s="190"/>
      <c r="K53" s="190"/>
      <c r="L53" s="190"/>
      <c r="M53" s="190"/>
      <c r="N53" s="852"/>
      <c r="O53" s="852"/>
      <c r="P53" s="852"/>
      <c r="Q53" s="852"/>
      <c r="R53" s="852"/>
      <c r="S53" s="852"/>
      <c r="T53" s="852"/>
      <c r="U53" s="852"/>
      <c r="V53" s="852"/>
      <c r="W53" s="852"/>
      <c r="X53" s="853"/>
      <c r="Y53" s="861"/>
      <c r="Z53" s="862"/>
      <c r="AA53" s="502"/>
    </row>
    <row r="54" spans="1:27" s="192" customFormat="1" ht="10.5" customHeight="1">
      <c r="B54" s="851"/>
      <c r="C54" s="863"/>
      <c r="D54" s="381"/>
      <c r="E54" s="190"/>
      <c r="F54" s="852"/>
      <c r="G54" s="852"/>
      <c r="H54" s="852"/>
      <c r="I54" s="852"/>
      <c r="J54" s="190"/>
      <c r="K54" s="190"/>
      <c r="L54" s="190"/>
      <c r="M54" s="190"/>
      <c r="N54" s="852"/>
      <c r="O54" s="852"/>
      <c r="P54" s="852"/>
      <c r="Q54" s="852"/>
      <c r="R54" s="852"/>
      <c r="S54" s="852"/>
      <c r="T54" s="852"/>
      <c r="U54" s="852"/>
      <c r="V54" s="852"/>
      <c r="W54" s="852"/>
      <c r="X54" s="853"/>
      <c r="Y54" s="861"/>
      <c r="Z54" s="862"/>
      <c r="AA54" s="502"/>
    </row>
    <row r="55" spans="1:27" ht="4.5" customHeight="1" thickBot="1">
      <c r="B55" s="860"/>
      <c r="C55" s="863"/>
      <c r="D55" s="381"/>
      <c r="E55" s="190"/>
      <c r="F55" s="190"/>
      <c r="G55" s="190"/>
      <c r="H55" s="190"/>
      <c r="I55" s="190"/>
      <c r="J55" s="190"/>
      <c r="K55" s="190"/>
      <c r="L55" s="190"/>
      <c r="M55" s="190"/>
      <c r="N55" s="852"/>
      <c r="O55" s="852"/>
      <c r="P55" s="852"/>
      <c r="Q55" s="852"/>
      <c r="R55" s="190"/>
      <c r="S55" s="190"/>
      <c r="T55" s="190"/>
      <c r="U55" s="190"/>
      <c r="V55" s="190"/>
      <c r="W55" s="190"/>
      <c r="X55" s="853"/>
      <c r="Y55" s="853"/>
      <c r="Z55" s="854"/>
      <c r="AA55" s="502"/>
    </row>
    <row r="56" spans="1:27" ht="20.100000000000001" customHeight="1" thickBot="1">
      <c r="B56" s="824" t="s">
        <v>841</v>
      </c>
      <c r="C56" s="1157" t="s">
        <v>808</v>
      </c>
      <c r="D56" s="1157"/>
      <c r="E56" s="1157"/>
      <c r="F56" s="1157"/>
      <c r="G56" s="1157"/>
      <c r="H56" s="1157"/>
      <c r="I56" s="1157"/>
      <c r="J56" s="1157"/>
      <c r="K56" s="1157"/>
      <c r="L56" s="1157"/>
      <c r="M56" s="1157"/>
      <c r="N56" s="1157"/>
      <c r="O56" s="1157"/>
      <c r="P56" s="1157"/>
      <c r="Q56" s="1157"/>
      <c r="R56" s="1157"/>
      <c r="S56" s="1157"/>
      <c r="T56" s="1157"/>
      <c r="U56" s="1157"/>
      <c r="V56" s="1157"/>
      <c r="W56" s="1158"/>
      <c r="X56" s="5"/>
      <c r="Y56" s="5"/>
      <c r="Z56" s="849"/>
      <c r="AA56" s="502"/>
    </row>
    <row r="57" spans="1:27">
      <c r="B57" s="697" t="s">
        <v>842</v>
      </c>
      <c r="C57" s="698" t="s">
        <v>838</v>
      </c>
      <c r="D57" s="699" t="s">
        <v>839</v>
      </c>
      <c r="E57" s="700">
        <v>1150</v>
      </c>
      <c r="F57" s="673">
        <v>2150</v>
      </c>
      <c r="G57" s="673" t="s">
        <v>832</v>
      </c>
      <c r="H57" s="673" t="s">
        <v>832</v>
      </c>
      <c r="I57" s="673" t="s">
        <v>832</v>
      </c>
      <c r="J57" s="700">
        <v>1175</v>
      </c>
      <c r="K57" s="700">
        <v>1275</v>
      </c>
      <c r="L57" s="700">
        <v>1175</v>
      </c>
      <c r="M57" s="700">
        <v>1275</v>
      </c>
      <c r="N57" s="673">
        <v>2550</v>
      </c>
      <c r="O57" s="673">
        <v>2650</v>
      </c>
      <c r="P57" s="673">
        <v>2550</v>
      </c>
      <c r="Q57" s="673">
        <v>2650</v>
      </c>
      <c r="R57" s="673" t="s">
        <v>832</v>
      </c>
      <c r="S57" s="673" t="s">
        <v>832</v>
      </c>
      <c r="T57" s="673" t="s">
        <v>832</v>
      </c>
      <c r="U57" s="673" t="s">
        <v>832</v>
      </c>
      <c r="V57" s="673" t="s">
        <v>832</v>
      </c>
      <c r="W57" s="674" t="s">
        <v>832</v>
      </c>
      <c r="X57" s="716">
        <v>34</v>
      </c>
      <c r="Y57" s="699">
        <v>80</v>
      </c>
      <c r="Z57" s="717">
        <v>200</v>
      </c>
      <c r="AA57" s="502"/>
    </row>
    <row r="58" spans="1:27">
      <c r="B58" s="684" t="s">
        <v>181</v>
      </c>
      <c r="C58" s="685" t="s">
        <v>838</v>
      </c>
      <c r="D58" s="718" t="s">
        <v>839</v>
      </c>
      <c r="E58" s="678">
        <v>1425</v>
      </c>
      <c r="F58" s="679" t="s">
        <v>832</v>
      </c>
      <c r="G58" s="679" t="s">
        <v>832</v>
      </c>
      <c r="H58" s="679" t="s">
        <v>832</v>
      </c>
      <c r="I58" s="679" t="s">
        <v>832</v>
      </c>
      <c r="J58" s="678">
        <v>1625</v>
      </c>
      <c r="K58" s="678">
        <v>1725</v>
      </c>
      <c r="L58" s="678">
        <v>1625</v>
      </c>
      <c r="M58" s="678">
        <v>1725</v>
      </c>
      <c r="N58" s="679" t="s">
        <v>832</v>
      </c>
      <c r="O58" s="679" t="s">
        <v>832</v>
      </c>
      <c r="P58" s="679" t="s">
        <v>832</v>
      </c>
      <c r="Q58" s="679" t="s">
        <v>832</v>
      </c>
      <c r="R58" s="679" t="s">
        <v>832</v>
      </c>
      <c r="S58" s="679" t="s">
        <v>832</v>
      </c>
      <c r="T58" s="679" t="s">
        <v>832</v>
      </c>
      <c r="U58" s="679" t="s">
        <v>832</v>
      </c>
      <c r="V58" s="679" t="s">
        <v>832</v>
      </c>
      <c r="W58" s="682" t="s">
        <v>832</v>
      </c>
      <c r="X58" s="719">
        <v>34</v>
      </c>
      <c r="Y58" s="718">
        <v>80</v>
      </c>
      <c r="Z58" s="720">
        <v>200</v>
      </c>
      <c r="AA58" s="502"/>
    </row>
    <row r="59" spans="1:27">
      <c r="B59" s="684" t="s">
        <v>843</v>
      </c>
      <c r="C59" s="685" t="s">
        <v>838</v>
      </c>
      <c r="D59" s="718" t="s">
        <v>690</v>
      </c>
      <c r="E59" s="678">
        <v>1400</v>
      </c>
      <c r="F59" s="679" t="s">
        <v>832</v>
      </c>
      <c r="G59" s="679" t="s">
        <v>832</v>
      </c>
      <c r="H59" s="679" t="s">
        <v>832</v>
      </c>
      <c r="I59" s="679" t="s">
        <v>832</v>
      </c>
      <c r="J59" s="678">
        <v>1525</v>
      </c>
      <c r="K59" s="678">
        <v>1625</v>
      </c>
      <c r="L59" s="678">
        <v>1525</v>
      </c>
      <c r="M59" s="678">
        <v>1625</v>
      </c>
      <c r="N59" s="679" t="s">
        <v>832</v>
      </c>
      <c r="O59" s="679" t="s">
        <v>832</v>
      </c>
      <c r="P59" s="679" t="s">
        <v>832</v>
      </c>
      <c r="Q59" s="679" t="s">
        <v>832</v>
      </c>
      <c r="R59" s="679" t="s">
        <v>832</v>
      </c>
      <c r="S59" s="679" t="s">
        <v>832</v>
      </c>
      <c r="T59" s="679" t="s">
        <v>832</v>
      </c>
      <c r="U59" s="679" t="s">
        <v>832</v>
      </c>
      <c r="V59" s="679" t="s">
        <v>832</v>
      </c>
      <c r="W59" s="682" t="s">
        <v>832</v>
      </c>
      <c r="X59" s="719">
        <v>34</v>
      </c>
      <c r="Y59" s="718">
        <v>80</v>
      </c>
      <c r="Z59" s="720">
        <v>200</v>
      </c>
      <c r="AA59" s="502"/>
    </row>
    <row r="60" spans="1:27" s="9" customFormat="1">
      <c r="A60" s="187"/>
      <c r="B60" s="684" t="s">
        <v>844</v>
      </c>
      <c r="C60" s="685" t="s">
        <v>838</v>
      </c>
      <c r="D60" s="718" t="s">
        <v>690</v>
      </c>
      <c r="E60" s="678">
        <v>1250</v>
      </c>
      <c r="F60" s="679" t="s">
        <v>832</v>
      </c>
      <c r="G60" s="679" t="s">
        <v>832</v>
      </c>
      <c r="H60" s="679" t="s">
        <v>832</v>
      </c>
      <c r="I60" s="679" t="s">
        <v>832</v>
      </c>
      <c r="J60" s="678">
        <v>1325</v>
      </c>
      <c r="K60" s="678">
        <v>1425</v>
      </c>
      <c r="L60" s="678">
        <v>1325</v>
      </c>
      <c r="M60" s="678">
        <v>1425</v>
      </c>
      <c r="N60" s="679" t="s">
        <v>832</v>
      </c>
      <c r="O60" s="679" t="s">
        <v>832</v>
      </c>
      <c r="P60" s="679" t="s">
        <v>832</v>
      </c>
      <c r="Q60" s="679" t="s">
        <v>832</v>
      </c>
      <c r="R60" s="679" t="s">
        <v>832</v>
      </c>
      <c r="S60" s="679" t="s">
        <v>832</v>
      </c>
      <c r="T60" s="679" t="s">
        <v>832</v>
      </c>
      <c r="U60" s="679" t="s">
        <v>832</v>
      </c>
      <c r="V60" s="679" t="s">
        <v>832</v>
      </c>
      <c r="W60" s="682" t="s">
        <v>832</v>
      </c>
      <c r="X60" s="719">
        <v>34</v>
      </c>
      <c r="Y60" s="718">
        <v>80</v>
      </c>
      <c r="Z60" s="720">
        <v>200</v>
      </c>
      <c r="AA60" s="504"/>
    </row>
    <row r="61" spans="1:27">
      <c r="B61" s="684" t="s">
        <v>845</v>
      </c>
      <c r="C61" s="685" t="s">
        <v>838</v>
      </c>
      <c r="D61" s="718" t="s">
        <v>690</v>
      </c>
      <c r="E61" s="678">
        <v>1400</v>
      </c>
      <c r="F61" s="679" t="s">
        <v>832</v>
      </c>
      <c r="G61" s="679" t="s">
        <v>832</v>
      </c>
      <c r="H61" s="679" t="s">
        <v>832</v>
      </c>
      <c r="I61" s="679" t="s">
        <v>832</v>
      </c>
      <c r="J61" s="678">
        <v>1575</v>
      </c>
      <c r="K61" s="678">
        <v>1675</v>
      </c>
      <c r="L61" s="678">
        <v>1575</v>
      </c>
      <c r="M61" s="678">
        <v>1675</v>
      </c>
      <c r="N61" s="679" t="s">
        <v>832</v>
      </c>
      <c r="O61" s="679" t="s">
        <v>832</v>
      </c>
      <c r="P61" s="679" t="s">
        <v>832</v>
      </c>
      <c r="Q61" s="679" t="s">
        <v>832</v>
      </c>
      <c r="R61" s="679" t="s">
        <v>832</v>
      </c>
      <c r="S61" s="679" t="s">
        <v>832</v>
      </c>
      <c r="T61" s="679" t="s">
        <v>832</v>
      </c>
      <c r="U61" s="679" t="s">
        <v>832</v>
      </c>
      <c r="V61" s="679" t="s">
        <v>832</v>
      </c>
      <c r="W61" s="682" t="s">
        <v>832</v>
      </c>
      <c r="X61" s="719">
        <v>34</v>
      </c>
      <c r="Y61" s="718">
        <v>80</v>
      </c>
      <c r="Z61" s="720">
        <v>200</v>
      </c>
      <c r="AA61" s="502"/>
    </row>
    <row r="62" spans="1:27">
      <c r="B62" s="684" t="s">
        <v>846</v>
      </c>
      <c r="C62" s="685" t="s">
        <v>838</v>
      </c>
      <c r="D62" s="718" t="s">
        <v>690</v>
      </c>
      <c r="E62" s="678">
        <v>1400</v>
      </c>
      <c r="F62" s="679" t="s">
        <v>832</v>
      </c>
      <c r="G62" s="679" t="s">
        <v>832</v>
      </c>
      <c r="H62" s="679" t="s">
        <v>832</v>
      </c>
      <c r="I62" s="679" t="s">
        <v>832</v>
      </c>
      <c r="J62" s="678">
        <v>1575</v>
      </c>
      <c r="K62" s="678">
        <v>1675</v>
      </c>
      <c r="L62" s="678">
        <v>1575</v>
      </c>
      <c r="M62" s="678">
        <v>1675</v>
      </c>
      <c r="N62" s="679" t="s">
        <v>832</v>
      </c>
      <c r="O62" s="679" t="s">
        <v>832</v>
      </c>
      <c r="P62" s="679" t="s">
        <v>832</v>
      </c>
      <c r="Q62" s="679" t="s">
        <v>832</v>
      </c>
      <c r="R62" s="679" t="s">
        <v>832</v>
      </c>
      <c r="S62" s="679" t="s">
        <v>832</v>
      </c>
      <c r="T62" s="679" t="s">
        <v>832</v>
      </c>
      <c r="U62" s="679" t="s">
        <v>832</v>
      </c>
      <c r="V62" s="679" t="s">
        <v>832</v>
      </c>
      <c r="W62" s="682" t="s">
        <v>832</v>
      </c>
      <c r="X62" s="719">
        <v>34</v>
      </c>
      <c r="Y62" s="718">
        <v>80</v>
      </c>
      <c r="Z62" s="720">
        <v>200</v>
      </c>
      <c r="AA62" s="502"/>
    </row>
    <row r="63" spans="1:27">
      <c r="B63" s="684" t="s">
        <v>847</v>
      </c>
      <c r="C63" s="685" t="s">
        <v>838</v>
      </c>
      <c r="D63" s="718" t="s">
        <v>690</v>
      </c>
      <c r="E63" s="678">
        <v>1300</v>
      </c>
      <c r="F63" s="679" t="s">
        <v>832</v>
      </c>
      <c r="G63" s="679" t="s">
        <v>832</v>
      </c>
      <c r="H63" s="679" t="s">
        <v>832</v>
      </c>
      <c r="I63" s="679" t="s">
        <v>832</v>
      </c>
      <c r="J63" s="678">
        <v>1375</v>
      </c>
      <c r="K63" s="678">
        <v>1475</v>
      </c>
      <c r="L63" s="678">
        <v>1375</v>
      </c>
      <c r="M63" s="678">
        <v>1475</v>
      </c>
      <c r="N63" s="679" t="s">
        <v>832</v>
      </c>
      <c r="O63" s="679" t="s">
        <v>832</v>
      </c>
      <c r="P63" s="679" t="s">
        <v>832</v>
      </c>
      <c r="Q63" s="679" t="s">
        <v>832</v>
      </c>
      <c r="R63" s="679" t="s">
        <v>832</v>
      </c>
      <c r="S63" s="679" t="s">
        <v>832</v>
      </c>
      <c r="T63" s="679" t="s">
        <v>832</v>
      </c>
      <c r="U63" s="679" t="s">
        <v>832</v>
      </c>
      <c r="V63" s="679" t="s">
        <v>832</v>
      </c>
      <c r="W63" s="682" t="s">
        <v>832</v>
      </c>
      <c r="X63" s="719">
        <v>34</v>
      </c>
      <c r="Y63" s="718">
        <v>80</v>
      </c>
      <c r="Z63" s="720">
        <v>200</v>
      </c>
      <c r="AA63" s="502"/>
    </row>
    <row r="64" spans="1:27">
      <c r="B64" s="684" t="s">
        <v>848</v>
      </c>
      <c r="C64" s="685" t="s">
        <v>838</v>
      </c>
      <c r="D64" s="718" t="s">
        <v>690</v>
      </c>
      <c r="E64" s="678">
        <v>1450</v>
      </c>
      <c r="F64" s="679" t="s">
        <v>832</v>
      </c>
      <c r="G64" s="679" t="s">
        <v>832</v>
      </c>
      <c r="H64" s="679" t="s">
        <v>832</v>
      </c>
      <c r="I64" s="679" t="s">
        <v>832</v>
      </c>
      <c r="J64" s="678">
        <v>1575</v>
      </c>
      <c r="K64" s="678">
        <v>1675</v>
      </c>
      <c r="L64" s="678">
        <v>1575</v>
      </c>
      <c r="M64" s="678">
        <v>1675</v>
      </c>
      <c r="N64" s="679" t="s">
        <v>832</v>
      </c>
      <c r="O64" s="679" t="s">
        <v>832</v>
      </c>
      <c r="P64" s="679" t="s">
        <v>832</v>
      </c>
      <c r="Q64" s="679" t="s">
        <v>832</v>
      </c>
      <c r="R64" s="679" t="s">
        <v>832</v>
      </c>
      <c r="S64" s="679" t="s">
        <v>832</v>
      </c>
      <c r="T64" s="679" t="s">
        <v>832</v>
      </c>
      <c r="U64" s="679" t="s">
        <v>832</v>
      </c>
      <c r="V64" s="679" t="s">
        <v>832</v>
      </c>
      <c r="W64" s="682" t="s">
        <v>832</v>
      </c>
      <c r="X64" s="719">
        <v>34</v>
      </c>
      <c r="Y64" s="718">
        <v>80</v>
      </c>
      <c r="Z64" s="720">
        <v>200</v>
      </c>
      <c r="AA64" s="502"/>
    </row>
    <row r="65" spans="1:27" ht="13.5" thickBot="1">
      <c r="B65" s="702" t="s">
        <v>849</v>
      </c>
      <c r="C65" s="703" t="s">
        <v>838</v>
      </c>
      <c r="D65" s="704" t="s">
        <v>690</v>
      </c>
      <c r="E65" s="692">
        <v>1550</v>
      </c>
      <c r="F65" s="693" t="s">
        <v>832</v>
      </c>
      <c r="G65" s="693" t="s">
        <v>832</v>
      </c>
      <c r="H65" s="693" t="s">
        <v>832</v>
      </c>
      <c r="I65" s="693" t="s">
        <v>832</v>
      </c>
      <c r="J65" s="692">
        <v>1675</v>
      </c>
      <c r="K65" s="692">
        <v>1775</v>
      </c>
      <c r="L65" s="692">
        <v>1675</v>
      </c>
      <c r="M65" s="692">
        <v>1775</v>
      </c>
      <c r="N65" s="693" t="s">
        <v>832</v>
      </c>
      <c r="O65" s="693" t="s">
        <v>832</v>
      </c>
      <c r="P65" s="693" t="s">
        <v>832</v>
      </c>
      <c r="Q65" s="693" t="s">
        <v>832</v>
      </c>
      <c r="R65" s="693" t="s">
        <v>832</v>
      </c>
      <c r="S65" s="693" t="s">
        <v>832</v>
      </c>
      <c r="T65" s="693" t="s">
        <v>832</v>
      </c>
      <c r="U65" s="693" t="s">
        <v>832</v>
      </c>
      <c r="V65" s="693" t="s">
        <v>832</v>
      </c>
      <c r="W65" s="696" t="s">
        <v>832</v>
      </c>
      <c r="X65" s="721">
        <v>34</v>
      </c>
      <c r="Y65" s="704">
        <v>80</v>
      </c>
      <c r="Z65" s="722">
        <v>200</v>
      </c>
      <c r="AA65" s="502"/>
    </row>
    <row r="66" spans="1:27">
      <c r="B66" s="1178" t="s">
        <v>840</v>
      </c>
      <c r="C66" s="1179"/>
      <c r="D66" s="381"/>
      <c r="E66" s="381"/>
      <c r="F66" s="381"/>
      <c r="G66" s="381"/>
      <c r="H66" s="381"/>
      <c r="I66" s="381"/>
      <c r="J66" s="381"/>
      <c r="K66" s="381"/>
      <c r="L66" s="381"/>
      <c r="M66" s="381"/>
      <c r="N66" s="381"/>
      <c r="O66" s="381"/>
      <c r="P66" s="505"/>
      <c r="Q66" s="505"/>
      <c r="R66" s="505"/>
      <c r="S66" s="505"/>
      <c r="T66" s="505"/>
      <c r="U66" s="505"/>
      <c r="V66" s="505"/>
      <c r="W66" s="853"/>
      <c r="X66" s="853"/>
      <c r="Y66" s="853"/>
      <c r="Z66" s="864"/>
    </row>
    <row r="67" spans="1:27" ht="15" customHeight="1">
      <c r="B67" s="588"/>
      <c r="C67" s="863"/>
      <c r="D67" s="381"/>
      <c r="E67" s="381"/>
      <c r="F67" s="381"/>
      <c r="G67" s="381"/>
      <c r="H67" s="381"/>
      <c r="I67" s="381"/>
      <c r="J67" s="381"/>
      <c r="K67" s="381"/>
      <c r="L67" s="381"/>
      <c r="M67" s="381"/>
      <c r="N67" s="381"/>
      <c r="O67" s="381"/>
      <c r="P67" s="505"/>
      <c r="Q67" s="505"/>
      <c r="R67" s="505"/>
      <c r="S67" s="505"/>
      <c r="T67" s="505"/>
      <c r="U67" s="505"/>
      <c r="V67" s="505"/>
      <c r="W67" s="853"/>
      <c r="X67" s="853"/>
      <c r="Y67" s="853"/>
      <c r="Z67" s="864"/>
    </row>
    <row r="68" spans="1:27" ht="13.5" thickBot="1">
      <c r="B68" s="865"/>
      <c r="C68" s="866"/>
      <c r="D68" s="381"/>
      <c r="E68" s="190"/>
      <c r="F68" s="867"/>
      <c r="G68" s="867"/>
      <c r="H68" s="867"/>
      <c r="I68" s="867"/>
      <c r="J68" s="843"/>
      <c r="K68" s="843"/>
      <c r="L68" s="843"/>
      <c r="M68" s="843"/>
      <c r="N68" s="867"/>
      <c r="O68" s="842"/>
      <c r="P68" s="867"/>
      <c r="Q68" s="842"/>
      <c r="R68" s="867"/>
      <c r="S68" s="842"/>
      <c r="T68" s="867"/>
      <c r="U68" s="867"/>
      <c r="V68" s="867"/>
      <c r="W68" s="842"/>
      <c r="X68" s="868"/>
      <c r="Y68" s="868"/>
      <c r="Z68" s="869"/>
      <c r="AA68" s="502"/>
    </row>
    <row r="69" spans="1:27" ht="18.95" customHeight="1" thickBot="1">
      <c r="B69" s="824" t="s">
        <v>850</v>
      </c>
      <c r="C69" s="1157" t="s">
        <v>808</v>
      </c>
      <c r="D69" s="1157"/>
      <c r="E69" s="1157"/>
      <c r="F69" s="1157"/>
      <c r="G69" s="1157"/>
      <c r="H69" s="1157"/>
      <c r="I69" s="1157"/>
      <c r="J69" s="1157"/>
      <c r="K69" s="1157"/>
      <c r="L69" s="1157"/>
      <c r="M69" s="1157"/>
      <c r="N69" s="1157"/>
      <c r="O69" s="1157"/>
      <c r="P69" s="1157"/>
      <c r="Q69" s="1157"/>
      <c r="R69" s="1157"/>
      <c r="S69" s="1157"/>
      <c r="T69" s="1157"/>
      <c r="U69" s="1157"/>
      <c r="V69" s="1157"/>
      <c r="W69" s="1158"/>
      <c r="X69" s="5"/>
      <c r="Y69" s="5"/>
      <c r="Z69" s="849"/>
      <c r="AA69" s="502"/>
    </row>
    <row r="70" spans="1:27" ht="23.1" customHeight="1">
      <c r="B70" s="1145" t="s">
        <v>851</v>
      </c>
      <c r="C70" s="1186" t="s">
        <v>852</v>
      </c>
      <c r="D70" s="1155" t="s">
        <v>27</v>
      </c>
      <c r="E70" s="700">
        <v>600</v>
      </c>
      <c r="F70" s="738">
        <v>2600</v>
      </c>
      <c r="G70" s="738">
        <v>2950</v>
      </c>
      <c r="H70" s="738">
        <v>3350</v>
      </c>
      <c r="I70" s="738">
        <v>3450</v>
      </c>
      <c r="J70" s="700">
        <v>1100</v>
      </c>
      <c r="K70" s="700">
        <v>1200</v>
      </c>
      <c r="L70" s="700">
        <v>1100</v>
      </c>
      <c r="M70" s="700">
        <v>1200</v>
      </c>
      <c r="N70" s="738">
        <v>3275</v>
      </c>
      <c r="O70" s="738">
        <v>3375</v>
      </c>
      <c r="P70" s="738">
        <v>3275</v>
      </c>
      <c r="Q70" s="738">
        <v>3375</v>
      </c>
      <c r="R70" s="738">
        <v>3575</v>
      </c>
      <c r="S70" s="738">
        <v>3675</v>
      </c>
      <c r="T70" s="738">
        <v>3925</v>
      </c>
      <c r="U70" s="738">
        <v>4025</v>
      </c>
      <c r="V70" s="738">
        <v>4250</v>
      </c>
      <c r="W70" s="1047">
        <v>4450</v>
      </c>
      <c r="X70" s="1048">
        <v>29</v>
      </c>
      <c r="Y70" s="713">
        <v>80</v>
      </c>
      <c r="Z70" s="727">
        <v>200</v>
      </c>
      <c r="AA70" s="502"/>
    </row>
    <row r="71" spans="1:27" ht="23.25" customHeight="1" thickBot="1">
      <c r="B71" s="1146"/>
      <c r="C71" s="1187"/>
      <c r="D71" s="1188"/>
      <c r="E71" s="678">
        <v>600</v>
      </c>
      <c r="F71" s="743">
        <v>1800</v>
      </c>
      <c r="G71" s="743">
        <v>2150</v>
      </c>
      <c r="H71" s="743">
        <v>2550</v>
      </c>
      <c r="I71" s="743">
        <v>2650</v>
      </c>
      <c r="J71" s="678">
        <v>1100</v>
      </c>
      <c r="K71" s="678">
        <v>1200</v>
      </c>
      <c r="L71" s="678">
        <v>1100</v>
      </c>
      <c r="M71" s="678">
        <v>1200</v>
      </c>
      <c r="N71" s="743">
        <v>2475</v>
      </c>
      <c r="O71" s="743">
        <v>2575</v>
      </c>
      <c r="P71" s="743">
        <v>2475</v>
      </c>
      <c r="Q71" s="743">
        <v>2575</v>
      </c>
      <c r="R71" s="743">
        <v>2775</v>
      </c>
      <c r="S71" s="743">
        <v>2875</v>
      </c>
      <c r="T71" s="743">
        <v>3125</v>
      </c>
      <c r="U71" s="743">
        <v>3225</v>
      </c>
      <c r="V71" s="743">
        <v>3450</v>
      </c>
      <c r="W71" s="1049">
        <v>3550</v>
      </c>
      <c r="X71" s="1050">
        <v>29</v>
      </c>
      <c r="Y71" s="732">
        <v>20</v>
      </c>
      <c r="Z71" s="733">
        <v>120</v>
      </c>
      <c r="AA71" s="502"/>
    </row>
    <row r="72" spans="1:27" s="9" customFormat="1" ht="23.25" customHeight="1" thickBot="1">
      <c r="A72" s="187"/>
      <c r="B72" s="1146" t="s">
        <v>851</v>
      </c>
      <c r="C72" s="1045" t="s">
        <v>480</v>
      </c>
      <c r="D72" s="1051" t="s">
        <v>29</v>
      </c>
      <c r="E72" s="728">
        <v>600</v>
      </c>
      <c r="F72" s="742">
        <v>2600</v>
      </c>
      <c r="G72" s="742">
        <v>2950</v>
      </c>
      <c r="H72" s="742">
        <v>3350</v>
      </c>
      <c r="I72" s="742">
        <v>3450</v>
      </c>
      <c r="J72" s="728">
        <v>1100</v>
      </c>
      <c r="K72" s="728">
        <v>1200</v>
      </c>
      <c r="L72" s="728">
        <v>1100</v>
      </c>
      <c r="M72" s="728">
        <v>1200</v>
      </c>
      <c r="N72" s="742">
        <v>3275</v>
      </c>
      <c r="O72" s="742">
        <v>3375</v>
      </c>
      <c r="P72" s="742">
        <v>3275</v>
      </c>
      <c r="Q72" s="742">
        <v>3375</v>
      </c>
      <c r="R72" s="742">
        <v>3575</v>
      </c>
      <c r="S72" s="742">
        <v>3675</v>
      </c>
      <c r="T72" s="742">
        <v>3925</v>
      </c>
      <c r="U72" s="742">
        <v>4025</v>
      </c>
      <c r="V72" s="742">
        <v>4150</v>
      </c>
      <c r="W72" s="1052">
        <v>4250</v>
      </c>
      <c r="X72" s="1053">
        <v>29</v>
      </c>
      <c r="Y72" s="736">
        <v>80</v>
      </c>
      <c r="Z72" s="737">
        <v>200</v>
      </c>
      <c r="AA72" s="504"/>
    </row>
    <row r="73" spans="1:27" ht="23.25" customHeight="1">
      <c r="B73" s="1145" t="s">
        <v>853</v>
      </c>
      <c r="C73" s="1147" t="s">
        <v>854</v>
      </c>
      <c r="D73" s="1149" t="s">
        <v>38</v>
      </c>
      <c r="E73" s="700">
        <v>1250</v>
      </c>
      <c r="F73" s="673" t="s">
        <v>832</v>
      </c>
      <c r="G73" s="673" t="s">
        <v>832</v>
      </c>
      <c r="H73" s="673" t="s">
        <v>832</v>
      </c>
      <c r="I73" s="673" t="s">
        <v>832</v>
      </c>
      <c r="J73" s="700">
        <v>1525</v>
      </c>
      <c r="K73" s="700">
        <v>1625</v>
      </c>
      <c r="L73" s="700">
        <v>1525</v>
      </c>
      <c r="M73" s="700">
        <v>1625</v>
      </c>
      <c r="N73" s="738" t="s">
        <v>832</v>
      </c>
      <c r="O73" s="738" t="s">
        <v>832</v>
      </c>
      <c r="P73" s="738" t="s">
        <v>832</v>
      </c>
      <c r="Q73" s="738" t="s">
        <v>832</v>
      </c>
      <c r="R73" s="739" t="s">
        <v>832</v>
      </c>
      <c r="S73" s="739" t="s">
        <v>832</v>
      </c>
      <c r="T73" s="739" t="s">
        <v>832</v>
      </c>
      <c r="U73" s="739" t="s">
        <v>832</v>
      </c>
      <c r="V73" s="739" t="s">
        <v>832</v>
      </c>
      <c r="W73" s="740" t="s">
        <v>832</v>
      </c>
      <c r="X73" s="726">
        <v>20</v>
      </c>
      <c r="Y73" s="741"/>
      <c r="Z73" s="740"/>
      <c r="AA73" s="502"/>
    </row>
    <row r="74" spans="1:27" ht="23.25" customHeight="1" thickBot="1">
      <c r="B74" s="1146"/>
      <c r="C74" s="1148"/>
      <c r="D74" s="1150"/>
      <c r="E74" s="728">
        <v>1500</v>
      </c>
      <c r="F74" s="729" t="s">
        <v>832</v>
      </c>
      <c r="G74" s="729" t="s">
        <v>832</v>
      </c>
      <c r="H74" s="729" t="s">
        <v>832</v>
      </c>
      <c r="I74" s="729" t="s">
        <v>832</v>
      </c>
      <c r="J74" s="728">
        <v>1775</v>
      </c>
      <c r="K74" s="728">
        <v>1875</v>
      </c>
      <c r="L74" s="728">
        <v>1775</v>
      </c>
      <c r="M74" s="728">
        <v>1875</v>
      </c>
      <c r="N74" s="742" t="s">
        <v>832</v>
      </c>
      <c r="O74" s="742" t="s">
        <v>832</v>
      </c>
      <c r="P74" s="742" t="s">
        <v>832</v>
      </c>
      <c r="Q74" s="742" t="s">
        <v>832</v>
      </c>
      <c r="R74" s="729" t="s">
        <v>832</v>
      </c>
      <c r="S74" s="729" t="s">
        <v>832</v>
      </c>
      <c r="T74" s="729" t="s">
        <v>832</v>
      </c>
      <c r="U74" s="729" t="s">
        <v>832</v>
      </c>
      <c r="V74" s="729" t="s">
        <v>832</v>
      </c>
      <c r="W74" s="730" t="s">
        <v>832</v>
      </c>
      <c r="X74" s="731">
        <v>26</v>
      </c>
      <c r="Y74" s="732"/>
      <c r="Z74" s="733"/>
      <c r="AA74" s="502"/>
    </row>
    <row r="75" spans="1:27" ht="23.25" customHeight="1">
      <c r="B75" s="1145" t="s">
        <v>855</v>
      </c>
      <c r="C75" s="1153" t="s">
        <v>854</v>
      </c>
      <c r="D75" s="1180" t="s">
        <v>38</v>
      </c>
      <c r="E75" s="700">
        <v>950</v>
      </c>
      <c r="F75" s="673" t="s">
        <v>832</v>
      </c>
      <c r="G75" s="673" t="s">
        <v>832</v>
      </c>
      <c r="H75" s="673" t="s">
        <v>832</v>
      </c>
      <c r="I75" s="673" t="s">
        <v>832</v>
      </c>
      <c r="J75" s="700">
        <v>1075</v>
      </c>
      <c r="K75" s="700">
        <v>1175</v>
      </c>
      <c r="L75" s="700">
        <v>1075</v>
      </c>
      <c r="M75" s="700">
        <v>1175</v>
      </c>
      <c r="N75" s="738" t="s">
        <v>832</v>
      </c>
      <c r="O75" s="738" t="s">
        <v>832</v>
      </c>
      <c r="P75" s="738" t="s">
        <v>832</v>
      </c>
      <c r="Q75" s="738" t="s">
        <v>832</v>
      </c>
      <c r="R75" s="739" t="s">
        <v>832</v>
      </c>
      <c r="S75" s="739" t="s">
        <v>832</v>
      </c>
      <c r="T75" s="739" t="s">
        <v>832</v>
      </c>
      <c r="U75" s="739" t="s">
        <v>832</v>
      </c>
      <c r="V75" s="739" t="s">
        <v>832</v>
      </c>
      <c r="W75" s="740" t="s">
        <v>832</v>
      </c>
      <c r="X75" s="726">
        <v>20</v>
      </c>
      <c r="Y75" s="713"/>
      <c r="Z75" s="727"/>
      <c r="AA75" s="502"/>
    </row>
    <row r="76" spans="1:27" ht="23.25" customHeight="1" thickBot="1">
      <c r="B76" s="1146"/>
      <c r="C76" s="1164"/>
      <c r="D76" s="1181"/>
      <c r="E76" s="728">
        <v>1250</v>
      </c>
      <c r="F76" s="729" t="s">
        <v>832</v>
      </c>
      <c r="G76" s="729" t="s">
        <v>832</v>
      </c>
      <c r="H76" s="729" t="s">
        <v>832</v>
      </c>
      <c r="I76" s="729" t="s">
        <v>832</v>
      </c>
      <c r="J76" s="728">
        <v>1325</v>
      </c>
      <c r="K76" s="728">
        <v>1425</v>
      </c>
      <c r="L76" s="728">
        <v>1325</v>
      </c>
      <c r="M76" s="728">
        <v>1425</v>
      </c>
      <c r="N76" s="742" t="s">
        <v>832</v>
      </c>
      <c r="O76" s="742" t="s">
        <v>832</v>
      </c>
      <c r="P76" s="742" t="s">
        <v>832</v>
      </c>
      <c r="Q76" s="742" t="s">
        <v>832</v>
      </c>
      <c r="R76" s="729" t="s">
        <v>832</v>
      </c>
      <c r="S76" s="729" t="s">
        <v>832</v>
      </c>
      <c r="T76" s="729" t="s">
        <v>832</v>
      </c>
      <c r="U76" s="729" t="s">
        <v>832</v>
      </c>
      <c r="V76" s="729" t="s">
        <v>832</v>
      </c>
      <c r="W76" s="730" t="s">
        <v>832</v>
      </c>
      <c r="X76" s="731">
        <v>26</v>
      </c>
      <c r="Y76" s="732"/>
      <c r="Z76" s="733"/>
      <c r="AA76" s="502"/>
    </row>
    <row r="77" spans="1:27" ht="23.25" customHeight="1">
      <c r="B77" s="1145" t="s">
        <v>856</v>
      </c>
      <c r="C77" s="1153" t="s">
        <v>857</v>
      </c>
      <c r="D77" s="1155" t="s">
        <v>27</v>
      </c>
      <c r="E77" s="700">
        <v>750</v>
      </c>
      <c r="F77" s="673">
        <v>2550</v>
      </c>
      <c r="G77" s="673">
        <v>3150</v>
      </c>
      <c r="H77" s="673">
        <v>3400</v>
      </c>
      <c r="I77" s="673">
        <v>3600</v>
      </c>
      <c r="J77" s="700">
        <v>1275</v>
      </c>
      <c r="K77" s="700">
        <v>1375</v>
      </c>
      <c r="L77" s="700">
        <v>1275</v>
      </c>
      <c r="M77" s="700">
        <v>1375</v>
      </c>
      <c r="N77" s="738">
        <v>3225</v>
      </c>
      <c r="O77" s="738">
        <v>3325</v>
      </c>
      <c r="P77" s="738">
        <v>3225</v>
      </c>
      <c r="Q77" s="738">
        <v>3325</v>
      </c>
      <c r="R77" s="739">
        <v>3475</v>
      </c>
      <c r="S77" s="739">
        <v>3575</v>
      </c>
      <c r="T77" s="739">
        <v>3925</v>
      </c>
      <c r="U77" s="739">
        <v>4025</v>
      </c>
      <c r="V77" s="739">
        <v>4300</v>
      </c>
      <c r="W77" s="740">
        <v>4400</v>
      </c>
      <c r="X77" s="726">
        <v>29</v>
      </c>
      <c r="Y77" s="713">
        <v>78</v>
      </c>
      <c r="Z77" s="727">
        <v>134</v>
      </c>
      <c r="AA77" s="502"/>
    </row>
    <row r="78" spans="1:27" ht="23.25" customHeight="1">
      <c r="B78" s="1146"/>
      <c r="C78" s="1154"/>
      <c r="D78" s="1156"/>
      <c r="E78" s="678">
        <v>750</v>
      </c>
      <c r="F78" s="679">
        <v>1750</v>
      </c>
      <c r="G78" s="679">
        <v>2350</v>
      </c>
      <c r="H78" s="679">
        <v>2600</v>
      </c>
      <c r="I78" s="679">
        <v>2800</v>
      </c>
      <c r="J78" s="678">
        <v>1275</v>
      </c>
      <c r="K78" s="678">
        <v>1375</v>
      </c>
      <c r="L78" s="678">
        <v>1275</v>
      </c>
      <c r="M78" s="678">
        <v>1375</v>
      </c>
      <c r="N78" s="743">
        <v>2425</v>
      </c>
      <c r="O78" s="743">
        <v>2525</v>
      </c>
      <c r="P78" s="743">
        <v>2425</v>
      </c>
      <c r="Q78" s="743">
        <v>2525</v>
      </c>
      <c r="R78" s="744">
        <v>2675</v>
      </c>
      <c r="S78" s="744">
        <v>2775</v>
      </c>
      <c r="T78" s="744">
        <v>3125</v>
      </c>
      <c r="U78" s="744">
        <v>3225</v>
      </c>
      <c r="V78" s="744">
        <v>3500</v>
      </c>
      <c r="W78" s="745">
        <v>3600</v>
      </c>
      <c r="X78" s="746">
        <v>29</v>
      </c>
      <c r="Y78" s="747">
        <v>20</v>
      </c>
      <c r="Z78" s="748">
        <v>120</v>
      </c>
      <c r="AA78" s="502"/>
    </row>
    <row r="79" spans="1:27" ht="23.25" customHeight="1" thickBot="1">
      <c r="B79" s="1146"/>
      <c r="C79" s="749" t="s">
        <v>480</v>
      </c>
      <c r="D79" s="750" t="s">
        <v>29</v>
      </c>
      <c r="E79" s="728">
        <v>600</v>
      </c>
      <c r="F79" s="729">
        <v>1600</v>
      </c>
      <c r="G79" s="729">
        <v>3200</v>
      </c>
      <c r="H79" s="729">
        <v>3450</v>
      </c>
      <c r="I79" s="729">
        <v>3700</v>
      </c>
      <c r="J79" s="728">
        <v>1075</v>
      </c>
      <c r="K79" s="728">
        <v>1175</v>
      </c>
      <c r="L79" s="728">
        <v>1075</v>
      </c>
      <c r="M79" s="728">
        <v>1175</v>
      </c>
      <c r="N79" s="742">
        <v>2175</v>
      </c>
      <c r="O79" s="742">
        <v>2275</v>
      </c>
      <c r="P79" s="742">
        <v>2175</v>
      </c>
      <c r="Q79" s="742">
        <v>2275</v>
      </c>
      <c r="R79" s="751">
        <v>2425</v>
      </c>
      <c r="S79" s="751">
        <v>2525</v>
      </c>
      <c r="T79" s="751">
        <v>2925</v>
      </c>
      <c r="U79" s="751">
        <v>3025</v>
      </c>
      <c r="V79" s="751">
        <v>3350</v>
      </c>
      <c r="W79" s="752">
        <v>3450</v>
      </c>
      <c r="X79" s="731">
        <v>29</v>
      </c>
      <c r="Y79" s="732">
        <v>78</v>
      </c>
      <c r="Z79" s="733">
        <v>134</v>
      </c>
      <c r="AA79" s="502"/>
    </row>
    <row r="80" spans="1:27" ht="23.1" customHeight="1">
      <c r="B80" s="1162" t="s">
        <v>858</v>
      </c>
      <c r="C80" s="1153" t="s">
        <v>857</v>
      </c>
      <c r="D80" s="1155" t="s">
        <v>32</v>
      </c>
      <c r="E80" s="700">
        <v>750</v>
      </c>
      <c r="F80" s="673">
        <v>2550</v>
      </c>
      <c r="G80" s="673">
        <v>3150</v>
      </c>
      <c r="H80" s="673">
        <v>3400</v>
      </c>
      <c r="I80" s="673">
        <v>3600</v>
      </c>
      <c r="J80" s="700">
        <v>1275</v>
      </c>
      <c r="K80" s="700">
        <v>1375</v>
      </c>
      <c r="L80" s="700">
        <v>1275</v>
      </c>
      <c r="M80" s="700">
        <v>1375</v>
      </c>
      <c r="N80" s="738">
        <v>3225</v>
      </c>
      <c r="O80" s="738">
        <v>3325</v>
      </c>
      <c r="P80" s="738">
        <v>3225</v>
      </c>
      <c r="Q80" s="738">
        <v>3325</v>
      </c>
      <c r="R80" s="739">
        <v>3475</v>
      </c>
      <c r="S80" s="739">
        <v>3575</v>
      </c>
      <c r="T80" s="739">
        <v>3925</v>
      </c>
      <c r="U80" s="739">
        <v>4025</v>
      </c>
      <c r="V80" s="739">
        <v>4300</v>
      </c>
      <c r="W80" s="740">
        <v>4400</v>
      </c>
      <c r="X80" s="726">
        <v>29</v>
      </c>
      <c r="Y80" s="713">
        <v>80</v>
      </c>
      <c r="Z80" s="727">
        <v>200</v>
      </c>
      <c r="AA80" s="502"/>
    </row>
    <row r="81" spans="2:27" ht="23.25" customHeight="1" thickBot="1">
      <c r="B81" s="1163"/>
      <c r="C81" s="1164"/>
      <c r="D81" s="1188"/>
      <c r="E81" s="728">
        <v>750</v>
      </c>
      <c r="F81" s="729">
        <v>1750</v>
      </c>
      <c r="G81" s="729">
        <v>2350</v>
      </c>
      <c r="H81" s="729">
        <v>2600</v>
      </c>
      <c r="I81" s="729">
        <v>2800</v>
      </c>
      <c r="J81" s="728">
        <v>1275</v>
      </c>
      <c r="K81" s="728">
        <v>1375</v>
      </c>
      <c r="L81" s="728">
        <v>1275</v>
      </c>
      <c r="M81" s="728">
        <v>1375</v>
      </c>
      <c r="N81" s="742">
        <v>2425</v>
      </c>
      <c r="O81" s="742">
        <v>2525</v>
      </c>
      <c r="P81" s="742">
        <v>2425</v>
      </c>
      <c r="Q81" s="742">
        <v>2525</v>
      </c>
      <c r="R81" s="751">
        <v>2675</v>
      </c>
      <c r="S81" s="751">
        <v>2775</v>
      </c>
      <c r="T81" s="751">
        <v>3125</v>
      </c>
      <c r="U81" s="751">
        <v>3225</v>
      </c>
      <c r="V81" s="751">
        <v>3500</v>
      </c>
      <c r="W81" s="752">
        <v>3600</v>
      </c>
      <c r="X81" s="731">
        <v>29</v>
      </c>
      <c r="Y81" s="732">
        <v>20</v>
      </c>
      <c r="Z81" s="733">
        <v>120</v>
      </c>
      <c r="AA81" s="502"/>
    </row>
    <row r="82" spans="2:27" ht="23.25" customHeight="1">
      <c r="B82" s="1145" t="s">
        <v>859</v>
      </c>
      <c r="C82" s="1153" t="s">
        <v>857</v>
      </c>
      <c r="D82" s="1155" t="s">
        <v>27</v>
      </c>
      <c r="E82" s="700">
        <v>750</v>
      </c>
      <c r="F82" s="673">
        <v>2550</v>
      </c>
      <c r="G82" s="673">
        <v>3150</v>
      </c>
      <c r="H82" s="673">
        <v>3400</v>
      </c>
      <c r="I82" s="673">
        <v>3600</v>
      </c>
      <c r="J82" s="700">
        <v>1275</v>
      </c>
      <c r="K82" s="700">
        <v>1375</v>
      </c>
      <c r="L82" s="700">
        <v>1275</v>
      </c>
      <c r="M82" s="700">
        <v>1375</v>
      </c>
      <c r="N82" s="738">
        <v>3225</v>
      </c>
      <c r="O82" s="738">
        <v>3325</v>
      </c>
      <c r="P82" s="738">
        <v>3225</v>
      </c>
      <c r="Q82" s="738">
        <v>3325</v>
      </c>
      <c r="R82" s="739">
        <v>3475</v>
      </c>
      <c r="S82" s="739">
        <v>3575</v>
      </c>
      <c r="T82" s="739">
        <v>3925</v>
      </c>
      <c r="U82" s="739">
        <v>4025</v>
      </c>
      <c r="V82" s="739">
        <v>4300</v>
      </c>
      <c r="W82" s="740">
        <v>4400</v>
      </c>
      <c r="X82" s="726">
        <v>26</v>
      </c>
      <c r="Y82" s="713"/>
      <c r="Z82" s="727"/>
      <c r="AA82" s="502"/>
    </row>
    <row r="83" spans="2:27" ht="23.25" customHeight="1">
      <c r="B83" s="1146"/>
      <c r="C83" s="1154"/>
      <c r="D83" s="1156"/>
      <c r="E83" s="678">
        <v>750</v>
      </c>
      <c r="F83" s="679">
        <v>1750</v>
      </c>
      <c r="G83" s="679">
        <v>2350</v>
      </c>
      <c r="H83" s="679">
        <v>2600</v>
      </c>
      <c r="I83" s="679">
        <v>2800</v>
      </c>
      <c r="J83" s="678">
        <v>1275</v>
      </c>
      <c r="K83" s="678">
        <v>1375</v>
      </c>
      <c r="L83" s="678">
        <v>1275</v>
      </c>
      <c r="M83" s="678">
        <v>1375</v>
      </c>
      <c r="N83" s="743">
        <v>2425</v>
      </c>
      <c r="O83" s="743">
        <v>2525</v>
      </c>
      <c r="P83" s="743">
        <v>2425</v>
      </c>
      <c r="Q83" s="743">
        <v>2525</v>
      </c>
      <c r="R83" s="744">
        <v>2675</v>
      </c>
      <c r="S83" s="744">
        <v>2775</v>
      </c>
      <c r="T83" s="744">
        <v>3125</v>
      </c>
      <c r="U83" s="744">
        <v>3225</v>
      </c>
      <c r="V83" s="744">
        <v>3500</v>
      </c>
      <c r="W83" s="745">
        <v>3600</v>
      </c>
      <c r="X83" s="746">
        <v>26</v>
      </c>
      <c r="Y83" s="747">
        <v>15</v>
      </c>
      <c r="Z83" s="748">
        <v>120</v>
      </c>
      <c r="AA83" s="502"/>
    </row>
    <row r="84" spans="2:27" ht="23.25" customHeight="1" thickBot="1">
      <c r="B84" s="1146"/>
      <c r="C84" s="749" t="s">
        <v>480</v>
      </c>
      <c r="D84" s="750" t="s">
        <v>29</v>
      </c>
      <c r="E84" s="728">
        <v>600</v>
      </c>
      <c r="F84" s="729">
        <v>1600</v>
      </c>
      <c r="G84" s="729">
        <v>3200</v>
      </c>
      <c r="H84" s="729">
        <v>3450</v>
      </c>
      <c r="I84" s="729">
        <v>3700</v>
      </c>
      <c r="J84" s="728">
        <v>1075</v>
      </c>
      <c r="K84" s="728">
        <v>1175</v>
      </c>
      <c r="L84" s="728">
        <v>1075</v>
      </c>
      <c r="M84" s="728">
        <v>1175</v>
      </c>
      <c r="N84" s="742">
        <v>2175</v>
      </c>
      <c r="O84" s="742">
        <v>2275</v>
      </c>
      <c r="P84" s="742">
        <v>2175</v>
      </c>
      <c r="Q84" s="742">
        <v>2275</v>
      </c>
      <c r="R84" s="751">
        <v>2425</v>
      </c>
      <c r="S84" s="751">
        <v>2525</v>
      </c>
      <c r="T84" s="751">
        <v>2925</v>
      </c>
      <c r="U84" s="751">
        <v>3025</v>
      </c>
      <c r="V84" s="751">
        <v>3350</v>
      </c>
      <c r="W84" s="752">
        <v>3450</v>
      </c>
      <c r="X84" s="731">
        <v>26</v>
      </c>
      <c r="Y84" s="732"/>
      <c r="Z84" s="733"/>
      <c r="AA84" s="502"/>
    </row>
    <row r="85" spans="2:27" ht="23.1" customHeight="1" thickBot="1">
      <c r="B85" s="723" t="s">
        <v>860</v>
      </c>
      <c r="C85" s="724" t="s">
        <v>861</v>
      </c>
      <c r="D85" s="725" t="s">
        <v>32</v>
      </c>
      <c r="E85" s="734">
        <v>850</v>
      </c>
      <c r="F85" s="735">
        <v>2050</v>
      </c>
      <c r="G85" s="735">
        <v>2700</v>
      </c>
      <c r="H85" s="735">
        <v>3150</v>
      </c>
      <c r="I85" s="735">
        <v>3350</v>
      </c>
      <c r="J85" s="734">
        <v>1075</v>
      </c>
      <c r="K85" s="734">
        <v>1175</v>
      </c>
      <c r="L85" s="734">
        <v>1075</v>
      </c>
      <c r="M85" s="734">
        <v>1175</v>
      </c>
      <c r="N85" s="753">
        <v>2425</v>
      </c>
      <c r="O85" s="753">
        <v>2525</v>
      </c>
      <c r="P85" s="753">
        <v>2425</v>
      </c>
      <c r="Q85" s="753">
        <v>2525</v>
      </c>
      <c r="R85" s="754">
        <v>2725</v>
      </c>
      <c r="S85" s="754">
        <v>2825</v>
      </c>
      <c r="T85" s="754">
        <v>3075</v>
      </c>
      <c r="U85" s="754">
        <v>3175</v>
      </c>
      <c r="V85" s="754">
        <v>3835</v>
      </c>
      <c r="W85" s="755">
        <v>3935</v>
      </c>
      <c r="X85" s="756">
        <v>29</v>
      </c>
      <c r="Y85" s="757">
        <v>80</v>
      </c>
      <c r="Z85" s="758">
        <v>200</v>
      </c>
      <c r="AA85" s="502"/>
    </row>
    <row r="86" spans="2:27" ht="23.1" customHeight="1" thickBot="1">
      <c r="B86" s="723" t="s">
        <v>862</v>
      </c>
      <c r="C86" s="724" t="s">
        <v>480</v>
      </c>
      <c r="D86" s="725" t="s">
        <v>29</v>
      </c>
      <c r="E86" s="734">
        <v>950</v>
      </c>
      <c r="F86" s="735">
        <v>1750</v>
      </c>
      <c r="G86" s="735">
        <v>2500</v>
      </c>
      <c r="H86" s="735">
        <v>2950</v>
      </c>
      <c r="I86" s="735">
        <v>3150</v>
      </c>
      <c r="J86" s="734">
        <v>1225</v>
      </c>
      <c r="K86" s="734">
        <v>1325</v>
      </c>
      <c r="L86" s="734">
        <v>1225</v>
      </c>
      <c r="M86" s="734">
        <v>1325</v>
      </c>
      <c r="N86" s="753">
        <v>2075</v>
      </c>
      <c r="O86" s="753">
        <v>2175</v>
      </c>
      <c r="P86" s="753">
        <v>2075</v>
      </c>
      <c r="Q86" s="753">
        <v>2175</v>
      </c>
      <c r="R86" s="754">
        <v>2475</v>
      </c>
      <c r="S86" s="754">
        <v>2575</v>
      </c>
      <c r="T86" s="754">
        <v>3325</v>
      </c>
      <c r="U86" s="754">
        <v>3425</v>
      </c>
      <c r="V86" s="754">
        <v>3700</v>
      </c>
      <c r="W86" s="755">
        <v>3800</v>
      </c>
      <c r="X86" s="756">
        <v>29</v>
      </c>
      <c r="Y86" s="757">
        <v>80</v>
      </c>
      <c r="Z86" s="758">
        <v>200</v>
      </c>
      <c r="AA86" s="502"/>
    </row>
    <row r="87" spans="2:27" ht="23.1" customHeight="1" thickBot="1">
      <c r="B87" s="723" t="s">
        <v>862</v>
      </c>
      <c r="C87" s="724" t="s">
        <v>861</v>
      </c>
      <c r="D87" s="725" t="s">
        <v>32</v>
      </c>
      <c r="E87" s="734">
        <v>1000</v>
      </c>
      <c r="F87" s="735">
        <v>1850</v>
      </c>
      <c r="G87" s="735">
        <v>2600</v>
      </c>
      <c r="H87" s="735">
        <v>3050</v>
      </c>
      <c r="I87" s="735">
        <v>3250</v>
      </c>
      <c r="J87" s="734">
        <v>1275</v>
      </c>
      <c r="K87" s="734">
        <v>1375</v>
      </c>
      <c r="L87" s="734">
        <v>1275</v>
      </c>
      <c r="M87" s="734">
        <v>1375</v>
      </c>
      <c r="N87" s="753">
        <v>2175</v>
      </c>
      <c r="O87" s="753">
        <v>2275</v>
      </c>
      <c r="P87" s="753">
        <v>2175</v>
      </c>
      <c r="Q87" s="753">
        <v>2275</v>
      </c>
      <c r="R87" s="754">
        <v>2575</v>
      </c>
      <c r="S87" s="754">
        <v>2675</v>
      </c>
      <c r="T87" s="754">
        <v>3425</v>
      </c>
      <c r="U87" s="754">
        <v>3525</v>
      </c>
      <c r="V87" s="754">
        <v>3800</v>
      </c>
      <c r="W87" s="755">
        <v>3900</v>
      </c>
      <c r="X87" s="756">
        <v>29</v>
      </c>
      <c r="Y87" s="757">
        <v>80</v>
      </c>
      <c r="Z87" s="758">
        <v>200</v>
      </c>
      <c r="AA87" s="502"/>
    </row>
    <row r="88" spans="2:27" ht="23.25" customHeight="1">
      <c r="B88" s="1189" t="s">
        <v>863</v>
      </c>
      <c r="C88" s="1153" t="s">
        <v>857</v>
      </c>
      <c r="D88" s="1155" t="s">
        <v>27</v>
      </c>
      <c r="E88" s="700">
        <v>900</v>
      </c>
      <c r="F88" s="673">
        <v>2500</v>
      </c>
      <c r="G88" s="673">
        <v>3150</v>
      </c>
      <c r="H88" s="673">
        <v>3350</v>
      </c>
      <c r="I88" s="673">
        <v>3600</v>
      </c>
      <c r="J88" s="700">
        <v>1275</v>
      </c>
      <c r="K88" s="700">
        <v>1325</v>
      </c>
      <c r="L88" s="700">
        <v>1275</v>
      </c>
      <c r="M88" s="700">
        <v>1325</v>
      </c>
      <c r="N88" s="738">
        <v>2825</v>
      </c>
      <c r="O88" s="738">
        <v>2925</v>
      </c>
      <c r="P88" s="738">
        <v>2825</v>
      </c>
      <c r="Q88" s="738">
        <v>2925</v>
      </c>
      <c r="R88" s="739">
        <v>3225</v>
      </c>
      <c r="S88" s="739">
        <v>3325</v>
      </c>
      <c r="T88" s="739">
        <v>3625</v>
      </c>
      <c r="U88" s="739">
        <v>3725</v>
      </c>
      <c r="V88" s="739">
        <v>4050</v>
      </c>
      <c r="W88" s="740">
        <v>4150</v>
      </c>
      <c r="X88" s="726">
        <v>29</v>
      </c>
      <c r="Y88" s="713">
        <v>80</v>
      </c>
      <c r="Z88" s="727">
        <v>200</v>
      </c>
      <c r="AA88" s="502"/>
    </row>
    <row r="89" spans="2:27" ht="23.25" customHeight="1">
      <c r="B89" s="1190"/>
      <c r="C89" s="1154"/>
      <c r="D89" s="1156"/>
      <c r="E89" s="678">
        <v>900</v>
      </c>
      <c r="F89" s="679">
        <v>1700</v>
      </c>
      <c r="G89" s="679">
        <v>2350</v>
      </c>
      <c r="H89" s="679">
        <v>2550</v>
      </c>
      <c r="I89" s="679">
        <v>2800</v>
      </c>
      <c r="J89" s="678">
        <v>1275</v>
      </c>
      <c r="K89" s="678">
        <v>1325</v>
      </c>
      <c r="L89" s="678">
        <v>1275</v>
      </c>
      <c r="M89" s="678">
        <v>1325</v>
      </c>
      <c r="N89" s="743">
        <v>2025</v>
      </c>
      <c r="O89" s="743">
        <v>2125</v>
      </c>
      <c r="P89" s="743">
        <v>2025</v>
      </c>
      <c r="Q89" s="743">
        <v>2125</v>
      </c>
      <c r="R89" s="744">
        <v>2425</v>
      </c>
      <c r="S89" s="744">
        <v>2525</v>
      </c>
      <c r="T89" s="744">
        <v>2825</v>
      </c>
      <c r="U89" s="744">
        <v>2925</v>
      </c>
      <c r="V89" s="744">
        <v>3250</v>
      </c>
      <c r="W89" s="745">
        <v>3350</v>
      </c>
      <c r="X89" s="746">
        <v>29</v>
      </c>
      <c r="Y89" s="747">
        <v>20</v>
      </c>
      <c r="Z89" s="748">
        <v>120</v>
      </c>
      <c r="AA89" s="502"/>
    </row>
    <row r="90" spans="2:27" ht="23.25" customHeight="1" thickBot="1">
      <c r="B90" s="1190"/>
      <c r="C90" s="749" t="s">
        <v>480</v>
      </c>
      <c r="D90" s="750" t="s">
        <v>29</v>
      </c>
      <c r="E90" s="728">
        <v>900</v>
      </c>
      <c r="F90" s="729">
        <v>1650</v>
      </c>
      <c r="G90" s="729">
        <v>2350</v>
      </c>
      <c r="H90" s="729">
        <v>2550</v>
      </c>
      <c r="I90" s="729">
        <v>2850</v>
      </c>
      <c r="J90" s="728">
        <v>1275</v>
      </c>
      <c r="K90" s="728">
        <v>1425</v>
      </c>
      <c r="L90" s="728">
        <v>1275</v>
      </c>
      <c r="M90" s="728">
        <v>1425</v>
      </c>
      <c r="N90" s="742">
        <v>2125</v>
      </c>
      <c r="O90" s="742">
        <v>2225</v>
      </c>
      <c r="P90" s="742">
        <v>2125</v>
      </c>
      <c r="Q90" s="742">
        <v>2225</v>
      </c>
      <c r="R90" s="751">
        <v>2575</v>
      </c>
      <c r="S90" s="751">
        <v>2675</v>
      </c>
      <c r="T90" s="751">
        <v>2975</v>
      </c>
      <c r="U90" s="751">
        <v>3075</v>
      </c>
      <c r="V90" s="751">
        <v>3350</v>
      </c>
      <c r="W90" s="752">
        <v>3450</v>
      </c>
      <c r="X90" s="731">
        <v>29</v>
      </c>
      <c r="Y90" s="732">
        <v>80</v>
      </c>
      <c r="Z90" s="733">
        <v>200</v>
      </c>
      <c r="AA90" s="502"/>
    </row>
    <row r="91" spans="2:27" ht="23.25" customHeight="1">
      <c r="B91" s="1145" t="s">
        <v>864</v>
      </c>
      <c r="C91" s="1153" t="s">
        <v>857</v>
      </c>
      <c r="D91" s="1155" t="s">
        <v>27</v>
      </c>
      <c r="E91" s="700">
        <v>900</v>
      </c>
      <c r="F91" s="673">
        <v>1700</v>
      </c>
      <c r="G91" s="673">
        <v>2200</v>
      </c>
      <c r="H91" s="673">
        <v>2450</v>
      </c>
      <c r="I91" s="673">
        <v>2700</v>
      </c>
      <c r="J91" s="700">
        <v>1275</v>
      </c>
      <c r="K91" s="700">
        <v>1375</v>
      </c>
      <c r="L91" s="700">
        <v>1275</v>
      </c>
      <c r="M91" s="700">
        <v>1375</v>
      </c>
      <c r="N91" s="738">
        <v>2025</v>
      </c>
      <c r="O91" s="738">
        <v>2125</v>
      </c>
      <c r="P91" s="738">
        <v>2025</v>
      </c>
      <c r="Q91" s="738">
        <v>2125</v>
      </c>
      <c r="R91" s="739">
        <v>2425</v>
      </c>
      <c r="S91" s="739">
        <v>2525</v>
      </c>
      <c r="T91" s="739">
        <v>2775</v>
      </c>
      <c r="U91" s="739">
        <v>2875</v>
      </c>
      <c r="V91" s="739">
        <v>3450</v>
      </c>
      <c r="W91" s="740">
        <v>3550</v>
      </c>
      <c r="X91" s="726">
        <v>26</v>
      </c>
      <c r="Y91" s="713">
        <v>20</v>
      </c>
      <c r="Z91" s="727">
        <v>120</v>
      </c>
      <c r="AA91" s="502"/>
    </row>
    <row r="92" spans="2:27" ht="23.25" customHeight="1" thickBot="1">
      <c r="B92" s="1146"/>
      <c r="C92" s="1164"/>
      <c r="D92" s="1188"/>
      <c r="E92" s="728">
        <v>900</v>
      </c>
      <c r="F92" s="729">
        <v>2500</v>
      </c>
      <c r="G92" s="729">
        <v>3050</v>
      </c>
      <c r="H92" s="729">
        <v>3250</v>
      </c>
      <c r="I92" s="729">
        <v>3500</v>
      </c>
      <c r="J92" s="728">
        <v>1275</v>
      </c>
      <c r="K92" s="728">
        <v>1375</v>
      </c>
      <c r="L92" s="728">
        <v>1275</v>
      </c>
      <c r="M92" s="728">
        <v>1375</v>
      </c>
      <c r="N92" s="742">
        <v>2825</v>
      </c>
      <c r="O92" s="742">
        <v>2925</v>
      </c>
      <c r="P92" s="742">
        <v>2825</v>
      </c>
      <c r="Q92" s="742">
        <v>2925</v>
      </c>
      <c r="R92" s="751">
        <v>3175</v>
      </c>
      <c r="S92" s="751">
        <v>3275</v>
      </c>
      <c r="T92" s="751">
        <v>3575</v>
      </c>
      <c r="U92" s="751">
        <v>3675</v>
      </c>
      <c r="V92" s="751">
        <v>3200</v>
      </c>
      <c r="W92" s="752">
        <v>3300</v>
      </c>
      <c r="X92" s="731">
        <v>26</v>
      </c>
      <c r="Y92" s="732">
        <v>80</v>
      </c>
      <c r="Z92" s="733">
        <v>200</v>
      </c>
      <c r="AA92" s="502"/>
    </row>
    <row r="93" spans="2:27" ht="23.25" customHeight="1" thickBot="1">
      <c r="B93" s="759" t="s">
        <v>865</v>
      </c>
      <c r="C93" s="724" t="s">
        <v>480</v>
      </c>
      <c r="D93" s="725" t="s">
        <v>29</v>
      </c>
      <c r="E93" s="734">
        <v>900</v>
      </c>
      <c r="F93" s="735">
        <v>1650</v>
      </c>
      <c r="G93" s="735">
        <v>2200</v>
      </c>
      <c r="H93" s="735">
        <v>2450</v>
      </c>
      <c r="I93" s="735">
        <v>2750</v>
      </c>
      <c r="J93" s="734">
        <v>1275</v>
      </c>
      <c r="K93" s="734">
        <v>1375</v>
      </c>
      <c r="L93" s="734">
        <v>1275</v>
      </c>
      <c r="M93" s="734">
        <v>1375</v>
      </c>
      <c r="N93" s="753">
        <v>2125</v>
      </c>
      <c r="O93" s="753">
        <v>2225</v>
      </c>
      <c r="P93" s="753">
        <v>2125</v>
      </c>
      <c r="Q93" s="753">
        <v>2225</v>
      </c>
      <c r="R93" s="754">
        <v>2525</v>
      </c>
      <c r="S93" s="754">
        <v>2625</v>
      </c>
      <c r="T93" s="754">
        <v>2925</v>
      </c>
      <c r="U93" s="754">
        <v>3025</v>
      </c>
      <c r="V93" s="754">
        <v>4000</v>
      </c>
      <c r="W93" s="755">
        <v>4100</v>
      </c>
      <c r="X93" s="756">
        <v>26</v>
      </c>
      <c r="Y93" s="757">
        <v>80</v>
      </c>
      <c r="Z93" s="758">
        <v>200</v>
      </c>
      <c r="AA93" s="502"/>
    </row>
    <row r="94" spans="2:27" ht="23.25" customHeight="1">
      <c r="B94" s="1145" t="s">
        <v>866</v>
      </c>
      <c r="C94" s="1153" t="s">
        <v>857</v>
      </c>
      <c r="D94" s="1155" t="s">
        <v>27</v>
      </c>
      <c r="E94" s="700">
        <v>800</v>
      </c>
      <c r="F94" s="673">
        <v>2450</v>
      </c>
      <c r="G94" s="673">
        <v>3050</v>
      </c>
      <c r="H94" s="673">
        <v>3300</v>
      </c>
      <c r="I94" s="673">
        <v>3550</v>
      </c>
      <c r="J94" s="700">
        <v>1225</v>
      </c>
      <c r="K94" s="700">
        <v>1325</v>
      </c>
      <c r="L94" s="700">
        <v>1225</v>
      </c>
      <c r="M94" s="700">
        <v>1325</v>
      </c>
      <c r="N94" s="738">
        <v>2875</v>
      </c>
      <c r="O94" s="738">
        <v>2975</v>
      </c>
      <c r="P94" s="738">
        <v>2875</v>
      </c>
      <c r="Q94" s="738">
        <v>2975</v>
      </c>
      <c r="R94" s="739">
        <v>3125</v>
      </c>
      <c r="S94" s="739">
        <v>3225</v>
      </c>
      <c r="T94" s="739">
        <v>3575</v>
      </c>
      <c r="U94" s="739">
        <v>3675</v>
      </c>
      <c r="V94" s="739">
        <v>4000</v>
      </c>
      <c r="W94" s="740">
        <v>4100</v>
      </c>
      <c r="X94" s="726">
        <v>29</v>
      </c>
      <c r="Y94" s="713"/>
      <c r="Z94" s="727"/>
      <c r="AA94" s="502"/>
    </row>
    <row r="95" spans="2:27" ht="23.25" customHeight="1" thickBot="1">
      <c r="B95" s="1146"/>
      <c r="C95" s="1164"/>
      <c r="D95" s="1188"/>
      <c r="E95" s="728">
        <v>800</v>
      </c>
      <c r="F95" s="729">
        <v>1650</v>
      </c>
      <c r="G95" s="729">
        <v>2250</v>
      </c>
      <c r="H95" s="729">
        <v>2500</v>
      </c>
      <c r="I95" s="729">
        <v>2750</v>
      </c>
      <c r="J95" s="728">
        <v>1225</v>
      </c>
      <c r="K95" s="728">
        <v>1325</v>
      </c>
      <c r="L95" s="728">
        <v>1225</v>
      </c>
      <c r="M95" s="728">
        <v>1325</v>
      </c>
      <c r="N95" s="742">
        <v>2075</v>
      </c>
      <c r="O95" s="742">
        <v>2175</v>
      </c>
      <c r="P95" s="742">
        <v>2075</v>
      </c>
      <c r="Q95" s="742">
        <v>2175</v>
      </c>
      <c r="R95" s="751">
        <v>2325</v>
      </c>
      <c r="S95" s="751">
        <v>2425</v>
      </c>
      <c r="T95" s="751">
        <v>2775</v>
      </c>
      <c r="U95" s="751">
        <v>2875</v>
      </c>
      <c r="V95" s="751">
        <v>3200</v>
      </c>
      <c r="W95" s="752">
        <v>3300</v>
      </c>
      <c r="X95" s="731">
        <v>29</v>
      </c>
      <c r="Y95" s="732">
        <v>15</v>
      </c>
      <c r="Z95" s="733">
        <v>120</v>
      </c>
      <c r="AA95" s="502"/>
    </row>
    <row r="96" spans="2:27" ht="23.25" customHeight="1">
      <c r="B96" s="1145" t="s">
        <v>867</v>
      </c>
      <c r="C96" s="1153" t="s">
        <v>857</v>
      </c>
      <c r="D96" s="1155" t="s">
        <v>27</v>
      </c>
      <c r="E96" s="700">
        <v>800</v>
      </c>
      <c r="F96" s="673">
        <v>2550</v>
      </c>
      <c r="G96" s="673">
        <v>3200</v>
      </c>
      <c r="H96" s="673">
        <v>3550</v>
      </c>
      <c r="I96" s="673">
        <v>3950</v>
      </c>
      <c r="J96" s="700">
        <v>1225</v>
      </c>
      <c r="K96" s="700">
        <v>1325</v>
      </c>
      <c r="L96" s="700">
        <v>1225</v>
      </c>
      <c r="M96" s="700">
        <v>1325</v>
      </c>
      <c r="N96" s="738">
        <v>3025</v>
      </c>
      <c r="O96" s="738">
        <v>3125</v>
      </c>
      <c r="P96" s="738">
        <v>3025</v>
      </c>
      <c r="Q96" s="738">
        <v>3125</v>
      </c>
      <c r="R96" s="739">
        <v>3425</v>
      </c>
      <c r="S96" s="739">
        <v>3525</v>
      </c>
      <c r="T96" s="739">
        <v>4075</v>
      </c>
      <c r="U96" s="739">
        <v>4175</v>
      </c>
      <c r="V96" s="739">
        <v>4850</v>
      </c>
      <c r="W96" s="740">
        <v>4950</v>
      </c>
      <c r="X96" s="726">
        <v>29</v>
      </c>
      <c r="Y96" s="713">
        <v>80</v>
      </c>
      <c r="Z96" s="727">
        <v>200</v>
      </c>
      <c r="AA96" s="502"/>
    </row>
    <row r="97" spans="2:27" ht="23.25" customHeight="1">
      <c r="B97" s="1146"/>
      <c r="C97" s="1154"/>
      <c r="D97" s="1156"/>
      <c r="E97" s="678">
        <v>800</v>
      </c>
      <c r="F97" s="679">
        <v>1750</v>
      </c>
      <c r="G97" s="679">
        <v>2400</v>
      </c>
      <c r="H97" s="679">
        <v>2750</v>
      </c>
      <c r="I97" s="679">
        <v>3150</v>
      </c>
      <c r="J97" s="678">
        <v>1225</v>
      </c>
      <c r="K97" s="678">
        <v>1325</v>
      </c>
      <c r="L97" s="678">
        <v>1225</v>
      </c>
      <c r="M97" s="678">
        <v>1325</v>
      </c>
      <c r="N97" s="743">
        <v>2225</v>
      </c>
      <c r="O97" s="743">
        <v>2325</v>
      </c>
      <c r="P97" s="743">
        <v>2225</v>
      </c>
      <c r="Q97" s="743">
        <v>2325</v>
      </c>
      <c r="R97" s="744">
        <v>2625</v>
      </c>
      <c r="S97" s="744">
        <v>2725</v>
      </c>
      <c r="T97" s="744">
        <v>3275</v>
      </c>
      <c r="U97" s="744">
        <v>3375</v>
      </c>
      <c r="V97" s="744">
        <v>4050</v>
      </c>
      <c r="W97" s="745">
        <v>4150</v>
      </c>
      <c r="X97" s="746">
        <v>29</v>
      </c>
      <c r="Y97" s="747">
        <v>20</v>
      </c>
      <c r="Z97" s="748">
        <v>120</v>
      </c>
      <c r="AA97" s="502"/>
    </row>
    <row r="98" spans="2:27" ht="23.25" customHeight="1" thickBot="1">
      <c r="B98" s="1146"/>
      <c r="C98" s="749" t="s">
        <v>480</v>
      </c>
      <c r="D98" s="750" t="s">
        <v>29</v>
      </c>
      <c r="E98" s="728">
        <v>800</v>
      </c>
      <c r="F98" s="729">
        <v>1550</v>
      </c>
      <c r="G98" s="729">
        <v>3100</v>
      </c>
      <c r="H98" s="729">
        <v>3400</v>
      </c>
      <c r="I98" s="729">
        <v>3650</v>
      </c>
      <c r="J98" s="728">
        <v>1225</v>
      </c>
      <c r="K98" s="728">
        <v>1325</v>
      </c>
      <c r="L98" s="728">
        <v>1225</v>
      </c>
      <c r="M98" s="728">
        <v>1325</v>
      </c>
      <c r="N98" s="742">
        <v>1925</v>
      </c>
      <c r="O98" s="742">
        <v>2025</v>
      </c>
      <c r="P98" s="742">
        <v>1925</v>
      </c>
      <c r="Q98" s="742">
        <v>2025</v>
      </c>
      <c r="R98" s="751">
        <v>2225</v>
      </c>
      <c r="S98" s="751">
        <v>2325</v>
      </c>
      <c r="T98" s="751">
        <v>2725</v>
      </c>
      <c r="U98" s="751">
        <v>2825</v>
      </c>
      <c r="V98" s="751">
        <v>3150</v>
      </c>
      <c r="W98" s="752">
        <v>3250</v>
      </c>
      <c r="X98" s="731">
        <v>29</v>
      </c>
      <c r="Y98" s="732">
        <v>80</v>
      </c>
      <c r="Z98" s="733">
        <v>175</v>
      </c>
      <c r="AA98" s="502"/>
    </row>
    <row r="99" spans="2:27" ht="35.450000000000003" customHeight="1" thickBot="1">
      <c r="B99" s="760" t="s">
        <v>868</v>
      </c>
      <c r="C99" s="761" t="s">
        <v>857</v>
      </c>
      <c r="D99" s="762" t="s">
        <v>27</v>
      </c>
      <c r="E99" s="763">
        <v>1000</v>
      </c>
      <c r="F99" s="764" t="s">
        <v>832</v>
      </c>
      <c r="G99" s="764" t="s">
        <v>832</v>
      </c>
      <c r="H99" s="764" t="s">
        <v>832</v>
      </c>
      <c r="I99" s="764" t="s">
        <v>832</v>
      </c>
      <c r="J99" s="763">
        <v>1675</v>
      </c>
      <c r="K99" s="763">
        <v>1775</v>
      </c>
      <c r="L99" s="763">
        <v>1675</v>
      </c>
      <c r="M99" s="763">
        <v>1775</v>
      </c>
      <c r="N99" s="765" t="s">
        <v>832</v>
      </c>
      <c r="O99" s="765" t="s">
        <v>832</v>
      </c>
      <c r="P99" s="765" t="s">
        <v>832</v>
      </c>
      <c r="Q99" s="765" t="s">
        <v>832</v>
      </c>
      <c r="R99" s="765" t="s">
        <v>832</v>
      </c>
      <c r="S99" s="765" t="s">
        <v>832</v>
      </c>
      <c r="T99" s="765" t="s">
        <v>832</v>
      </c>
      <c r="U99" s="765" t="s">
        <v>832</v>
      </c>
      <c r="V99" s="765" t="s">
        <v>832</v>
      </c>
      <c r="W99" s="766" t="s">
        <v>832</v>
      </c>
      <c r="X99" s="756">
        <v>29</v>
      </c>
      <c r="Y99" s="757"/>
      <c r="Z99" s="758"/>
      <c r="AA99" s="502"/>
    </row>
    <row r="100" spans="2:27" ht="13.5" thickBot="1">
      <c r="B100" s="865"/>
      <c r="C100" s="506"/>
      <c r="D100" s="507"/>
      <c r="E100" s="190"/>
      <c r="F100" s="870"/>
      <c r="G100" s="870"/>
      <c r="H100" s="870"/>
      <c r="I100" s="870"/>
      <c r="J100" s="190"/>
      <c r="K100" s="190"/>
      <c r="L100" s="190"/>
      <c r="M100" s="190"/>
      <c r="N100" s="870"/>
      <c r="O100" s="870"/>
      <c r="P100" s="870"/>
      <c r="Q100" s="870"/>
      <c r="R100" s="870"/>
      <c r="S100" s="870"/>
      <c r="T100" s="870"/>
      <c r="U100" s="870"/>
      <c r="V100" s="870"/>
      <c r="W100" s="870"/>
      <c r="X100" s="844"/>
      <c r="Y100" s="844"/>
      <c r="Z100" s="845"/>
      <c r="AA100" s="502"/>
    </row>
    <row r="101" spans="2:27" ht="20.100000000000001" customHeight="1" thickBot="1">
      <c r="B101" s="824" t="s">
        <v>869</v>
      </c>
      <c r="C101" s="1157" t="s">
        <v>808</v>
      </c>
      <c r="D101" s="1157"/>
      <c r="E101" s="1157"/>
      <c r="F101" s="1157"/>
      <c r="G101" s="1157"/>
      <c r="H101" s="1157"/>
      <c r="I101" s="1157"/>
      <c r="J101" s="1157"/>
      <c r="K101" s="1157"/>
      <c r="L101" s="1157"/>
      <c r="M101" s="1157"/>
      <c r="N101" s="1157"/>
      <c r="O101" s="1157"/>
      <c r="P101" s="1157"/>
      <c r="Q101" s="1157"/>
      <c r="R101" s="1157"/>
      <c r="S101" s="1157"/>
      <c r="T101" s="1157"/>
      <c r="U101" s="1157"/>
      <c r="V101" s="1157"/>
      <c r="W101" s="1158"/>
      <c r="X101" s="844"/>
      <c r="Y101" s="844"/>
      <c r="Z101" s="845"/>
      <c r="AA101" s="502"/>
    </row>
    <row r="102" spans="2:27" ht="30" customHeight="1">
      <c r="B102" s="767" t="s">
        <v>870</v>
      </c>
      <c r="C102" s="768" t="s">
        <v>510</v>
      </c>
      <c r="D102" s="769" t="s">
        <v>28</v>
      </c>
      <c r="E102" s="669">
        <v>950</v>
      </c>
      <c r="F102" s="770">
        <v>2250</v>
      </c>
      <c r="G102" s="770">
        <v>2900</v>
      </c>
      <c r="H102" s="770">
        <v>3250</v>
      </c>
      <c r="I102" s="770">
        <v>3450</v>
      </c>
      <c r="J102" s="669">
        <v>1275</v>
      </c>
      <c r="K102" s="669">
        <v>1375</v>
      </c>
      <c r="L102" s="669">
        <v>1275</v>
      </c>
      <c r="M102" s="669">
        <v>1375</v>
      </c>
      <c r="N102" s="770">
        <v>2775</v>
      </c>
      <c r="O102" s="770">
        <v>2875</v>
      </c>
      <c r="P102" s="770">
        <v>2775</v>
      </c>
      <c r="Q102" s="770">
        <v>2875</v>
      </c>
      <c r="R102" s="770">
        <v>3075</v>
      </c>
      <c r="S102" s="770">
        <v>3175</v>
      </c>
      <c r="T102" s="770">
        <v>3675</v>
      </c>
      <c r="U102" s="770">
        <v>3775</v>
      </c>
      <c r="V102" s="770">
        <v>4000</v>
      </c>
      <c r="W102" s="771">
        <v>4100</v>
      </c>
      <c r="X102" s="772">
        <v>29</v>
      </c>
      <c r="Y102" s="773">
        <v>80</v>
      </c>
      <c r="Z102" s="774">
        <v>200</v>
      </c>
      <c r="AA102" s="502"/>
    </row>
    <row r="103" spans="2:27" ht="30" customHeight="1">
      <c r="B103" s="775" t="s">
        <v>871</v>
      </c>
      <c r="C103" s="776" t="s">
        <v>872</v>
      </c>
      <c r="D103" s="747" t="s">
        <v>30</v>
      </c>
      <c r="E103" s="678">
        <v>875</v>
      </c>
      <c r="F103" s="744">
        <v>1400</v>
      </c>
      <c r="G103" s="744">
        <v>2100</v>
      </c>
      <c r="H103" s="744">
        <v>2450</v>
      </c>
      <c r="I103" s="744">
        <v>2700</v>
      </c>
      <c r="J103" s="678">
        <v>1025</v>
      </c>
      <c r="K103" s="678">
        <v>1125</v>
      </c>
      <c r="L103" s="678">
        <v>1025</v>
      </c>
      <c r="M103" s="678">
        <v>1125</v>
      </c>
      <c r="N103" s="744">
        <v>1775</v>
      </c>
      <c r="O103" s="744">
        <v>1875</v>
      </c>
      <c r="P103" s="744">
        <v>1775</v>
      </c>
      <c r="Q103" s="744">
        <v>1875</v>
      </c>
      <c r="R103" s="744">
        <v>2225</v>
      </c>
      <c r="S103" s="744">
        <v>2325</v>
      </c>
      <c r="T103" s="744">
        <v>2975</v>
      </c>
      <c r="U103" s="744">
        <v>3075</v>
      </c>
      <c r="V103" s="744">
        <v>3400</v>
      </c>
      <c r="W103" s="777">
        <v>3500</v>
      </c>
      <c r="X103" s="778">
        <v>24</v>
      </c>
      <c r="Y103" s="779">
        <v>80</v>
      </c>
      <c r="Z103" s="780">
        <v>200</v>
      </c>
      <c r="AA103" s="502"/>
    </row>
    <row r="104" spans="2:27" ht="30" customHeight="1">
      <c r="B104" s="775" t="s">
        <v>873</v>
      </c>
      <c r="C104" s="776" t="s">
        <v>872</v>
      </c>
      <c r="D104" s="747" t="s">
        <v>30</v>
      </c>
      <c r="E104" s="678">
        <v>750</v>
      </c>
      <c r="F104" s="744">
        <v>1300</v>
      </c>
      <c r="G104" s="744">
        <v>1900</v>
      </c>
      <c r="H104" s="744">
        <v>2150</v>
      </c>
      <c r="I104" s="744">
        <v>2400</v>
      </c>
      <c r="J104" s="678">
        <v>875</v>
      </c>
      <c r="K104" s="678">
        <v>975</v>
      </c>
      <c r="L104" s="678">
        <v>875</v>
      </c>
      <c r="M104" s="678">
        <v>975</v>
      </c>
      <c r="N104" s="744">
        <v>1525</v>
      </c>
      <c r="O104" s="744">
        <v>1625</v>
      </c>
      <c r="P104" s="744">
        <v>1525</v>
      </c>
      <c r="Q104" s="744">
        <v>1625</v>
      </c>
      <c r="R104" s="744">
        <v>1925</v>
      </c>
      <c r="S104" s="744">
        <v>2025</v>
      </c>
      <c r="T104" s="744">
        <v>2475</v>
      </c>
      <c r="U104" s="744">
        <v>2575</v>
      </c>
      <c r="V104" s="744">
        <v>2900</v>
      </c>
      <c r="W104" s="777">
        <v>3000</v>
      </c>
      <c r="X104" s="778">
        <v>29</v>
      </c>
      <c r="Y104" s="779">
        <v>80</v>
      </c>
      <c r="Z104" s="780">
        <v>200</v>
      </c>
      <c r="AA104" s="502"/>
    </row>
    <row r="105" spans="2:27" ht="30" customHeight="1">
      <c r="B105" s="775" t="s">
        <v>874</v>
      </c>
      <c r="C105" s="776" t="s">
        <v>510</v>
      </c>
      <c r="D105" s="747" t="s">
        <v>28</v>
      </c>
      <c r="E105" s="678">
        <v>1000</v>
      </c>
      <c r="F105" s="744">
        <v>1450</v>
      </c>
      <c r="G105" s="744">
        <v>2150</v>
      </c>
      <c r="H105" s="744">
        <v>2400</v>
      </c>
      <c r="I105" s="744">
        <v>2600</v>
      </c>
      <c r="J105" s="678">
        <v>1275</v>
      </c>
      <c r="K105" s="678">
        <v>1375</v>
      </c>
      <c r="L105" s="678">
        <v>1275</v>
      </c>
      <c r="M105" s="678">
        <v>1375</v>
      </c>
      <c r="N105" s="744">
        <v>1875</v>
      </c>
      <c r="O105" s="744">
        <v>1975</v>
      </c>
      <c r="P105" s="744">
        <v>1875</v>
      </c>
      <c r="Q105" s="744">
        <v>1975</v>
      </c>
      <c r="R105" s="744">
        <v>2375</v>
      </c>
      <c r="S105" s="744">
        <v>2475</v>
      </c>
      <c r="T105" s="744">
        <v>2825</v>
      </c>
      <c r="U105" s="744">
        <v>2925</v>
      </c>
      <c r="V105" s="744">
        <v>3150</v>
      </c>
      <c r="W105" s="777">
        <v>3250</v>
      </c>
      <c r="X105" s="778">
        <v>24</v>
      </c>
      <c r="Y105" s="779">
        <v>80</v>
      </c>
      <c r="Z105" s="781">
        <v>100</v>
      </c>
      <c r="AA105" s="502"/>
    </row>
    <row r="106" spans="2:27" ht="30" customHeight="1">
      <c r="B106" s="775" t="s">
        <v>875</v>
      </c>
      <c r="C106" s="776" t="s">
        <v>872</v>
      </c>
      <c r="D106" s="747" t="s">
        <v>30</v>
      </c>
      <c r="E106" s="678">
        <v>800</v>
      </c>
      <c r="F106" s="744">
        <v>1350</v>
      </c>
      <c r="G106" s="744">
        <v>2000</v>
      </c>
      <c r="H106" s="744">
        <v>2300</v>
      </c>
      <c r="I106" s="744">
        <v>2550</v>
      </c>
      <c r="J106" s="678">
        <v>925</v>
      </c>
      <c r="K106" s="678">
        <v>1025</v>
      </c>
      <c r="L106" s="678">
        <v>925</v>
      </c>
      <c r="M106" s="678">
        <v>1025</v>
      </c>
      <c r="N106" s="744">
        <v>1675</v>
      </c>
      <c r="O106" s="744">
        <v>1775</v>
      </c>
      <c r="P106" s="744">
        <v>1675</v>
      </c>
      <c r="Q106" s="744">
        <v>1775</v>
      </c>
      <c r="R106" s="744">
        <v>2125</v>
      </c>
      <c r="S106" s="744">
        <v>2225</v>
      </c>
      <c r="T106" s="744">
        <v>2775</v>
      </c>
      <c r="U106" s="744">
        <v>2875</v>
      </c>
      <c r="V106" s="744">
        <v>3200</v>
      </c>
      <c r="W106" s="777">
        <v>3300</v>
      </c>
      <c r="X106" s="778">
        <v>24</v>
      </c>
      <c r="Y106" s="779">
        <v>80</v>
      </c>
      <c r="Z106" s="781">
        <v>100</v>
      </c>
      <c r="AA106" s="502"/>
    </row>
    <row r="107" spans="2:27" ht="30" customHeight="1">
      <c r="B107" s="775" t="s">
        <v>876</v>
      </c>
      <c r="C107" s="776" t="s">
        <v>510</v>
      </c>
      <c r="D107" s="747" t="s">
        <v>28</v>
      </c>
      <c r="E107" s="678">
        <v>1000</v>
      </c>
      <c r="F107" s="744">
        <v>1450</v>
      </c>
      <c r="G107" s="744">
        <v>2200</v>
      </c>
      <c r="H107" s="744">
        <v>2450</v>
      </c>
      <c r="I107" s="744">
        <v>2650</v>
      </c>
      <c r="J107" s="678">
        <v>1325</v>
      </c>
      <c r="K107" s="678">
        <v>1425</v>
      </c>
      <c r="L107" s="678">
        <v>1325</v>
      </c>
      <c r="M107" s="678">
        <v>1425</v>
      </c>
      <c r="N107" s="744">
        <v>1925</v>
      </c>
      <c r="O107" s="744">
        <v>2025</v>
      </c>
      <c r="P107" s="744">
        <v>1925</v>
      </c>
      <c r="Q107" s="744">
        <v>2025</v>
      </c>
      <c r="R107" s="744">
        <v>2425</v>
      </c>
      <c r="S107" s="744">
        <v>2525</v>
      </c>
      <c r="T107" s="744">
        <v>2875</v>
      </c>
      <c r="U107" s="744">
        <v>2975</v>
      </c>
      <c r="V107" s="744">
        <v>3200</v>
      </c>
      <c r="W107" s="777">
        <v>3300</v>
      </c>
      <c r="X107" s="778">
        <v>30</v>
      </c>
      <c r="Y107" s="779">
        <v>80</v>
      </c>
      <c r="Z107" s="781">
        <v>100</v>
      </c>
      <c r="AA107" s="502"/>
    </row>
    <row r="108" spans="2:27" ht="30" customHeight="1">
      <c r="B108" s="775" t="s">
        <v>877</v>
      </c>
      <c r="C108" s="776" t="s">
        <v>510</v>
      </c>
      <c r="D108" s="747" t="s">
        <v>28</v>
      </c>
      <c r="E108" s="678">
        <v>950</v>
      </c>
      <c r="F108" s="744">
        <v>2100</v>
      </c>
      <c r="G108" s="744">
        <v>2800</v>
      </c>
      <c r="H108" s="744">
        <v>3050</v>
      </c>
      <c r="I108" s="744">
        <v>3250</v>
      </c>
      <c r="J108" s="678">
        <v>1225</v>
      </c>
      <c r="K108" s="678">
        <v>1325</v>
      </c>
      <c r="L108" s="678">
        <v>1225</v>
      </c>
      <c r="M108" s="678">
        <v>1325</v>
      </c>
      <c r="N108" s="744">
        <v>2525</v>
      </c>
      <c r="O108" s="744">
        <v>2625</v>
      </c>
      <c r="P108" s="744">
        <v>2525</v>
      </c>
      <c r="Q108" s="744">
        <v>2625</v>
      </c>
      <c r="R108" s="744">
        <v>2975</v>
      </c>
      <c r="S108" s="744">
        <v>3075</v>
      </c>
      <c r="T108" s="744">
        <v>3425</v>
      </c>
      <c r="U108" s="744">
        <v>3525</v>
      </c>
      <c r="V108" s="744">
        <v>3750</v>
      </c>
      <c r="W108" s="777">
        <v>3850</v>
      </c>
      <c r="X108" s="778">
        <v>29</v>
      </c>
      <c r="Y108" s="779">
        <v>80</v>
      </c>
      <c r="Z108" s="781">
        <v>200</v>
      </c>
      <c r="AA108" s="502"/>
    </row>
    <row r="109" spans="2:27" ht="30" customHeight="1">
      <c r="B109" s="775" t="s">
        <v>878</v>
      </c>
      <c r="C109" s="685" t="s">
        <v>480</v>
      </c>
      <c r="D109" s="747" t="s">
        <v>29</v>
      </c>
      <c r="E109" s="678">
        <v>800</v>
      </c>
      <c r="F109" s="743">
        <v>1500</v>
      </c>
      <c r="G109" s="743">
        <v>2250</v>
      </c>
      <c r="H109" s="743">
        <v>2800</v>
      </c>
      <c r="I109" s="743">
        <v>3050</v>
      </c>
      <c r="J109" s="678">
        <v>925</v>
      </c>
      <c r="K109" s="678">
        <v>1025</v>
      </c>
      <c r="L109" s="678">
        <v>925</v>
      </c>
      <c r="M109" s="678">
        <v>1025</v>
      </c>
      <c r="N109" s="743">
        <v>1875</v>
      </c>
      <c r="O109" s="743">
        <v>1975</v>
      </c>
      <c r="P109" s="743">
        <v>1875</v>
      </c>
      <c r="Q109" s="743">
        <v>1975</v>
      </c>
      <c r="R109" s="744">
        <v>2575</v>
      </c>
      <c r="S109" s="744">
        <v>2675</v>
      </c>
      <c r="T109" s="744">
        <v>3425</v>
      </c>
      <c r="U109" s="744">
        <v>3525</v>
      </c>
      <c r="V109" s="744">
        <v>3850</v>
      </c>
      <c r="W109" s="777">
        <v>3850</v>
      </c>
      <c r="X109" s="782" t="s">
        <v>879</v>
      </c>
      <c r="Y109" s="783"/>
      <c r="Z109" s="784"/>
      <c r="AA109" s="502"/>
    </row>
    <row r="110" spans="2:27" ht="30" customHeight="1">
      <c r="B110" s="775" t="s">
        <v>880</v>
      </c>
      <c r="C110" s="776" t="s">
        <v>510</v>
      </c>
      <c r="D110" s="747" t="s">
        <v>28</v>
      </c>
      <c r="E110" s="678">
        <v>900</v>
      </c>
      <c r="F110" s="744">
        <v>2000</v>
      </c>
      <c r="G110" s="744">
        <v>2800</v>
      </c>
      <c r="H110" s="744">
        <v>3050</v>
      </c>
      <c r="I110" s="744">
        <v>3250</v>
      </c>
      <c r="J110" s="678">
        <v>1175</v>
      </c>
      <c r="K110" s="678">
        <v>1275</v>
      </c>
      <c r="L110" s="678">
        <v>1175</v>
      </c>
      <c r="M110" s="678">
        <v>1275</v>
      </c>
      <c r="N110" s="744">
        <v>2525</v>
      </c>
      <c r="O110" s="744">
        <v>2625</v>
      </c>
      <c r="P110" s="744">
        <v>2525</v>
      </c>
      <c r="Q110" s="744">
        <v>2625</v>
      </c>
      <c r="R110" s="744">
        <v>2925</v>
      </c>
      <c r="S110" s="744">
        <v>3025</v>
      </c>
      <c r="T110" s="744">
        <v>3375</v>
      </c>
      <c r="U110" s="744">
        <v>3475</v>
      </c>
      <c r="V110" s="744">
        <v>3700</v>
      </c>
      <c r="W110" s="777">
        <v>3800</v>
      </c>
      <c r="X110" s="778">
        <v>29</v>
      </c>
      <c r="Y110" s="779">
        <v>80</v>
      </c>
      <c r="Z110" s="781">
        <v>200</v>
      </c>
      <c r="AA110" s="502"/>
    </row>
    <row r="111" spans="2:27" ht="30" customHeight="1">
      <c r="B111" s="775" t="s">
        <v>881</v>
      </c>
      <c r="C111" s="776" t="s">
        <v>510</v>
      </c>
      <c r="D111" s="747" t="s">
        <v>28</v>
      </c>
      <c r="E111" s="678">
        <v>950</v>
      </c>
      <c r="F111" s="744">
        <v>1350</v>
      </c>
      <c r="G111" s="744">
        <v>2000</v>
      </c>
      <c r="H111" s="744">
        <v>2300</v>
      </c>
      <c r="I111" s="744">
        <v>2500</v>
      </c>
      <c r="J111" s="678">
        <v>1175</v>
      </c>
      <c r="K111" s="678">
        <v>1275</v>
      </c>
      <c r="L111" s="678">
        <v>1175</v>
      </c>
      <c r="M111" s="678">
        <v>1275</v>
      </c>
      <c r="N111" s="744">
        <v>1675</v>
      </c>
      <c r="O111" s="744">
        <v>1775</v>
      </c>
      <c r="P111" s="744">
        <v>1675</v>
      </c>
      <c r="Q111" s="744">
        <v>1775</v>
      </c>
      <c r="R111" s="744">
        <v>1875</v>
      </c>
      <c r="S111" s="744">
        <v>1975</v>
      </c>
      <c r="T111" s="744">
        <v>2425</v>
      </c>
      <c r="U111" s="744">
        <v>2525</v>
      </c>
      <c r="V111" s="744">
        <v>2750</v>
      </c>
      <c r="W111" s="777">
        <v>2850</v>
      </c>
      <c r="X111" s="778">
        <v>34</v>
      </c>
      <c r="Y111" s="779">
        <v>80</v>
      </c>
      <c r="Z111" s="781">
        <v>160</v>
      </c>
      <c r="AA111" s="502"/>
    </row>
    <row r="112" spans="2:27" ht="30" customHeight="1">
      <c r="B112" s="775" t="s">
        <v>882</v>
      </c>
      <c r="C112" s="776" t="s">
        <v>510</v>
      </c>
      <c r="D112" s="747" t="s">
        <v>28</v>
      </c>
      <c r="E112" s="678">
        <v>1050</v>
      </c>
      <c r="F112" s="744">
        <v>1500</v>
      </c>
      <c r="G112" s="744">
        <v>2250</v>
      </c>
      <c r="H112" s="744">
        <v>2600</v>
      </c>
      <c r="I112" s="744">
        <v>2800</v>
      </c>
      <c r="J112" s="678">
        <v>1525</v>
      </c>
      <c r="K112" s="678">
        <v>1625</v>
      </c>
      <c r="L112" s="678">
        <v>1525</v>
      </c>
      <c r="M112" s="678">
        <v>1625</v>
      </c>
      <c r="N112" s="744">
        <v>2125</v>
      </c>
      <c r="O112" s="744">
        <v>2225</v>
      </c>
      <c r="P112" s="744">
        <v>2125</v>
      </c>
      <c r="Q112" s="744">
        <v>2225</v>
      </c>
      <c r="R112" s="744">
        <v>2625</v>
      </c>
      <c r="S112" s="744">
        <v>2725</v>
      </c>
      <c r="T112" s="744">
        <v>3275</v>
      </c>
      <c r="U112" s="744">
        <v>3375</v>
      </c>
      <c r="V112" s="744">
        <v>3600</v>
      </c>
      <c r="W112" s="777">
        <v>3700</v>
      </c>
      <c r="X112" s="778">
        <v>24.5</v>
      </c>
      <c r="Y112" s="779">
        <v>80</v>
      </c>
      <c r="Z112" s="781">
        <v>150</v>
      </c>
      <c r="AA112" s="502"/>
    </row>
    <row r="113" spans="2:27" ht="30" customHeight="1">
      <c r="B113" s="775" t="s">
        <v>883</v>
      </c>
      <c r="C113" s="776" t="s">
        <v>510</v>
      </c>
      <c r="D113" s="747" t="s">
        <v>28</v>
      </c>
      <c r="E113" s="678">
        <v>950</v>
      </c>
      <c r="F113" s="744">
        <v>1400</v>
      </c>
      <c r="G113" s="744">
        <v>2150</v>
      </c>
      <c r="H113" s="744">
        <v>2400</v>
      </c>
      <c r="I113" s="744">
        <v>2600</v>
      </c>
      <c r="J113" s="678">
        <v>1225</v>
      </c>
      <c r="K113" s="678">
        <v>1325</v>
      </c>
      <c r="L113" s="678">
        <v>1225</v>
      </c>
      <c r="M113" s="678">
        <v>1325</v>
      </c>
      <c r="N113" s="744">
        <v>1875</v>
      </c>
      <c r="O113" s="744">
        <v>1975</v>
      </c>
      <c r="P113" s="744">
        <v>1875</v>
      </c>
      <c r="Q113" s="744">
        <v>1975</v>
      </c>
      <c r="R113" s="744">
        <v>2375</v>
      </c>
      <c r="S113" s="744">
        <v>2475</v>
      </c>
      <c r="T113" s="744">
        <v>2825</v>
      </c>
      <c r="U113" s="744">
        <v>2925</v>
      </c>
      <c r="V113" s="744">
        <v>3150</v>
      </c>
      <c r="W113" s="777">
        <v>3250</v>
      </c>
      <c r="X113" s="778">
        <v>24.5</v>
      </c>
      <c r="Y113" s="779">
        <v>80</v>
      </c>
      <c r="Z113" s="781">
        <v>150</v>
      </c>
      <c r="AA113" s="502"/>
    </row>
    <row r="114" spans="2:27" ht="30" customHeight="1">
      <c r="B114" s="775" t="s">
        <v>884</v>
      </c>
      <c r="C114" s="776" t="s">
        <v>510</v>
      </c>
      <c r="D114" s="747" t="s">
        <v>28</v>
      </c>
      <c r="E114" s="678">
        <v>900</v>
      </c>
      <c r="F114" s="744">
        <v>2100</v>
      </c>
      <c r="G114" s="744">
        <v>2800</v>
      </c>
      <c r="H114" s="744">
        <v>3050</v>
      </c>
      <c r="I114" s="744">
        <v>3250</v>
      </c>
      <c r="J114" s="678">
        <v>1225</v>
      </c>
      <c r="K114" s="678">
        <v>1325</v>
      </c>
      <c r="L114" s="678">
        <v>1225</v>
      </c>
      <c r="M114" s="678">
        <v>1325</v>
      </c>
      <c r="N114" s="744">
        <v>2525</v>
      </c>
      <c r="O114" s="744">
        <v>2625</v>
      </c>
      <c r="P114" s="744">
        <v>2525</v>
      </c>
      <c r="Q114" s="744">
        <v>2625</v>
      </c>
      <c r="R114" s="744">
        <v>2975</v>
      </c>
      <c r="S114" s="744">
        <v>3075</v>
      </c>
      <c r="T114" s="744">
        <v>3425</v>
      </c>
      <c r="U114" s="744">
        <v>3525</v>
      </c>
      <c r="V114" s="744">
        <v>3750</v>
      </c>
      <c r="W114" s="777">
        <v>3850</v>
      </c>
      <c r="X114" s="778">
        <v>29</v>
      </c>
      <c r="Y114" s="779">
        <v>80</v>
      </c>
      <c r="Z114" s="781">
        <v>200</v>
      </c>
      <c r="AA114" s="502"/>
    </row>
    <row r="115" spans="2:27" ht="30" customHeight="1">
      <c r="B115" s="775" t="s">
        <v>885</v>
      </c>
      <c r="C115" s="776" t="s">
        <v>510</v>
      </c>
      <c r="D115" s="747" t="s">
        <v>28</v>
      </c>
      <c r="E115" s="678">
        <v>900</v>
      </c>
      <c r="F115" s="744">
        <v>2000</v>
      </c>
      <c r="G115" s="744">
        <v>2800</v>
      </c>
      <c r="H115" s="744">
        <v>3050</v>
      </c>
      <c r="I115" s="744">
        <v>3250</v>
      </c>
      <c r="J115" s="678">
        <v>1175</v>
      </c>
      <c r="K115" s="678">
        <v>1275</v>
      </c>
      <c r="L115" s="678">
        <v>1175</v>
      </c>
      <c r="M115" s="678">
        <v>1275</v>
      </c>
      <c r="N115" s="744">
        <v>2525</v>
      </c>
      <c r="O115" s="744">
        <v>2625</v>
      </c>
      <c r="P115" s="744">
        <v>2525</v>
      </c>
      <c r="Q115" s="744">
        <v>2625</v>
      </c>
      <c r="R115" s="744">
        <v>2925</v>
      </c>
      <c r="S115" s="744">
        <v>3025</v>
      </c>
      <c r="T115" s="744">
        <v>3375</v>
      </c>
      <c r="U115" s="744">
        <v>3475</v>
      </c>
      <c r="V115" s="744">
        <v>3700</v>
      </c>
      <c r="W115" s="777">
        <v>3800</v>
      </c>
      <c r="X115" s="778">
        <v>29</v>
      </c>
      <c r="Y115" s="779">
        <v>80</v>
      </c>
      <c r="Z115" s="781">
        <v>200</v>
      </c>
      <c r="AA115" s="502"/>
    </row>
    <row r="116" spans="2:27" ht="30" customHeight="1">
      <c r="B116" s="775" t="s">
        <v>886</v>
      </c>
      <c r="C116" s="776" t="s">
        <v>872</v>
      </c>
      <c r="D116" s="747" t="s">
        <v>30</v>
      </c>
      <c r="E116" s="678">
        <v>800</v>
      </c>
      <c r="F116" s="744">
        <v>1400</v>
      </c>
      <c r="G116" s="744">
        <v>2100</v>
      </c>
      <c r="H116" s="744">
        <v>2450</v>
      </c>
      <c r="I116" s="744">
        <v>2700</v>
      </c>
      <c r="J116" s="678">
        <v>975</v>
      </c>
      <c r="K116" s="678">
        <v>1075</v>
      </c>
      <c r="L116" s="678">
        <v>975</v>
      </c>
      <c r="M116" s="678">
        <v>1075</v>
      </c>
      <c r="N116" s="744">
        <v>1775</v>
      </c>
      <c r="O116" s="744">
        <v>1875</v>
      </c>
      <c r="P116" s="744">
        <v>1775</v>
      </c>
      <c r="Q116" s="744">
        <v>1875</v>
      </c>
      <c r="R116" s="744">
        <v>2325</v>
      </c>
      <c r="S116" s="744">
        <v>2425</v>
      </c>
      <c r="T116" s="744">
        <v>2975</v>
      </c>
      <c r="U116" s="744">
        <v>3075</v>
      </c>
      <c r="V116" s="744">
        <v>3400</v>
      </c>
      <c r="W116" s="777">
        <v>3500</v>
      </c>
      <c r="X116" s="778">
        <v>24</v>
      </c>
      <c r="Y116" s="779">
        <v>80</v>
      </c>
      <c r="Z116" s="780">
        <v>200</v>
      </c>
      <c r="AA116" s="502"/>
    </row>
    <row r="117" spans="2:27" ht="30" customHeight="1" thickBot="1">
      <c r="B117" s="785" t="s">
        <v>887</v>
      </c>
      <c r="C117" s="786" t="s">
        <v>872</v>
      </c>
      <c r="D117" s="732" t="s">
        <v>30</v>
      </c>
      <c r="E117" s="692">
        <v>850</v>
      </c>
      <c r="F117" s="787">
        <v>1500</v>
      </c>
      <c r="G117" s="787">
        <v>2150</v>
      </c>
      <c r="H117" s="787">
        <v>2650</v>
      </c>
      <c r="I117" s="787">
        <v>2900</v>
      </c>
      <c r="J117" s="692">
        <v>1025</v>
      </c>
      <c r="K117" s="692">
        <v>1125</v>
      </c>
      <c r="L117" s="692">
        <v>1025</v>
      </c>
      <c r="M117" s="692">
        <v>1125</v>
      </c>
      <c r="N117" s="787">
        <v>1925</v>
      </c>
      <c r="O117" s="787">
        <v>2025</v>
      </c>
      <c r="P117" s="787">
        <v>1925</v>
      </c>
      <c r="Q117" s="787">
        <v>2025</v>
      </c>
      <c r="R117" s="787">
        <v>2525</v>
      </c>
      <c r="S117" s="787">
        <v>2625</v>
      </c>
      <c r="T117" s="787">
        <v>3275</v>
      </c>
      <c r="U117" s="787">
        <v>3375</v>
      </c>
      <c r="V117" s="787">
        <v>3700</v>
      </c>
      <c r="W117" s="788">
        <v>3800</v>
      </c>
      <c r="X117" s="789">
        <v>24</v>
      </c>
      <c r="Y117" s="790">
        <v>80</v>
      </c>
      <c r="Z117" s="791">
        <v>100</v>
      </c>
      <c r="AA117" s="502"/>
    </row>
    <row r="118" spans="2:27" ht="16.149999999999999" customHeight="1" thickBot="1">
      <c r="B118" s="871"/>
      <c r="C118" s="872"/>
      <c r="D118" s="381"/>
      <c r="E118" s="190"/>
      <c r="F118" s="870"/>
      <c r="G118" s="870"/>
      <c r="H118" s="870"/>
      <c r="I118" s="870"/>
      <c r="J118" s="190"/>
      <c r="K118" s="190"/>
      <c r="L118" s="190"/>
      <c r="M118" s="190"/>
      <c r="N118" s="870"/>
      <c r="O118" s="870"/>
      <c r="P118" s="870"/>
      <c r="Q118" s="870"/>
      <c r="R118" s="870"/>
      <c r="S118" s="870"/>
      <c r="T118" s="870"/>
      <c r="U118" s="870"/>
      <c r="V118" s="870"/>
      <c r="W118" s="870"/>
      <c r="X118" s="155"/>
      <c r="Y118" s="155"/>
      <c r="Z118" s="873"/>
    </row>
    <row r="119" spans="2:27" ht="20.100000000000001" customHeight="1" thickBot="1">
      <c r="B119" s="824" t="s">
        <v>888</v>
      </c>
      <c r="C119" s="1159" t="s">
        <v>889</v>
      </c>
      <c r="D119" s="1160"/>
      <c r="E119" s="1160"/>
      <c r="F119" s="1160"/>
      <c r="G119" s="1160"/>
      <c r="H119" s="1160"/>
      <c r="I119" s="1160"/>
      <c r="J119" s="1160"/>
      <c r="K119" s="1160"/>
      <c r="L119" s="1160"/>
      <c r="M119" s="1160"/>
      <c r="N119" s="1160"/>
      <c r="O119" s="1160"/>
      <c r="P119" s="1160"/>
      <c r="Q119" s="1160"/>
      <c r="R119" s="1160"/>
      <c r="S119" s="1160"/>
      <c r="T119" s="1160"/>
      <c r="U119" s="1160"/>
      <c r="V119" s="1160"/>
      <c r="W119" s="1160"/>
      <c r="X119" s="155"/>
      <c r="Y119" s="155"/>
      <c r="Z119" s="873"/>
    </row>
    <row r="120" spans="2:27" ht="18.75" customHeight="1">
      <c r="B120" s="792" t="s">
        <v>890</v>
      </c>
      <c r="C120" s="793" t="s">
        <v>639</v>
      </c>
      <c r="D120" s="794" t="s">
        <v>891</v>
      </c>
      <c r="E120" s="795">
        <v>700</v>
      </c>
      <c r="F120" s="796">
        <v>1450</v>
      </c>
      <c r="G120" s="796">
        <v>1700</v>
      </c>
      <c r="H120" s="796">
        <v>1800</v>
      </c>
      <c r="I120" s="796">
        <v>2300</v>
      </c>
      <c r="J120" s="795">
        <v>800</v>
      </c>
      <c r="K120" s="795">
        <v>800</v>
      </c>
      <c r="L120" s="795">
        <v>800</v>
      </c>
      <c r="M120" s="795">
        <v>800</v>
      </c>
      <c r="N120" s="796">
        <v>1500</v>
      </c>
      <c r="O120" s="796">
        <v>1600</v>
      </c>
      <c r="P120" s="796">
        <v>1500</v>
      </c>
      <c r="Q120" s="796">
        <v>1600</v>
      </c>
      <c r="R120" s="796">
        <v>2050</v>
      </c>
      <c r="S120" s="796">
        <v>2150</v>
      </c>
      <c r="T120" s="796">
        <v>2550</v>
      </c>
      <c r="U120" s="796">
        <v>2650</v>
      </c>
      <c r="V120" s="796">
        <v>3250</v>
      </c>
      <c r="W120" s="797">
        <v>3350</v>
      </c>
      <c r="X120" s="772">
        <v>24</v>
      </c>
      <c r="Y120" s="773"/>
      <c r="Z120" s="798"/>
    </row>
    <row r="121" spans="2:27" ht="18.75" customHeight="1">
      <c r="B121" s="775" t="s">
        <v>892</v>
      </c>
      <c r="C121" s="776" t="s">
        <v>639</v>
      </c>
      <c r="D121" s="799" t="s">
        <v>891</v>
      </c>
      <c r="E121" s="800">
        <v>700</v>
      </c>
      <c r="F121" s="801">
        <v>1450</v>
      </c>
      <c r="G121" s="801">
        <v>1700</v>
      </c>
      <c r="H121" s="801">
        <v>1800</v>
      </c>
      <c r="I121" s="801">
        <v>2300</v>
      </c>
      <c r="J121" s="800">
        <v>700</v>
      </c>
      <c r="K121" s="800">
        <v>700</v>
      </c>
      <c r="L121" s="800">
        <v>700</v>
      </c>
      <c r="M121" s="800">
        <v>700</v>
      </c>
      <c r="N121" s="801">
        <v>1400</v>
      </c>
      <c r="O121" s="801">
        <v>1500</v>
      </c>
      <c r="P121" s="801">
        <v>1400</v>
      </c>
      <c r="Q121" s="801">
        <v>1500</v>
      </c>
      <c r="R121" s="801">
        <v>1950</v>
      </c>
      <c r="S121" s="801">
        <v>2050</v>
      </c>
      <c r="T121" s="801">
        <v>2450</v>
      </c>
      <c r="U121" s="801">
        <v>2550</v>
      </c>
      <c r="V121" s="801">
        <v>3150</v>
      </c>
      <c r="W121" s="802">
        <v>3250</v>
      </c>
      <c r="X121" s="778">
        <v>24</v>
      </c>
      <c r="Y121" s="779"/>
      <c r="Z121" s="780"/>
    </row>
    <row r="122" spans="2:27" ht="18.75" customHeight="1">
      <c r="B122" s="775" t="s">
        <v>648</v>
      </c>
      <c r="C122" s="776" t="s">
        <v>647</v>
      </c>
      <c r="D122" s="799" t="s">
        <v>893</v>
      </c>
      <c r="E122" s="800">
        <v>775</v>
      </c>
      <c r="F122" s="801">
        <v>1450</v>
      </c>
      <c r="G122" s="801">
        <v>1600</v>
      </c>
      <c r="H122" s="801">
        <v>1725</v>
      </c>
      <c r="I122" s="801">
        <v>2100</v>
      </c>
      <c r="J122" s="800">
        <v>900</v>
      </c>
      <c r="K122" s="800">
        <v>900</v>
      </c>
      <c r="L122" s="800">
        <v>900</v>
      </c>
      <c r="M122" s="800">
        <v>900</v>
      </c>
      <c r="N122" s="801">
        <v>1600</v>
      </c>
      <c r="O122" s="801">
        <v>1700</v>
      </c>
      <c r="P122" s="801">
        <v>1600</v>
      </c>
      <c r="Q122" s="801">
        <v>1700</v>
      </c>
      <c r="R122" s="801">
        <v>2000</v>
      </c>
      <c r="S122" s="801">
        <v>2100</v>
      </c>
      <c r="T122" s="801">
        <v>2150</v>
      </c>
      <c r="U122" s="801">
        <v>2250</v>
      </c>
      <c r="V122" s="801">
        <v>2700</v>
      </c>
      <c r="W122" s="802">
        <v>2800</v>
      </c>
      <c r="X122" s="778">
        <v>24</v>
      </c>
      <c r="Y122" s="779"/>
      <c r="Z122" s="780"/>
    </row>
    <row r="123" spans="2:27" ht="18.75" customHeight="1">
      <c r="B123" s="775" t="s">
        <v>650</v>
      </c>
      <c r="C123" s="776" t="s">
        <v>647</v>
      </c>
      <c r="D123" s="799" t="s">
        <v>893</v>
      </c>
      <c r="E123" s="800">
        <v>1025</v>
      </c>
      <c r="F123" s="801">
        <v>2055</v>
      </c>
      <c r="G123" s="801">
        <v>2255</v>
      </c>
      <c r="H123" s="801">
        <v>2355</v>
      </c>
      <c r="I123" s="801">
        <v>2855</v>
      </c>
      <c r="J123" s="800">
        <v>1200</v>
      </c>
      <c r="K123" s="800">
        <v>1200</v>
      </c>
      <c r="L123" s="800">
        <v>1200</v>
      </c>
      <c r="M123" s="800">
        <v>1200</v>
      </c>
      <c r="N123" s="801">
        <v>2175</v>
      </c>
      <c r="O123" s="801">
        <v>2275</v>
      </c>
      <c r="P123" s="801">
        <v>2175</v>
      </c>
      <c r="Q123" s="801">
        <v>2275</v>
      </c>
      <c r="R123" s="801">
        <v>2625</v>
      </c>
      <c r="S123" s="801">
        <v>2725</v>
      </c>
      <c r="T123" s="801">
        <v>3125</v>
      </c>
      <c r="U123" s="801">
        <v>3225</v>
      </c>
      <c r="V123" s="801">
        <v>3825</v>
      </c>
      <c r="W123" s="802">
        <v>3925</v>
      </c>
      <c r="X123" s="778">
        <v>24</v>
      </c>
      <c r="Y123" s="779"/>
      <c r="Z123" s="780"/>
    </row>
    <row r="124" spans="2:27" ht="18.75" customHeight="1" thickBot="1">
      <c r="B124" s="785" t="s">
        <v>894</v>
      </c>
      <c r="C124" s="786" t="s">
        <v>639</v>
      </c>
      <c r="D124" s="803" t="s">
        <v>895</v>
      </c>
      <c r="E124" s="804">
        <v>2800</v>
      </c>
      <c r="F124" s="805">
        <v>3250</v>
      </c>
      <c r="G124" s="805">
        <v>3400</v>
      </c>
      <c r="H124" s="805">
        <v>3850</v>
      </c>
      <c r="I124" s="805">
        <v>5250</v>
      </c>
      <c r="J124" s="804">
        <v>3300</v>
      </c>
      <c r="K124" s="804">
        <v>3400</v>
      </c>
      <c r="L124" s="804">
        <v>3300</v>
      </c>
      <c r="M124" s="804">
        <v>3400</v>
      </c>
      <c r="N124" s="805">
        <v>3750</v>
      </c>
      <c r="O124" s="805">
        <v>3850</v>
      </c>
      <c r="P124" s="805">
        <v>3750</v>
      </c>
      <c r="Q124" s="805">
        <v>3850</v>
      </c>
      <c r="R124" s="805">
        <v>5000</v>
      </c>
      <c r="S124" s="805">
        <v>5100</v>
      </c>
      <c r="T124" s="805">
        <v>6350</v>
      </c>
      <c r="U124" s="805">
        <v>6450</v>
      </c>
      <c r="V124" s="805">
        <v>8600</v>
      </c>
      <c r="W124" s="806">
        <v>8700</v>
      </c>
      <c r="X124" s="789">
        <v>24</v>
      </c>
      <c r="Y124" s="790"/>
      <c r="Z124" s="791"/>
    </row>
    <row r="125" spans="2:27" ht="30" customHeight="1" thickBot="1">
      <c r="B125" s="874"/>
      <c r="C125" s="863"/>
      <c r="D125" s="875"/>
      <c r="E125" s="190"/>
      <c r="F125" s="505"/>
      <c r="G125" s="505"/>
      <c r="H125" s="505"/>
      <c r="I125" s="505"/>
      <c r="J125" s="190"/>
      <c r="K125" s="190"/>
      <c r="L125" s="190"/>
      <c r="M125" s="190"/>
      <c r="N125" s="505"/>
      <c r="O125" s="505"/>
      <c r="P125" s="505"/>
      <c r="Q125" s="505"/>
      <c r="R125" s="505"/>
      <c r="S125" s="505"/>
      <c r="T125" s="505"/>
      <c r="U125" s="505"/>
      <c r="V125" s="505"/>
      <c r="W125" s="505"/>
      <c r="X125" s="508"/>
      <c r="Y125" s="508"/>
      <c r="Z125" s="876"/>
    </row>
    <row r="126" spans="2:27" ht="20.100000000000001" customHeight="1" thickBot="1">
      <c r="B126" s="827" t="s">
        <v>896</v>
      </c>
      <c r="C126" s="1160" t="s">
        <v>825</v>
      </c>
      <c r="D126" s="1160"/>
      <c r="E126" s="1160"/>
      <c r="F126" s="1160"/>
      <c r="G126" s="1160"/>
      <c r="H126" s="1160"/>
      <c r="I126" s="1160"/>
      <c r="J126" s="1160"/>
      <c r="K126" s="1160"/>
      <c r="L126" s="1160"/>
      <c r="M126" s="1160"/>
      <c r="N126" s="1160"/>
      <c r="O126" s="1160"/>
      <c r="P126" s="1160"/>
      <c r="Q126" s="1160"/>
      <c r="R126" s="1160"/>
      <c r="S126" s="1160"/>
      <c r="T126" s="1160"/>
      <c r="U126" s="1160"/>
      <c r="V126" s="1160"/>
      <c r="W126" s="1160"/>
      <c r="X126" s="155"/>
      <c r="Y126" s="155"/>
      <c r="Z126" s="873"/>
    </row>
    <row r="127" spans="2:27" ht="18" customHeight="1">
      <c r="B127" s="792" t="s">
        <v>897</v>
      </c>
      <c r="C127" s="793" t="s">
        <v>21</v>
      </c>
      <c r="D127" s="794" t="s">
        <v>898</v>
      </c>
      <c r="E127" s="795" t="s">
        <v>827</v>
      </c>
      <c r="F127" s="807" t="s">
        <v>832</v>
      </c>
      <c r="G127" s="807" t="s">
        <v>832</v>
      </c>
      <c r="H127" s="807" t="s">
        <v>832</v>
      </c>
      <c r="I127" s="807" t="s">
        <v>832</v>
      </c>
      <c r="J127" s="795" t="s">
        <v>827</v>
      </c>
      <c r="K127" s="795" t="s">
        <v>827</v>
      </c>
      <c r="L127" s="795" t="s">
        <v>827</v>
      </c>
      <c r="M127" s="795" t="s">
        <v>827</v>
      </c>
      <c r="N127" s="807" t="s">
        <v>832</v>
      </c>
      <c r="O127" s="807" t="s">
        <v>832</v>
      </c>
      <c r="P127" s="807" t="s">
        <v>832</v>
      </c>
      <c r="Q127" s="807" t="s">
        <v>832</v>
      </c>
      <c r="R127" s="807" t="s">
        <v>832</v>
      </c>
      <c r="S127" s="807" t="s">
        <v>832</v>
      </c>
      <c r="T127" s="807" t="s">
        <v>832</v>
      </c>
      <c r="U127" s="807" t="s">
        <v>832</v>
      </c>
      <c r="V127" s="807" t="s">
        <v>832</v>
      </c>
      <c r="W127" s="808" t="s">
        <v>832</v>
      </c>
      <c r="X127" s="772">
        <v>29</v>
      </c>
      <c r="Y127" s="773"/>
      <c r="Z127" s="798"/>
    </row>
    <row r="128" spans="2:27" ht="18" customHeight="1" thickBot="1">
      <c r="B128" s="785" t="s">
        <v>682</v>
      </c>
      <c r="C128" s="786" t="s">
        <v>21</v>
      </c>
      <c r="D128" s="803" t="s">
        <v>898</v>
      </c>
      <c r="E128" s="804" t="s">
        <v>827</v>
      </c>
      <c r="F128" s="809" t="s">
        <v>832</v>
      </c>
      <c r="G128" s="809" t="s">
        <v>832</v>
      </c>
      <c r="H128" s="809" t="s">
        <v>832</v>
      </c>
      <c r="I128" s="809" t="s">
        <v>832</v>
      </c>
      <c r="J128" s="804" t="s">
        <v>827</v>
      </c>
      <c r="K128" s="804" t="s">
        <v>827</v>
      </c>
      <c r="L128" s="804" t="s">
        <v>827</v>
      </c>
      <c r="M128" s="804" t="s">
        <v>827</v>
      </c>
      <c r="N128" s="809" t="s">
        <v>832</v>
      </c>
      <c r="O128" s="809" t="s">
        <v>832</v>
      </c>
      <c r="P128" s="809" t="s">
        <v>832</v>
      </c>
      <c r="Q128" s="809" t="s">
        <v>832</v>
      </c>
      <c r="R128" s="809" t="s">
        <v>832</v>
      </c>
      <c r="S128" s="809" t="s">
        <v>832</v>
      </c>
      <c r="T128" s="809" t="s">
        <v>832</v>
      </c>
      <c r="U128" s="809" t="s">
        <v>832</v>
      </c>
      <c r="V128" s="809" t="s">
        <v>832</v>
      </c>
      <c r="W128" s="810" t="s">
        <v>832</v>
      </c>
      <c r="X128" s="789">
        <v>29</v>
      </c>
      <c r="Y128" s="790"/>
      <c r="Z128" s="791"/>
    </row>
    <row r="129" spans="2:26" ht="30" customHeight="1">
      <c r="B129" s="877"/>
      <c r="C129" s="877"/>
      <c r="D129" s="878"/>
      <c r="E129" s="879"/>
      <c r="F129" s="879"/>
      <c r="G129" s="879"/>
      <c r="H129" s="879"/>
      <c r="I129" s="879"/>
      <c r="J129" s="879"/>
      <c r="K129" s="879"/>
      <c r="L129" s="879"/>
      <c r="M129" s="879"/>
      <c r="N129" s="879"/>
      <c r="O129" s="879"/>
      <c r="P129" s="879"/>
      <c r="Q129" s="879"/>
      <c r="R129" s="879"/>
      <c r="S129" s="879"/>
      <c r="T129" s="879"/>
      <c r="U129" s="879"/>
      <c r="V129" s="879"/>
      <c r="W129" s="879"/>
      <c r="X129" s="880"/>
      <c r="Y129" s="880"/>
      <c r="Z129" s="880"/>
    </row>
    <row r="130" spans="2:26" ht="29.1" customHeight="1">
      <c r="B130" s="1151" t="s">
        <v>899</v>
      </c>
      <c r="C130" s="1151"/>
      <c r="D130" s="1151"/>
      <c r="E130" s="1151"/>
      <c r="F130" s="1151"/>
      <c r="G130" s="1151"/>
      <c r="H130" s="1151"/>
      <c r="I130" s="1151"/>
      <c r="J130" s="1151"/>
      <c r="K130" s="1151"/>
      <c r="L130" s="1151"/>
      <c r="M130" s="505"/>
      <c r="N130" s="505"/>
      <c r="O130" s="505"/>
      <c r="P130" s="505"/>
      <c r="Q130" s="505"/>
      <c r="R130" s="505"/>
      <c r="S130" s="508"/>
      <c r="T130" s="508"/>
      <c r="U130" s="508"/>
    </row>
    <row r="131" spans="2:26" ht="19.5" customHeight="1">
      <c r="B131" s="1161" t="s">
        <v>900</v>
      </c>
      <c r="C131" s="1161"/>
      <c r="D131" s="1161"/>
      <c r="E131" s="1161"/>
      <c r="F131" s="1161"/>
      <c r="G131" s="1161"/>
      <c r="H131" s="1161"/>
      <c r="I131" s="1161"/>
      <c r="J131" s="1161"/>
      <c r="K131" s="1161"/>
      <c r="L131" s="1161"/>
      <c r="M131" s="190"/>
      <c r="N131" s="190"/>
      <c r="O131" s="190"/>
      <c r="P131" s="190"/>
      <c r="Q131" s="190"/>
      <c r="R131" s="190"/>
      <c r="S131" s="155"/>
      <c r="T131" s="155"/>
      <c r="U131" s="155"/>
    </row>
    <row r="132" spans="2:26" ht="18.600000000000001" customHeight="1">
      <c r="B132" s="1161" t="s">
        <v>901</v>
      </c>
      <c r="C132" s="1161"/>
      <c r="D132" s="1161"/>
      <c r="E132" s="1161"/>
      <c r="F132" s="1161"/>
      <c r="G132" s="1161"/>
      <c r="H132" s="1161"/>
      <c r="I132" s="1161"/>
      <c r="J132" s="1161"/>
      <c r="K132" s="1161"/>
      <c r="L132" s="1161"/>
      <c r="M132" s="190"/>
      <c r="N132" s="190"/>
      <c r="O132" s="190"/>
      <c r="P132" s="190"/>
      <c r="Q132" s="190"/>
      <c r="R132" s="190"/>
      <c r="S132" s="155"/>
      <c r="T132" s="155"/>
      <c r="U132" s="155"/>
    </row>
    <row r="133" spans="2:26" ht="18.600000000000001" customHeight="1">
      <c r="B133" s="1161" t="s">
        <v>902</v>
      </c>
      <c r="C133" s="1161"/>
      <c r="D133" s="1161"/>
      <c r="E133" s="1161"/>
      <c r="F133" s="1161"/>
      <c r="G133" s="1161"/>
      <c r="H133" s="1161"/>
      <c r="I133" s="1161"/>
      <c r="J133" s="1161"/>
      <c r="K133" s="1161"/>
      <c r="L133" s="1161"/>
      <c r="M133" s="190"/>
      <c r="N133" s="190"/>
      <c r="O133" s="190"/>
      <c r="P133" s="190"/>
      <c r="Q133" s="190"/>
      <c r="R133" s="190"/>
    </row>
    <row r="134" spans="2:26" ht="26.1" customHeight="1">
      <c r="B134" s="1161" t="s">
        <v>903</v>
      </c>
      <c r="C134" s="1161"/>
      <c r="D134" s="1161"/>
      <c r="E134" s="1161"/>
      <c r="F134" s="1161"/>
      <c r="G134" s="1161"/>
      <c r="H134" s="1161"/>
      <c r="I134" s="1161"/>
      <c r="J134" s="1161"/>
      <c r="K134" s="1161"/>
      <c r="L134" s="1161"/>
      <c r="M134" s="190"/>
      <c r="N134" s="190"/>
      <c r="O134" s="190"/>
      <c r="P134" s="190"/>
      <c r="Q134" s="190"/>
      <c r="R134" s="190"/>
    </row>
    <row r="135" spans="2:26" ht="18.600000000000001" customHeight="1">
      <c r="B135" s="1054"/>
      <c r="C135" s="1054"/>
      <c r="D135" s="1054"/>
      <c r="E135" s="1054"/>
      <c r="F135" s="1054"/>
      <c r="G135" s="1054"/>
      <c r="H135" s="1054"/>
      <c r="I135" s="1054"/>
      <c r="J135" s="1054"/>
      <c r="K135" s="1054"/>
      <c r="L135" s="1054"/>
      <c r="M135" s="190"/>
      <c r="N135" s="190"/>
      <c r="O135" s="190"/>
      <c r="P135" s="190"/>
      <c r="Q135" s="190"/>
      <c r="R135" s="190"/>
    </row>
    <row r="136" spans="2:26" ht="18.600000000000001" customHeight="1">
      <c r="B136" s="1055" t="s">
        <v>904</v>
      </c>
      <c r="C136" s="1056"/>
      <c r="D136" s="1056"/>
      <c r="E136" s="1056"/>
      <c r="F136" s="1056"/>
      <c r="G136" s="1056"/>
      <c r="H136" s="1056"/>
      <c r="I136" s="1056"/>
      <c r="J136" s="1056"/>
      <c r="K136" s="1056"/>
      <c r="L136" s="1056"/>
      <c r="M136" s="1056"/>
      <c r="N136" s="1056"/>
      <c r="O136" s="190"/>
      <c r="P136" s="1056"/>
      <c r="Q136" s="190"/>
      <c r="R136" s="190"/>
      <c r="S136" s="190"/>
      <c r="T136" s="190"/>
      <c r="U136" s="190"/>
      <c r="V136" s="190"/>
      <c r="W136" s="190"/>
    </row>
    <row r="137" spans="2:26">
      <c r="B137" s="509"/>
      <c r="C137" s="509"/>
      <c r="D137" s="590"/>
      <c r="E137" s="190"/>
      <c r="F137" s="190"/>
      <c r="G137" s="190"/>
      <c r="H137" s="510"/>
      <c r="I137" s="190"/>
      <c r="J137" s="190"/>
      <c r="K137" s="190"/>
      <c r="L137" s="190"/>
      <c r="M137" s="190"/>
      <c r="N137" s="190"/>
      <c r="O137" s="190"/>
      <c r="P137" s="190"/>
      <c r="Q137" s="190"/>
      <c r="R137" s="190"/>
      <c r="S137" s="190"/>
      <c r="T137" s="190"/>
      <c r="U137" s="190"/>
      <c r="V137" s="190"/>
      <c r="W137" s="190"/>
    </row>
    <row r="138" spans="2:26">
      <c r="B138" s="187" t="s">
        <v>905</v>
      </c>
      <c r="C138" s="192"/>
      <c r="D138" s="590"/>
      <c r="J138" s="511"/>
      <c r="K138" s="536"/>
      <c r="L138" s="511"/>
      <c r="M138" s="536"/>
      <c r="N138" s="536"/>
      <c r="O138" s="188"/>
      <c r="P138" s="536"/>
      <c r="Q138" s="188"/>
    </row>
    <row r="139" spans="2:26">
      <c r="B139" s="187" t="s">
        <v>906</v>
      </c>
      <c r="C139" s="192"/>
      <c r="D139" s="590"/>
      <c r="J139" s="511"/>
      <c r="K139" s="536"/>
      <c r="L139" s="511"/>
      <c r="M139" s="536"/>
      <c r="N139" s="536"/>
      <c r="O139" s="188"/>
      <c r="P139" s="536"/>
      <c r="Q139" s="188"/>
    </row>
    <row r="140" spans="2:26">
      <c r="B140" s="187" t="s">
        <v>907</v>
      </c>
      <c r="C140" s="192"/>
      <c r="D140" s="590"/>
      <c r="J140" s="511"/>
      <c r="K140" s="536"/>
      <c r="L140" s="511"/>
      <c r="M140" s="536"/>
      <c r="N140" s="536"/>
      <c r="O140" s="188"/>
      <c r="P140" s="536"/>
      <c r="Q140" s="188"/>
    </row>
    <row r="141" spans="2:26">
      <c r="B141" s="187" t="s">
        <v>908</v>
      </c>
      <c r="C141" s="192"/>
      <c r="D141" s="590"/>
      <c r="J141" s="511"/>
      <c r="K141" s="536"/>
      <c r="L141" s="511"/>
      <c r="M141" s="536"/>
      <c r="N141" s="536"/>
      <c r="O141" s="188"/>
      <c r="P141" s="536"/>
      <c r="Q141" s="188"/>
    </row>
    <row r="142" spans="2:26">
      <c r="C142" s="192"/>
      <c r="D142" s="590"/>
      <c r="J142" s="511"/>
      <c r="K142" s="536"/>
      <c r="L142" s="511"/>
      <c r="M142" s="536"/>
      <c r="N142" s="536"/>
      <c r="O142" s="188"/>
      <c r="P142" s="536"/>
      <c r="Q142" s="188"/>
    </row>
    <row r="143" spans="2:26" ht="14.25" customHeight="1">
      <c r="B143" s="187" t="s">
        <v>909</v>
      </c>
      <c r="C143" s="191"/>
      <c r="D143" s="590"/>
      <c r="J143" s="511"/>
      <c r="K143" s="536"/>
      <c r="L143" s="511"/>
      <c r="M143" s="536"/>
      <c r="N143" s="536"/>
      <c r="O143" s="188"/>
      <c r="P143" s="536"/>
      <c r="Q143" s="188"/>
    </row>
    <row r="144" spans="2:26" ht="14.25" customHeight="1">
      <c r="B144" s="187" t="s">
        <v>910</v>
      </c>
      <c r="C144" s="191"/>
      <c r="D144" s="590"/>
      <c r="J144" s="511"/>
      <c r="K144" s="536"/>
      <c r="L144" s="511"/>
      <c r="M144" s="536"/>
      <c r="N144" s="536"/>
      <c r="O144" s="188"/>
      <c r="P144" s="536"/>
      <c r="Q144" s="188"/>
    </row>
    <row r="145" spans="1:16383" ht="14.25" customHeight="1">
      <c r="B145" s="187" t="s">
        <v>911</v>
      </c>
      <c r="C145" s="191"/>
      <c r="D145" s="590"/>
      <c r="J145" s="511"/>
      <c r="K145" s="536"/>
      <c r="L145" s="511"/>
      <c r="M145" s="536"/>
      <c r="N145" s="536"/>
      <c r="O145" s="188"/>
      <c r="P145" s="536"/>
      <c r="Q145" s="188"/>
    </row>
    <row r="146" spans="1:16383" ht="14.1" customHeight="1">
      <c r="B146" s="187" t="s">
        <v>912</v>
      </c>
      <c r="C146" s="191"/>
      <c r="D146" s="590"/>
      <c r="J146" s="511"/>
      <c r="K146" s="536"/>
      <c r="L146" s="511"/>
      <c r="M146" s="536"/>
      <c r="N146" s="536"/>
      <c r="O146" s="188"/>
      <c r="P146" s="536"/>
      <c r="Q146" s="188"/>
    </row>
    <row r="147" spans="1:16383" ht="14.1" customHeight="1">
      <c r="C147" s="191"/>
      <c r="D147" s="590"/>
      <c r="J147" s="511"/>
      <c r="K147" s="536"/>
      <c r="L147" s="511"/>
      <c r="M147" s="536"/>
      <c r="N147" s="536"/>
      <c r="O147" s="188"/>
      <c r="P147" s="536"/>
      <c r="Q147" s="188"/>
    </row>
    <row r="148" spans="1:16383" ht="15" customHeight="1">
      <c r="B148" s="187" t="s">
        <v>913</v>
      </c>
      <c r="C148" s="191"/>
      <c r="D148" s="590"/>
      <c r="J148" s="511"/>
      <c r="K148" s="536"/>
      <c r="L148" s="511"/>
      <c r="M148" s="536"/>
      <c r="N148" s="536"/>
      <c r="O148" s="188"/>
      <c r="P148" s="536"/>
      <c r="Q148" s="188"/>
    </row>
    <row r="149" spans="1:16383">
      <c r="B149" s="187" t="s">
        <v>914</v>
      </c>
      <c r="C149" s="192"/>
      <c r="D149" s="590"/>
      <c r="J149" s="511"/>
      <c r="K149" s="536"/>
      <c r="L149" s="511"/>
      <c r="M149" s="536"/>
      <c r="N149" s="536"/>
      <c r="O149" s="188"/>
      <c r="P149" s="536"/>
      <c r="Q149" s="188"/>
    </row>
    <row r="150" spans="1:16383">
      <c r="B150" s="187" t="s">
        <v>915</v>
      </c>
      <c r="C150" s="192"/>
      <c r="D150" s="590"/>
      <c r="J150" s="511"/>
      <c r="K150" s="536"/>
      <c r="L150" s="511"/>
      <c r="M150" s="536"/>
      <c r="N150" s="536"/>
      <c r="O150" s="188"/>
      <c r="P150" s="536"/>
      <c r="Q150" s="188"/>
    </row>
    <row r="151" spans="1:16383">
      <c r="B151" s="187" t="s">
        <v>916</v>
      </c>
      <c r="C151" s="192"/>
      <c r="D151" s="590"/>
      <c r="J151" s="511"/>
      <c r="K151" s="536"/>
      <c r="L151" s="511"/>
      <c r="M151" s="536"/>
      <c r="N151" s="536"/>
      <c r="O151" s="188"/>
      <c r="P151" s="536"/>
      <c r="Q151" s="188"/>
    </row>
    <row r="152" spans="1:16383">
      <c r="B152" s="187" t="s">
        <v>917</v>
      </c>
      <c r="C152" s="192"/>
      <c r="D152" s="590"/>
      <c r="J152" s="511"/>
      <c r="K152" s="536"/>
      <c r="L152" s="511"/>
      <c r="M152" s="536"/>
      <c r="N152" s="536"/>
      <c r="O152" s="188"/>
      <c r="P152" s="536"/>
      <c r="Q152" s="188"/>
    </row>
    <row r="153" spans="1:16383" s="9" customFormat="1" ht="15" customHeight="1">
      <c r="A153" s="1057"/>
      <c r="B153" s="1058" t="s">
        <v>538</v>
      </c>
      <c r="C153" s="1059" t="s">
        <v>539</v>
      </c>
      <c r="D153" s="1058"/>
      <c r="E153" s="1059"/>
      <c r="F153" s="1058"/>
      <c r="G153" s="1059"/>
      <c r="H153" s="1058"/>
      <c r="I153" s="1059"/>
      <c r="J153" s="1058"/>
      <c r="K153" s="1059"/>
      <c r="L153" s="1058"/>
      <c r="M153" s="1059"/>
      <c r="N153" s="1058"/>
      <c r="O153" s="1059"/>
      <c r="P153" s="1058"/>
      <c r="Q153" s="1059"/>
      <c r="R153" s="1058"/>
      <c r="S153" s="1059"/>
      <c r="T153" s="1058"/>
      <c r="U153" s="1059"/>
      <c r="V153" s="1058"/>
      <c r="W153" s="1059"/>
      <c r="X153" s="1058"/>
      <c r="Y153" s="1059"/>
      <c r="Z153" s="1058"/>
      <c r="AA153" s="1059"/>
      <c r="AB153" s="1058"/>
      <c r="AC153" s="1059"/>
      <c r="AD153" s="1058"/>
      <c r="AE153" s="1059"/>
      <c r="AF153" s="1058"/>
      <c r="AG153" s="1059"/>
      <c r="AH153" s="1058"/>
      <c r="AI153" s="1059"/>
      <c r="AJ153" s="1058"/>
      <c r="AK153" s="1059"/>
      <c r="AL153" s="1058"/>
      <c r="AM153" s="1059"/>
      <c r="AN153" s="1058"/>
      <c r="AO153" s="1059"/>
      <c r="AP153" s="1058"/>
      <c r="AQ153" s="1059"/>
      <c r="AR153" s="1058"/>
      <c r="AS153" s="1059"/>
      <c r="AT153" s="1058"/>
      <c r="AU153" s="1059"/>
      <c r="AV153" s="1058"/>
      <c r="AW153" s="1059"/>
      <c r="AX153" s="1058"/>
      <c r="AY153" s="1059"/>
      <c r="AZ153" s="1058"/>
      <c r="BA153" s="1059"/>
      <c r="BB153" s="1058"/>
      <c r="BC153" s="1059"/>
      <c r="BD153" s="1058"/>
      <c r="BE153" s="1059"/>
      <c r="BF153" s="1058"/>
      <c r="BG153" s="1059"/>
      <c r="BH153" s="1058"/>
      <c r="BI153" s="1059"/>
      <c r="BJ153" s="1058"/>
      <c r="BK153" s="1059"/>
      <c r="BL153" s="1058"/>
      <c r="BM153" s="1059"/>
      <c r="BN153" s="1058"/>
      <c r="BO153" s="1059"/>
      <c r="BP153" s="1058"/>
      <c r="BQ153" s="1059"/>
      <c r="BR153" s="1058"/>
      <c r="BS153" s="1059"/>
      <c r="BT153" s="1058"/>
      <c r="BU153" s="1059"/>
      <c r="BV153" s="1058"/>
      <c r="BW153" s="1059"/>
      <c r="BX153" s="1058"/>
      <c r="BY153" s="1059"/>
      <c r="BZ153" s="1058"/>
      <c r="CA153" s="1059"/>
      <c r="CB153" s="1058"/>
      <c r="CC153" s="1059"/>
      <c r="CD153" s="1058"/>
      <c r="CE153" s="1059"/>
      <c r="CF153" s="1058"/>
      <c r="CG153" s="1059"/>
      <c r="CH153" s="1058"/>
      <c r="CI153" s="1059"/>
      <c r="CJ153" s="1058"/>
      <c r="CK153" s="1059"/>
      <c r="CL153" s="1058"/>
      <c r="CM153" s="1059"/>
      <c r="CN153" s="1058"/>
      <c r="CO153" s="1059"/>
      <c r="CP153" s="1058"/>
      <c r="CQ153" s="1059"/>
      <c r="CR153" s="1058"/>
      <c r="CS153" s="1059"/>
      <c r="CT153" s="1058"/>
      <c r="CU153" s="1059"/>
      <c r="CV153" s="1058"/>
      <c r="CW153" s="1059"/>
      <c r="CX153" s="1058"/>
      <c r="CY153" s="1059"/>
      <c r="CZ153" s="1058"/>
      <c r="DA153" s="1059"/>
      <c r="DB153" s="1058"/>
      <c r="DC153" s="1059"/>
      <c r="DD153" s="1058"/>
      <c r="DE153" s="1059"/>
      <c r="DF153" s="1058"/>
      <c r="DG153" s="1059"/>
      <c r="DH153" s="1058"/>
      <c r="DI153" s="1059"/>
      <c r="DJ153" s="1058"/>
      <c r="DK153" s="1059"/>
      <c r="DL153" s="1058"/>
      <c r="DM153" s="1059"/>
      <c r="DN153" s="1058"/>
      <c r="DO153" s="1059"/>
      <c r="DP153" s="1058"/>
      <c r="DQ153" s="1059"/>
      <c r="DR153" s="1058"/>
      <c r="DS153" s="1059"/>
      <c r="DT153" s="1058"/>
      <c r="DU153" s="1059"/>
      <c r="DV153" s="1058"/>
      <c r="DW153" s="1059"/>
      <c r="DX153" s="1058"/>
      <c r="DY153" s="1059"/>
      <c r="DZ153" s="1058"/>
      <c r="EA153" s="1059"/>
      <c r="EB153" s="1058"/>
      <c r="EC153" s="1059"/>
      <c r="ED153" s="1058"/>
      <c r="EE153" s="1059"/>
      <c r="EF153" s="1058"/>
      <c r="EG153" s="1059"/>
      <c r="EH153" s="1058"/>
      <c r="EI153" s="1059"/>
      <c r="EJ153" s="1058"/>
      <c r="EK153" s="1059"/>
      <c r="EL153" s="1058"/>
      <c r="EM153" s="1059"/>
      <c r="EN153" s="1058"/>
      <c r="EO153" s="1059"/>
      <c r="EP153" s="1058"/>
      <c r="EQ153" s="1059"/>
      <c r="ER153" s="1058"/>
      <c r="ES153" s="1059"/>
      <c r="ET153" s="1058"/>
      <c r="EU153" s="1059"/>
      <c r="EV153" s="1058"/>
      <c r="EW153" s="1059"/>
      <c r="EX153" s="1058"/>
      <c r="EY153" s="1059"/>
      <c r="EZ153" s="1058"/>
      <c r="FA153" s="1059"/>
      <c r="FB153" s="1058"/>
      <c r="FC153" s="1059"/>
      <c r="FD153" s="1058"/>
      <c r="FE153" s="1059"/>
      <c r="FF153" s="1058"/>
      <c r="FG153" s="1059"/>
      <c r="FH153" s="1058"/>
      <c r="FI153" s="1059"/>
      <c r="FJ153" s="1058"/>
      <c r="FK153" s="1059"/>
      <c r="FL153" s="1058"/>
      <c r="FM153" s="1059"/>
      <c r="FN153" s="1058"/>
      <c r="FO153" s="1059"/>
      <c r="FP153" s="1058"/>
      <c r="FQ153" s="1059"/>
      <c r="FR153" s="1058"/>
      <c r="FS153" s="1059"/>
      <c r="FT153" s="1058"/>
      <c r="FU153" s="1059"/>
      <c r="FV153" s="1058"/>
      <c r="FW153" s="1059"/>
      <c r="FX153" s="1058"/>
      <c r="FY153" s="1059"/>
      <c r="FZ153" s="1058"/>
      <c r="GA153" s="1059"/>
      <c r="GB153" s="1058"/>
      <c r="GC153" s="1059"/>
      <c r="GD153" s="1058"/>
      <c r="GE153" s="1059"/>
      <c r="GF153" s="1058"/>
      <c r="GG153" s="1059"/>
      <c r="GH153" s="1058"/>
      <c r="GI153" s="1059"/>
      <c r="GJ153" s="1058"/>
      <c r="GK153" s="1059"/>
      <c r="GL153" s="1058"/>
      <c r="GM153" s="1059"/>
      <c r="GN153" s="1058"/>
      <c r="GO153" s="1059"/>
      <c r="GP153" s="1058"/>
      <c r="GQ153" s="1059"/>
      <c r="GR153" s="1058"/>
      <c r="GS153" s="1059"/>
      <c r="GT153" s="1058"/>
      <c r="GU153" s="1059"/>
      <c r="GV153" s="1058"/>
      <c r="GW153" s="1059"/>
      <c r="GX153" s="1058"/>
      <c r="GY153" s="1059"/>
      <c r="GZ153" s="1058"/>
      <c r="HA153" s="1059"/>
      <c r="HB153" s="1058"/>
      <c r="HC153" s="1059"/>
      <c r="HD153" s="1058"/>
      <c r="HE153" s="1059"/>
      <c r="HF153" s="1058"/>
      <c r="HG153" s="1059"/>
      <c r="HH153" s="1058"/>
      <c r="HI153" s="1059"/>
      <c r="HJ153" s="1058"/>
      <c r="HK153" s="1059"/>
      <c r="HL153" s="1058"/>
      <c r="HM153" s="1059"/>
      <c r="HN153" s="1058"/>
      <c r="HO153" s="1059"/>
      <c r="HP153" s="1058"/>
      <c r="HQ153" s="1059"/>
      <c r="HR153" s="1058"/>
      <c r="HS153" s="1059"/>
      <c r="HT153" s="1058"/>
      <c r="HU153" s="1059"/>
      <c r="HV153" s="1058"/>
      <c r="HW153" s="1059"/>
      <c r="HX153" s="1058"/>
      <c r="HY153" s="1059"/>
      <c r="HZ153" s="1058"/>
      <c r="IA153" s="1059"/>
      <c r="IB153" s="1058"/>
      <c r="IC153" s="1059"/>
      <c r="ID153" s="1058"/>
      <c r="IE153" s="1059"/>
      <c r="IF153" s="1058"/>
      <c r="IG153" s="1059"/>
      <c r="IH153" s="1058"/>
      <c r="II153" s="1059"/>
      <c r="IJ153" s="1058"/>
      <c r="IK153" s="1059"/>
      <c r="IL153" s="1058"/>
      <c r="IM153" s="1059"/>
      <c r="IN153" s="1058"/>
      <c r="IO153" s="1059"/>
      <c r="IP153" s="1058"/>
      <c r="IQ153" s="1059"/>
      <c r="IR153" s="1058"/>
      <c r="IS153" s="1059"/>
      <c r="IT153" s="1058"/>
      <c r="IU153" s="1059"/>
      <c r="IV153" s="1058"/>
      <c r="IW153" s="1059"/>
      <c r="IX153" s="1058"/>
      <c r="IY153" s="1059"/>
      <c r="IZ153" s="1058"/>
      <c r="JA153" s="1059"/>
      <c r="JB153" s="1058"/>
      <c r="JC153" s="1059"/>
      <c r="JD153" s="1058"/>
      <c r="JE153" s="1059"/>
      <c r="JF153" s="1058"/>
      <c r="JG153" s="1059"/>
      <c r="JH153" s="1058"/>
      <c r="JI153" s="1059"/>
      <c r="JJ153" s="1058"/>
      <c r="JK153" s="1059"/>
      <c r="JL153" s="1058"/>
      <c r="JM153" s="1059"/>
      <c r="JN153" s="1058"/>
      <c r="JO153" s="1059"/>
      <c r="JP153" s="1058"/>
      <c r="JQ153" s="1059"/>
      <c r="JR153" s="1058"/>
      <c r="JS153" s="1059"/>
      <c r="JT153" s="1058"/>
      <c r="JU153" s="1059"/>
      <c r="JV153" s="1058"/>
      <c r="JW153" s="1059"/>
      <c r="JX153" s="1058"/>
      <c r="JY153" s="1059"/>
      <c r="JZ153" s="1058"/>
      <c r="KA153" s="1059"/>
      <c r="KB153" s="1058"/>
      <c r="KC153" s="1059"/>
      <c r="KD153" s="1058"/>
      <c r="KE153" s="1059"/>
      <c r="KF153" s="1058"/>
      <c r="KG153" s="1059"/>
      <c r="KH153" s="1058"/>
      <c r="KI153" s="1059"/>
      <c r="KJ153" s="1058"/>
      <c r="KK153" s="1059"/>
      <c r="KL153" s="1058"/>
      <c r="KM153" s="1059"/>
      <c r="KN153" s="1058"/>
      <c r="KO153" s="1059"/>
      <c r="KP153" s="1058"/>
      <c r="KQ153" s="1059"/>
      <c r="KR153" s="1058"/>
      <c r="KS153" s="1059"/>
      <c r="KT153" s="1058"/>
      <c r="KU153" s="1059"/>
      <c r="KV153" s="1058"/>
      <c r="KW153" s="1059"/>
      <c r="KX153" s="1058"/>
      <c r="KY153" s="1059"/>
      <c r="KZ153" s="1058"/>
      <c r="LA153" s="1059"/>
      <c r="LB153" s="1058"/>
      <c r="LC153" s="1059"/>
      <c r="LD153" s="1058"/>
      <c r="LE153" s="1059"/>
      <c r="LF153" s="1058"/>
      <c r="LG153" s="1059"/>
      <c r="LH153" s="1058"/>
      <c r="LI153" s="1059"/>
      <c r="LJ153" s="1058"/>
      <c r="LK153" s="1059"/>
      <c r="LL153" s="1058"/>
      <c r="LM153" s="1059"/>
      <c r="LN153" s="1058"/>
      <c r="LO153" s="1059"/>
      <c r="LP153" s="1058"/>
      <c r="LQ153" s="1059"/>
      <c r="LR153" s="1058"/>
      <c r="LS153" s="1059"/>
      <c r="LT153" s="1058"/>
      <c r="LU153" s="1059"/>
      <c r="LV153" s="1058"/>
      <c r="LW153" s="1059"/>
      <c r="LX153" s="1058"/>
      <c r="LY153" s="1059"/>
      <c r="LZ153" s="1058"/>
      <c r="MA153" s="1059"/>
      <c r="MB153" s="1058"/>
      <c r="MC153" s="1059"/>
      <c r="MD153" s="1058"/>
      <c r="ME153" s="1059"/>
      <c r="MF153" s="1058"/>
      <c r="MG153" s="1059"/>
      <c r="MH153" s="1058"/>
      <c r="MI153" s="1059"/>
      <c r="MJ153" s="1058"/>
      <c r="MK153" s="1059"/>
      <c r="ML153" s="1058"/>
      <c r="MM153" s="1059"/>
      <c r="MN153" s="1058"/>
      <c r="MO153" s="1059"/>
      <c r="MP153" s="1058"/>
      <c r="MQ153" s="1059"/>
      <c r="MR153" s="1058"/>
      <c r="MS153" s="1059"/>
      <c r="MT153" s="1058"/>
      <c r="MU153" s="1059"/>
      <c r="MV153" s="1058"/>
      <c r="MW153" s="1059"/>
      <c r="MX153" s="1058"/>
      <c r="MY153" s="1059"/>
      <c r="MZ153" s="1058"/>
      <c r="NA153" s="1059"/>
      <c r="NB153" s="1058"/>
      <c r="NC153" s="1059"/>
      <c r="ND153" s="1058"/>
      <c r="NE153" s="1059"/>
      <c r="NF153" s="1058"/>
      <c r="NG153" s="1059"/>
      <c r="NH153" s="1058"/>
      <c r="NI153" s="1059"/>
      <c r="NJ153" s="1058"/>
      <c r="NK153" s="1059"/>
      <c r="NL153" s="1058"/>
      <c r="NM153" s="1059"/>
      <c r="NN153" s="1058"/>
      <c r="NO153" s="1059"/>
      <c r="NP153" s="1058"/>
      <c r="NQ153" s="1059"/>
      <c r="NR153" s="1058"/>
      <c r="NS153" s="1059"/>
      <c r="NT153" s="1058"/>
      <c r="NU153" s="1059"/>
      <c r="NV153" s="1058"/>
      <c r="NW153" s="1059"/>
      <c r="NX153" s="1058"/>
      <c r="NY153" s="1059"/>
      <c r="NZ153" s="1058"/>
      <c r="OA153" s="1059"/>
      <c r="OB153" s="1058"/>
      <c r="OC153" s="1059"/>
      <c r="OD153" s="1058"/>
      <c r="OE153" s="1059"/>
      <c r="OF153" s="1058"/>
      <c r="OG153" s="1059"/>
      <c r="OH153" s="1058"/>
      <c r="OI153" s="1059"/>
      <c r="OJ153" s="1058"/>
      <c r="OK153" s="1059"/>
      <c r="OL153" s="1058"/>
      <c r="OM153" s="1059"/>
      <c r="ON153" s="1058"/>
      <c r="OO153" s="1059"/>
      <c r="OP153" s="1058"/>
      <c r="OQ153" s="1059"/>
      <c r="OR153" s="1058"/>
      <c r="OS153" s="1059"/>
      <c r="OT153" s="1058"/>
      <c r="OU153" s="1059"/>
      <c r="OV153" s="1058"/>
      <c r="OW153" s="1059"/>
      <c r="OX153" s="1058"/>
      <c r="OY153" s="1059"/>
      <c r="OZ153" s="1058"/>
      <c r="PA153" s="1059"/>
      <c r="PB153" s="1058"/>
      <c r="PC153" s="1059"/>
      <c r="PD153" s="1058"/>
      <c r="PE153" s="1059"/>
      <c r="PF153" s="1058"/>
      <c r="PG153" s="1059"/>
      <c r="PH153" s="1058"/>
      <c r="PI153" s="1059"/>
      <c r="PJ153" s="1058"/>
      <c r="PK153" s="1059"/>
      <c r="PL153" s="1058"/>
      <c r="PM153" s="1059"/>
      <c r="PN153" s="1058"/>
      <c r="PO153" s="1059"/>
      <c r="PP153" s="1058"/>
      <c r="PQ153" s="1059"/>
      <c r="PR153" s="1058"/>
      <c r="PS153" s="1059"/>
      <c r="PT153" s="1058"/>
      <c r="PU153" s="1059"/>
      <c r="PV153" s="1058"/>
      <c r="PW153" s="1059"/>
      <c r="PX153" s="1058"/>
      <c r="PY153" s="1059"/>
      <c r="PZ153" s="1058"/>
      <c r="QA153" s="1059"/>
      <c r="QB153" s="1058"/>
      <c r="QC153" s="1059"/>
      <c r="QD153" s="1058"/>
      <c r="QE153" s="1059"/>
      <c r="QF153" s="1058"/>
      <c r="QG153" s="1059"/>
      <c r="QH153" s="1058"/>
      <c r="QI153" s="1059"/>
      <c r="QJ153" s="1058"/>
      <c r="QK153" s="1059"/>
      <c r="QL153" s="1058"/>
      <c r="QM153" s="1059"/>
      <c r="QN153" s="1058"/>
      <c r="QO153" s="1059"/>
      <c r="QP153" s="1058"/>
      <c r="QQ153" s="1059"/>
      <c r="QR153" s="1058"/>
      <c r="QS153" s="1059"/>
      <c r="QT153" s="1058"/>
      <c r="QU153" s="1059"/>
      <c r="QV153" s="1058"/>
      <c r="QW153" s="1059"/>
      <c r="QX153" s="1058"/>
      <c r="QY153" s="1059"/>
      <c r="QZ153" s="1058"/>
      <c r="RA153" s="1059"/>
      <c r="RB153" s="1058"/>
      <c r="RC153" s="1059"/>
      <c r="RD153" s="1058"/>
      <c r="RE153" s="1059"/>
      <c r="RF153" s="1058"/>
      <c r="RG153" s="1059"/>
      <c r="RH153" s="1058"/>
      <c r="RI153" s="1059"/>
      <c r="RJ153" s="1058"/>
      <c r="RK153" s="1059"/>
      <c r="RL153" s="1058"/>
      <c r="RM153" s="1059"/>
      <c r="RN153" s="1058"/>
      <c r="RO153" s="1059"/>
      <c r="RP153" s="1058"/>
      <c r="RQ153" s="1059"/>
      <c r="RR153" s="1058"/>
      <c r="RS153" s="1059"/>
      <c r="RT153" s="1058"/>
      <c r="RU153" s="1059"/>
      <c r="RV153" s="1058"/>
      <c r="RW153" s="1059"/>
      <c r="RX153" s="1058"/>
      <c r="RY153" s="1059"/>
      <c r="RZ153" s="1058"/>
      <c r="SA153" s="1059"/>
      <c r="SB153" s="1058"/>
      <c r="SC153" s="1059"/>
      <c r="SD153" s="1058"/>
      <c r="SE153" s="1059"/>
      <c r="SF153" s="1058"/>
      <c r="SG153" s="1059"/>
      <c r="SH153" s="1058"/>
      <c r="SI153" s="1059"/>
      <c r="SJ153" s="1058"/>
      <c r="SK153" s="1059"/>
      <c r="SL153" s="1058"/>
      <c r="SM153" s="1059"/>
      <c r="SN153" s="1058"/>
      <c r="SO153" s="1059"/>
      <c r="SP153" s="1058"/>
      <c r="SQ153" s="1059"/>
      <c r="SR153" s="1058"/>
      <c r="SS153" s="1059"/>
      <c r="ST153" s="1058"/>
      <c r="SU153" s="1059"/>
      <c r="SV153" s="1058"/>
      <c r="SW153" s="1059"/>
      <c r="SX153" s="1058"/>
      <c r="SY153" s="1059"/>
      <c r="SZ153" s="1058"/>
      <c r="TA153" s="1059"/>
      <c r="TB153" s="1058"/>
      <c r="TC153" s="1059"/>
      <c r="TD153" s="1058"/>
      <c r="TE153" s="1059"/>
      <c r="TF153" s="1058"/>
      <c r="TG153" s="1059"/>
      <c r="TH153" s="1058"/>
      <c r="TI153" s="1059"/>
      <c r="TJ153" s="1058"/>
      <c r="TK153" s="1059"/>
      <c r="TL153" s="1058"/>
      <c r="TM153" s="1059"/>
      <c r="TN153" s="1058"/>
      <c r="TO153" s="1059"/>
      <c r="TP153" s="1058"/>
      <c r="TQ153" s="1059"/>
      <c r="TR153" s="1058"/>
      <c r="TS153" s="1059"/>
      <c r="TT153" s="1058"/>
      <c r="TU153" s="1059"/>
      <c r="TV153" s="1058"/>
      <c r="TW153" s="1059"/>
      <c r="TX153" s="1058"/>
      <c r="TY153" s="1059"/>
      <c r="TZ153" s="1058"/>
      <c r="UA153" s="1059"/>
      <c r="UB153" s="1058"/>
      <c r="UC153" s="1059"/>
      <c r="UD153" s="1058"/>
      <c r="UE153" s="1059"/>
      <c r="UF153" s="1058"/>
      <c r="UG153" s="1059"/>
      <c r="UH153" s="1058"/>
      <c r="UI153" s="1059"/>
      <c r="UJ153" s="1058"/>
      <c r="UK153" s="1059"/>
      <c r="UL153" s="1058"/>
      <c r="UM153" s="1059"/>
      <c r="UN153" s="1058"/>
      <c r="UO153" s="1059"/>
      <c r="UP153" s="1058"/>
      <c r="UQ153" s="1059"/>
      <c r="UR153" s="1058"/>
      <c r="US153" s="1059"/>
      <c r="UT153" s="1058"/>
      <c r="UU153" s="1059"/>
      <c r="UV153" s="1058"/>
      <c r="UW153" s="1059"/>
      <c r="UX153" s="1058"/>
      <c r="UY153" s="1059"/>
      <c r="UZ153" s="1058"/>
      <c r="VA153" s="1059"/>
      <c r="VB153" s="1058"/>
      <c r="VC153" s="1059"/>
      <c r="VD153" s="1058"/>
      <c r="VE153" s="1059"/>
      <c r="VF153" s="1058"/>
      <c r="VG153" s="1059"/>
      <c r="VH153" s="1058"/>
      <c r="VI153" s="1059"/>
      <c r="VJ153" s="1058"/>
      <c r="VK153" s="1059"/>
      <c r="VL153" s="1058"/>
      <c r="VM153" s="1059"/>
      <c r="VN153" s="1058"/>
      <c r="VO153" s="1059"/>
      <c r="VP153" s="1058"/>
      <c r="VQ153" s="1059"/>
      <c r="VR153" s="1058"/>
      <c r="VS153" s="1059"/>
      <c r="VT153" s="1058"/>
      <c r="VU153" s="1059"/>
      <c r="VV153" s="1058"/>
      <c r="VW153" s="1059"/>
      <c r="VX153" s="1058"/>
      <c r="VY153" s="1059"/>
      <c r="VZ153" s="1058"/>
      <c r="WA153" s="1059"/>
      <c r="WB153" s="1058"/>
      <c r="WC153" s="1059"/>
      <c r="WD153" s="1058"/>
      <c r="WE153" s="1059"/>
      <c r="WF153" s="1058"/>
      <c r="WG153" s="1059"/>
      <c r="WH153" s="1058"/>
      <c r="WI153" s="1059"/>
      <c r="WJ153" s="1058"/>
      <c r="WK153" s="1059"/>
      <c r="WL153" s="1058"/>
      <c r="WM153" s="1059"/>
      <c r="WN153" s="1058"/>
      <c r="WO153" s="1059"/>
      <c r="WP153" s="1058"/>
      <c r="WQ153" s="1059"/>
      <c r="WR153" s="1058"/>
      <c r="WS153" s="1059"/>
      <c r="WT153" s="1058"/>
      <c r="WU153" s="1059"/>
      <c r="WV153" s="1058"/>
      <c r="WW153" s="1059"/>
      <c r="WX153" s="1058"/>
      <c r="WY153" s="1059"/>
      <c r="WZ153" s="1058"/>
      <c r="XA153" s="1059"/>
      <c r="XB153" s="1058"/>
      <c r="XC153" s="1059"/>
      <c r="XD153" s="1058"/>
      <c r="XE153" s="1059"/>
      <c r="XF153" s="1058"/>
      <c r="XG153" s="1059"/>
      <c r="XH153" s="1058"/>
      <c r="XI153" s="1059"/>
      <c r="XJ153" s="1058"/>
      <c r="XK153" s="1059"/>
      <c r="XL153" s="1058"/>
      <c r="XM153" s="1059"/>
      <c r="XN153" s="1058"/>
      <c r="XO153" s="1059"/>
      <c r="XP153" s="1058"/>
      <c r="XQ153" s="1059"/>
      <c r="XR153" s="1058"/>
      <c r="XS153" s="1059"/>
      <c r="XT153" s="1058"/>
      <c r="XU153" s="1059"/>
      <c r="XV153" s="1058"/>
      <c r="XW153" s="1059"/>
      <c r="XX153" s="1058"/>
      <c r="XY153" s="1059"/>
      <c r="XZ153" s="1058"/>
      <c r="YA153" s="1059"/>
      <c r="YB153" s="1058"/>
      <c r="YC153" s="1059"/>
      <c r="YD153" s="1058"/>
      <c r="YE153" s="1059"/>
      <c r="YF153" s="1058"/>
      <c r="YG153" s="1059"/>
      <c r="YH153" s="1058"/>
      <c r="YI153" s="1059"/>
      <c r="YJ153" s="1058"/>
      <c r="YK153" s="1059"/>
      <c r="YL153" s="1058"/>
      <c r="YM153" s="1059"/>
      <c r="YN153" s="1058"/>
      <c r="YO153" s="1059"/>
      <c r="YP153" s="1058"/>
      <c r="YQ153" s="1059"/>
      <c r="YR153" s="1058"/>
      <c r="YS153" s="1059"/>
      <c r="YT153" s="1058"/>
      <c r="YU153" s="1059"/>
      <c r="YV153" s="1058"/>
      <c r="YW153" s="1059"/>
      <c r="YX153" s="1058"/>
      <c r="YY153" s="1059"/>
      <c r="YZ153" s="1058"/>
      <c r="ZA153" s="1059"/>
      <c r="ZB153" s="1058"/>
      <c r="ZC153" s="1059"/>
      <c r="ZD153" s="1058"/>
      <c r="ZE153" s="1059"/>
      <c r="ZF153" s="1058"/>
      <c r="ZG153" s="1059"/>
      <c r="ZH153" s="1058"/>
      <c r="ZI153" s="1059"/>
      <c r="ZJ153" s="1058"/>
      <c r="ZK153" s="1059"/>
      <c r="ZL153" s="1058"/>
      <c r="ZM153" s="1059"/>
      <c r="ZN153" s="1058"/>
      <c r="ZO153" s="1059"/>
      <c r="ZP153" s="1058"/>
      <c r="ZQ153" s="1059"/>
      <c r="ZR153" s="1058"/>
      <c r="ZS153" s="1059"/>
      <c r="ZT153" s="1058"/>
      <c r="ZU153" s="1059"/>
      <c r="ZV153" s="1058"/>
      <c r="ZW153" s="1059"/>
      <c r="ZX153" s="1058"/>
      <c r="ZY153" s="1059"/>
      <c r="ZZ153" s="1058"/>
      <c r="AAA153" s="1059"/>
      <c r="AAB153" s="1058"/>
      <c r="AAC153" s="1059"/>
      <c r="AAD153" s="1058"/>
      <c r="AAE153" s="1059"/>
      <c r="AAF153" s="1058"/>
      <c r="AAG153" s="1059"/>
      <c r="AAH153" s="1058"/>
      <c r="AAI153" s="1059"/>
      <c r="AAJ153" s="1058"/>
      <c r="AAK153" s="1059"/>
      <c r="AAL153" s="1058"/>
      <c r="AAM153" s="1059"/>
      <c r="AAN153" s="1058"/>
      <c r="AAO153" s="1059"/>
      <c r="AAP153" s="1058"/>
      <c r="AAQ153" s="1059"/>
      <c r="AAR153" s="1058"/>
      <c r="AAS153" s="1059"/>
      <c r="AAT153" s="1058"/>
      <c r="AAU153" s="1059"/>
      <c r="AAV153" s="1058"/>
      <c r="AAW153" s="1059"/>
      <c r="AAX153" s="1058"/>
      <c r="AAY153" s="1059"/>
      <c r="AAZ153" s="1058"/>
      <c r="ABA153" s="1059"/>
      <c r="ABB153" s="1058"/>
      <c r="ABC153" s="1059"/>
      <c r="ABD153" s="1058"/>
      <c r="ABE153" s="1059"/>
      <c r="ABF153" s="1058"/>
      <c r="ABG153" s="1059"/>
      <c r="ABH153" s="1058"/>
      <c r="ABI153" s="1059"/>
      <c r="ABJ153" s="1058"/>
      <c r="ABK153" s="1059"/>
      <c r="ABL153" s="1058"/>
      <c r="ABM153" s="1059"/>
      <c r="ABN153" s="1058"/>
      <c r="ABO153" s="1059"/>
      <c r="ABP153" s="1058"/>
      <c r="ABQ153" s="1059"/>
      <c r="ABR153" s="1058"/>
      <c r="ABS153" s="1059"/>
      <c r="ABT153" s="1058"/>
      <c r="ABU153" s="1059"/>
      <c r="ABV153" s="1058"/>
      <c r="ABW153" s="1059"/>
      <c r="ABX153" s="1058"/>
      <c r="ABY153" s="1059"/>
      <c r="ABZ153" s="1058"/>
      <c r="ACA153" s="1059"/>
      <c r="ACB153" s="1058"/>
      <c r="ACC153" s="1059"/>
      <c r="ACD153" s="1058"/>
      <c r="ACE153" s="1059"/>
      <c r="ACF153" s="1058"/>
      <c r="ACG153" s="1059"/>
      <c r="ACH153" s="1058"/>
      <c r="ACI153" s="1059"/>
      <c r="ACJ153" s="1058"/>
      <c r="ACK153" s="1059"/>
      <c r="ACL153" s="1058"/>
      <c r="ACM153" s="1059"/>
      <c r="ACN153" s="1058"/>
      <c r="ACO153" s="1059"/>
      <c r="ACP153" s="1058"/>
      <c r="ACQ153" s="1059"/>
      <c r="ACR153" s="1058"/>
      <c r="ACS153" s="1059"/>
      <c r="ACT153" s="1058"/>
      <c r="ACU153" s="1059"/>
      <c r="ACV153" s="1058"/>
      <c r="ACW153" s="1059"/>
      <c r="ACX153" s="1058"/>
      <c r="ACY153" s="1059"/>
      <c r="ACZ153" s="1058"/>
      <c r="ADA153" s="1059"/>
      <c r="ADB153" s="1058"/>
      <c r="ADC153" s="1059"/>
      <c r="ADD153" s="1058"/>
      <c r="ADE153" s="1059"/>
      <c r="ADF153" s="1058"/>
      <c r="ADG153" s="1059"/>
      <c r="ADH153" s="1058"/>
      <c r="ADI153" s="1059"/>
      <c r="ADJ153" s="1058"/>
      <c r="ADK153" s="1059"/>
      <c r="ADL153" s="1058"/>
      <c r="ADM153" s="1059"/>
      <c r="ADN153" s="1058"/>
      <c r="ADO153" s="1059"/>
      <c r="ADP153" s="1058"/>
      <c r="ADQ153" s="1059"/>
      <c r="ADR153" s="1058"/>
      <c r="ADS153" s="1059"/>
      <c r="ADT153" s="1058"/>
      <c r="ADU153" s="1059"/>
      <c r="ADV153" s="1058"/>
      <c r="ADW153" s="1059"/>
      <c r="ADX153" s="1058"/>
      <c r="ADY153" s="1059"/>
      <c r="ADZ153" s="1058"/>
      <c r="AEA153" s="1059"/>
      <c r="AEB153" s="1058"/>
      <c r="AEC153" s="1059"/>
      <c r="AED153" s="1058"/>
      <c r="AEE153" s="1059"/>
      <c r="AEF153" s="1058"/>
      <c r="AEG153" s="1059"/>
      <c r="AEH153" s="1058"/>
      <c r="AEI153" s="1059"/>
      <c r="AEJ153" s="1058"/>
      <c r="AEK153" s="1059"/>
      <c r="AEL153" s="1058"/>
      <c r="AEM153" s="1059"/>
      <c r="AEN153" s="1058"/>
      <c r="AEO153" s="1059"/>
      <c r="AEP153" s="1058"/>
      <c r="AEQ153" s="1059"/>
      <c r="AER153" s="1058"/>
      <c r="AES153" s="1059"/>
      <c r="AET153" s="1058"/>
      <c r="AEU153" s="1059"/>
      <c r="AEV153" s="1058"/>
      <c r="AEW153" s="1059"/>
      <c r="AEX153" s="1058"/>
      <c r="AEY153" s="1059"/>
      <c r="AEZ153" s="1058"/>
      <c r="AFA153" s="1059"/>
      <c r="AFB153" s="1058"/>
      <c r="AFC153" s="1059"/>
      <c r="AFD153" s="1058"/>
      <c r="AFE153" s="1059"/>
      <c r="AFF153" s="1058"/>
      <c r="AFG153" s="1059"/>
      <c r="AFH153" s="1058"/>
      <c r="AFI153" s="1059"/>
      <c r="AFJ153" s="1058"/>
      <c r="AFK153" s="1059"/>
      <c r="AFL153" s="1058"/>
      <c r="AFM153" s="1059"/>
      <c r="AFN153" s="1058"/>
      <c r="AFO153" s="1059"/>
      <c r="AFP153" s="1058"/>
      <c r="AFQ153" s="1059"/>
      <c r="AFR153" s="1058"/>
      <c r="AFS153" s="1059"/>
      <c r="AFT153" s="1058"/>
      <c r="AFU153" s="1059"/>
      <c r="AFV153" s="1058"/>
      <c r="AFW153" s="1059"/>
      <c r="AFX153" s="1058"/>
      <c r="AFY153" s="1059"/>
      <c r="AFZ153" s="1058"/>
      <c r="AGA153" s="1059"/>
      <c r="AGB153" s="1058"/>
      <c r="AGC153" s="1059"/>
      <c r="AGD153" s="1058"/>
      <c r="AGE153" s="1059"/>
      <c r="AGF153" s="1058"/>
      <c r="AGG153" s="1059"/>
      <c r="AGH153" s="1058"/>
      <c r="AGI153" s="1059"/>
      <c r="AGJ153" s="1058"/>
      <c r="AGK153" s="1059"/>
      <c r="AGL153" s="1058"/>
      <c r="AGM153" s="1059"/>
      <c r="AGN153" s="1058"/>
      <c r="AGO153" s="1059"/>
      <c r="AGP153" s="1058"/>
      <c r="AGQ153" s="1059"/>
      <c r="AGR153" s="1058"/>
      <c r="AGS153" s="1059"/>
      <c r="AGT153" s="1058"/>
      <c r="AGU153" s="1059"/>
      <c r="AGV153" s="1058"/>
      <c r="AGW153" s="1059"/>
      <c r="AGX153" s="1058"/>
      <c r="AGY153" s="1059"/>
      <c r="AGZ153" s="1058"/>
      <c r="AHA153" s="1059"/>
      <c r="AHB153" s="1058"/>
      <c r="AHC153" s="1059"/>
      <c r="AHD153" s="1058"/>
      <c r="AHE153" s="1059"/>
      <c r="AHF153" s="1058"/>
      <c r="AHG153" s="1059"/>
      <c r="AHH153" s="1058"/>
      <c r="AHI153" s="1059"/>
      <c r="AHJ153" s="1058"/>
      <c r="AHK153" s="1059"/>
      <c r="AHL153" s="1058"/>
      <c r="AHM153" s="1059"/>
      <c r="AHN153" s="1058"/>
      <c r="AHO153" s="1059"/>
      <c r="AHP153" s="1058"/>
      <c r="AHQ153" s="1059"/>
      <c r="AHR153" s="1058"/>
      <c r="AHS153" s="1059"/>
      <c r="AHT153" s="1058"/>
      <c r="AHU153" s="1059"/>
      <c r="AHV153" s="1058"/>
      <c r="AHW153" s="1059"/>
      <c r="AHX153" s="1058"/>
      <c r="AHY153" s="1059"/>
      <c r="AHZ153" s="1058"/>
      <c r="AIA153" s="1059"/>
      <c r="AIB153" s="1058"/>
      <c r="AIC153" s="1059"/>
      <c r="AID153" s="1058"/>
      <c r="AIE153" s="1059"/>
      <c r="AIF153" s="1058"/>
      <c r="AIG153" s="1059"/>
      <c r="AIH153" s="1058"/>
      <c r="AII153" s="1059"/>
      <c r="AIJ153" s="1058"/>
      <c r="AIK153" s="1059"/>
      <c r="AIL153" s="1058"/>
      <c r="AIM153" s="1059"/>
      <c r="AIN153" s="1058"/>
      <c r="AIO153" s="1059"/>
      <c r="AIP153" s="1058"/>
      <c r="AIQ153" s="1059"/>
      <c r="AIR153" s="1058"/>
      <c r="AIS153" s="1059"/>
      <c r="AIT153" s="1058"/>
      <c r="AIU153" s="1059"/>
      <c r="AIV153" s="1058"/>
      <c r="AIW153" s="1059"/>
      <c r="AIX153" s="1058"/>
      <c r="AIY153" s="1059"/>
      <c r="AIZ153" s="1058"/>
      <c r="AJA153" s="1059"/>
      <c r="AJB153" s="1058"/>
      <c r="AJC153" s="1059"/>
      <c r="AJD153" s="1058"/>
      <c r="AJE153" s="1059"/>
      <c r="AJF153" s="1058"/>
      <c r="AJG153" s="1059"/>
      <c r="AJH153" s="1058"/>
      <c r="AJI153" s="1059"/>
      <c r="AJJ153" s="1058"/>
      <c r="AJK153" s="1059"/>
      <c r="AJL153" s="1058"/>
      <c r="AJM153" s="1059"/>
      <c r="AJN153" s="1058"/>
      <c r="AJO153" s="1059"/>
      <c r="AJP153" s="1058"/>
      <c r="AJQ153" s="1059"/>
      <c r="AJR153" s="1058"/>
      <c r="AJS153" s="1059"/>
      <c r="AJT153" s="1058"/>
      <c r="AJU153" s="1059"/>
      <c r="AJV153" s="1058"/>
      <c r="AJW153" s="1059"/>
      <c r="AJX153" s="1058"/>
      <c r="AJY153" s="1059"/>
      <c r="AJZ153" s="1058"/>
      <c r="AKA153" s="1059"/>
      <c r="AKB153" s="1058"/>
      <c r="AKC153" s="1059"/>
      <c r="AKD153" s="1058"/>
      <c r="AKE153" s="1059"/>
      <c r="AKF153" s="1058"/>
      <c r="AKG153" s="1059"/>
      <c r="AKH153" s="1058"/>
      <c r="AKI153" s="1059"/>
      <c r="AKJ153" s="1058"/>
      <c r="AKK153" s="1059"/>
      <c r="AKL153" s="1058"/>
      <c r="AKM153" s="1059"/>
      <c r="AKN153" s="1058"/>
      <c r="AKO153" s="1059"/>
      <c r="AKP153" s="1058"/>
      <c r="AKQ153" s="1059"/>
      <c r="AKR153" s="1058"/>
      <c r="AKS153" s="1059"/>
      <c r="AKT153" s="1058"/>
      <c r="AKU153" s="1059"/>
      <c r="AKV153" s="1058"/>
      <c r="AKW153" s="1059"/>
      <c r="AKX153" s="1058"/>
      <c r="AKY153" s="1059"/>
      <c r="AKZ153" s="1058"/>
      <c r="ALA153" s="1059"/>
      <c r="ALB153" s="1058"/>
      <c r="ALC153" s="1059"/>
      <c r="ALD153" s="1058"/>
      <c r="ALE153" s="1059"/>
      <c r="ALF153" s="1058"/>
      <c r="ALG153" s="1059"/>
      <c r="ALH153" s="1058"/>
      <c r="ALI153" s="1059"/>
      <c r="ALJ153" s="1058"/>
      <c r="ALK153" s="1059"/>
      <c r="ALL153" s="1058"/>
      <c r="ALM153" s="1059"/>
      <c r="ALN153" s="1058"/>
      <c r="ALO153" s="1059"/>
      <c r="ALP153" s="1058"/>
      <c r="ALQ153" s="1059"/>
      <c r="ALR153" s="1058"/>
      <c r="ALS153" s="1059"/>
      <c r="ALT153" s="1058"/>
      <c r="ALU153" s="1059"/>
      <c r="ALV153" s="1058"/>
      <c r="ALW153" s="1059"/>
      <c r="ALX153" s="1058"/>
      <c r="ALY153" s="1059"/>
      <c r="ALZ153" s="1058"/>
      <c r="AMA153" s="1059"/>
      <c r="AMB153" s="1058"/>
      <c r="AMC153" s="1059"/>
      <c r="AMD153" s="1058"/>
      <c r="AME153" s="1059"/>
      <c r="AMF153" s="1058"/>
      <c r="AMG153" s="1059"/>
      <c r="AMH153" s="1058"/>
      <c r="AMI153" s="1059"/>
      <c r="AMJ153" s="1058"/>
      <c r="AMK153" s="1059"/>
      <c r="AML153" s="1058"/>
      <c r="AMM153" s="1059"/>
      <c r="AMN153" s="1058"/>
      <c r="AMO153" s="1059"/>
      <c r="AMP153" s="1058"/>
      <c r="AMQ153" s="1059"/>
      <c r="AMR153" s="1058"/>
      <c r="AMS153" s="1059"/>
      <c r="AMT153" s="1058"/>
      <c r="AMU153" s="1059"/>
      <c r="AMV153" s="1058"/>
      <c r="AMW153" s="1059"/>
      <c r="AMX153" s="1058"/>
      <c r="AMY153" s="1059"/>
      <c r="AMZ153" s="1058"/>
      <c r="ANA153" s="1059"/>
      <c r="ANB153" s="1058"/>
      <c r="ANC153" s="1059"/>
      <c r="AND153" s="1058"/>
      <c r="ANE153" s="1059"/>
      <c r="ANF153" s="1058"/>
      <c r="ANG153" s="1059"/>
      <c r="ANH153" s="1058"/>
      <c r="ANI153" s="1059"/>
      <c r="ANJ153" s="1058"/>
      <c r="ANK153" s="1059"/>
      <c r="ANL153" s="1058"/>
      <c r="ANM153" s="1059"/>
      <c r="ANN153" s="1058"/>
      <c r="ANO153" s="1059"/>
      <c r="ANP153" s="1058"/>
      <c r="ANQ153" s="1059"/>
      <c r="ANR153" s="1058"/>
      <c r="ANS153" s="1059"/>
      <c r="ANT153" s="1058"/>
      <c r="ANU153" s="1059"/>
      <c r="ANV153" s="1058"/>
      <c r="ANW153" s="1059"/>
      <c r="ANX153" s="1058"/>
      <c r="ANY153" s="1059"/>
      <c r="ANZ153" s="1058"/>
      <c r="AOA153" s="1059"/>
      <c r="AOB153" s="1058"/>
      <c r="AOC153" s="1059"/>
      <c r="AOD153" s="1058"/>
      <c r="AOE153" s="1059"/>
      <c r="AOF153" s="1058"/>
      <c r="AOG153" s="1059"/>
      <c r="AOH153" s="1058"/>
      <c r="AOI153" s="1059"/>
      <c r="AOJ153" s="1058"/>
      <c r="AOK153" s="1059"/>
      <c r="AOL153" s="1058"/>
      <c r="AOM153" s="1059"/>
      <c r="AON153" s="1058"/>
      <c r="AOO153" s="1059"/>
      <c r="AOP153" s="1058"/>
      <c r="AOQ153" s="1059"/>
      <c r="AOR153" s="1058"/>
      <c r="AOS153" s="1059"/>
      <c r="AOT153" s="1058"/>
      <c r="AOU153" s="1059"/>
      <c r="AOV153" s="1058"/>
      <c r="AOW153" s="1059"/>
      <c r="AOX153" s="1058"/>
      <c r="AOY153" s="1059"/>
      <c r="AOZ153" s="1058"/>
      <c r="APA153" s="1059"/>
      <c r="APB153" s="1058"/>
      <c r="APC153" s="1059"/>
      <c r="APD153" s="1058"/>
      <c r="APE153" s="1059"/>
      <c r="APF153" s="1058"/>
      <c r="APG153" s="1059"/>
      <c r="APH153" s="1058"/>
      <c r="API153" s="1059"/>
      <c r="APJ153" s="1058"/>
      <c r="APK153" s="1059"/>
      <c r="APL153" s="1058"/>
      <c r="APM153" s="1059"/>
      <c r="APN153" s="1058"/>
      <c r="APO153" s="1059"/>
      <c r="APP153" s="1058"/>
      <c r="APQ153" s="1059"/>
      <c r="APR153" s="1058"/>
      <c r="APS153" s="1059"/>
      <c r="APT153" s="1058"/>
      <c r="APU153" s="1059"/>
      <c r="APV153" s="1058"/>
      <c r="APW153" s="1059"/>
      <c r="APX153" s="1058"/>
      <c r="APY153" s="1059"/>
      <c r="APZ153" s="1058"/>
      <c r="AQA153" s="1059"/>
      <c r="AQB153" s="1058"/>
      <c r="AQC153" s="1059"/>
      <c r="AQD153" s="1058"/>
      <c r="AQE153" s="1059"/>
      <c r="AQF153" s="1058"/>
      <c r="AQG153" s="1059"/>
      <c r="AQH153" s="1058"/>
      <c r="AQI153" s="1059"/>
      <c r="AQJ153" s="1058"/>
      <c r="AQK153" s="1059"/>
      <c r="AQL153" s="1058"/>
      <c r="AQM153" s="1059"/>
      <c r="AQN153" s="1058"/>
      <c r="AQO153" s="1059"/>
      <c r="AQP153" s="1058"/>
      <c r="AQQ153" s="1059"/>
      <c r="AQR153" s="1058"/>
      <c r="AQS153" s="1059"/>
      <c r="AQT153" s="1058"/>
      <c r="AQU153" s="1059"/>
      <c r="AQV153" s="1058"/>
      <c r="AQW153" s="1059"/>
      <c r="AQX153" s="1058"/>
      <c r="AQY153" s="1059"/>
      <c r="AQZ153" s="1058"/>
      <c r="ARA153" s="1059"/>
      <c r="ARB153" s="1058"/>
      <c r="ARC153" s="1059"/>
      <c r="ARD153" s="1058"/>
      <c r="ARE153" s="1059"/>
      <c r="ARF153" s="1058"/>
      <c r="ARG153" s="1059"/>
      <c r="ARH153" s="1058"/>
      <c r="ARI153" s="1059"/>
      <c r="ARJ153" s="1058"/>
      <c r="ARK153" s="1059"/>
      <c r="ARL153" s="1058"/>
      <c r="ARM153" s="1059"/>
      <c r="ARN153" s="1058"/>
      <c r="ARO153" s="1059"/>
      <c r="ARP153" s="1058"/>
      <c r="ARQ153" s="1059"/>
      <c r="ARR153" s="1058"/>
      <c r="ARS153" s="1059"/>
      <c r="ART153" s="1058"/>
      <c r="ARU153" s="1059"/>
      <c r="ARV153" s="1058"/>
      <c r="ARW153" s="1059"/>
      <c r="ARX153" s="1058"/>
      <c r="ARY153" s="1059"/>
      <c r="ARZ153" s="1058"/>
      <c r="ASA153" s="1059"/>
      <c r="ASB153" s="1058"/>
      <c r="ASC153" s="1059"/>
      <c r="ASD153" s="1058"/>
      <c r="ASE153" s="1059"/>
      <c r="ASF153" s="1058"/>
      <c r="ASG153" s="1059"/>
      <c r="ASH153" s="1058"/>
      <c r="ASI153" s="1059"/>
      <c r="ASJ153" s="1058"/>
      <c r="ASK153" s="1059"/>
      <c r="ASL153" s="1058"/>
      <c r="ASM153" s="1059"/>
      <c r="ASN153" s="1058"/>
      <c r="ASO153" s="1059"/>
      <c r="ASP153" s="1058"/>
      <c r="ASQ153" s="1059"/>
      <c r="ASR153" s="1058"/>
      <c r="ASS153" s="1059"/>
      <c r="AST153" s="1058"/>
      <c r="ASU153" s="1059"/>
      <c r="ASV153" s="1058"/>
      <c r="ASW153" s="1059"/>
      <c r="ASX153" s="1058"/>
      <c r="ASY153" s="1059"/>
      <c r="ASZ153" s="1058"/>
      <c r="ATA153" s="1059"/>
      <c r="ATB153" s="1058"/>
      <c r="ATC153" s="1059"/>
      <c r="ATD153" s="1058"/>
      <c r="ATE153" s="1059"/>
      <c r="ATF153" s="1058"/>
      <c r="ATG153" s="1059"/>
      <c r="ATH153" s="1058"/>
      <c r="ATI153" s="1059"/>
      <c r="ATJ153" s="1058"/>
      <c r="ATK153" s="1059"/>
      <c r="ATL153" s="1058"/>
      <c r="ATM153" s="1059"/>
      <c r="ATN153" s="1058"/>
      <c r="ATO153" s="1059"/>
      <c r="ATP153" s="1058"/>
      <c r="ATQ153" s="1059"/>
      <c r="ATR153" s="1058"/>
      <c r="ATS153" s="1059"/>
      <c r="ATT153" s="1058"/>
      <c r="ATU153" s="1059"/>
      <c r="ATV153" s="1058"/>
      <c r="ATW153" s="1059"/>
      <c r="ATX153" s="1058"/>
      <c r="ATY153" s="1059"/>
      <c r="ATZ153" s="1058"/>
      <c r="AUA153" s="1059"/>
      <c r="AUB153" s="1058"/>
      <c r="AUC153" s="1059"/>
      <c r="AUD153" s="1058"/>
      <c r="AUE153" s="1059"/>
      <c r="AUF153" s="1058"/>
      <c r="AUG153" s="1059"/>
      <c r="AUH153" s="1058"/>
      <c r="AUI153" s="1059"/>
      <c r="AUJ153" s="1058"/>
      <c r="AUK153" s="1059"/>
      <c r="AUL153" s="1058"/>
      <c r="AUM153" s="1059"/>
      <c r="AUN153" s="1058"/>
      <c r="AUO153" s="1059"/>
      <c r="AUP153" s="1058"/>
      <c r="AUQ153" s="1059"/>
      <c r="AUR153" s="1058"/>
      <c r="AUS153" s="1059"/>
      <c r="AUT153" s="1058"/>
      <c r="AUU153" s="1059"/>
      <c r="AUV153" s="1058"/>
      <c r="AUW153" s="1059"/>
      <c r="AUX153" s="1058"/>
      <c r="AUY153" s="1059"/>
      <c r="AUZ153" s="1058"/>
      <c r="AVA153" s="1059"/>
      <c r="AVB153" s="1058"/>
      <c r="AVC153" s="1059"/>
      <c r="AVD153" s="1058"/>
      <c r="AVE153" s="1059"/>
      <c r="AVF153" s="1058"/>
      <c r="AVG153" s="1059"/>
      <c r="AVH153" s="1058"/>
      <c r="AVI153" s="1059"/>
      <c r="AVJ153" s="1058"/>
      <c r="AVK153" s="1059"/>
      <c r="AVL153" s="1058"/>
      <c r="AVM153" s="1059"/>
      <c r="AVN153" s="1058"/>
      <c r="AVO153" s="1059"/>
      <c r="AVP153" s="1058"/>
      <c r="AVQ153" s="1059"/>
      <c r="AVR153" s="1058"/>
      <c r="AVS153" s="1059"/>
      <c r="AVT153" s="1058"/>
      <c r="AVU153" s="1059"/>
      <c r="AVV153" s="1058"/>
      <c r="AVW153" s="1059"/>
      <c r="AVX153" s="1058"/>
      <c r="AVY153" s="1059"/>
      <c r="AVZ153" s="1058"/>
      <c r="AWA153" s="1059"/>
      <c r="AWB153" s="1058"/>
      <c r="AWC153" s="1059"/>
      <c r="AWD153" s="1058"/>
      <c r="AWE153" s="1059"/>
      <c r="AWF153" s="1058"/>
      <c r="AWG153" s="1059"/>
      <c r="AWH153" s="1058"/>
      <c r="AWI153" s="1059"/>
      <c r="AWJ153" s="1058"/>
      <c r="AWK153" s="1059"/>
      <c r="AWL153" s="1058"/>
      <c r="AWM153" s="1059"/>
      <c r="AWN153" s="1058"/>
      <c r="AWO153" s="1059"/>
      <c r="AWP153" s="1058"/>
      <c r="AWQ153" s="1059"/>
      <c r="AWR153" s="1058"/>
      <c r="AWS153" s="1059"/>
      <c r="AWT153" s="1058"/>
      <c r="AWU153" s="1059"/>
      <c r="AWV153" s="1058"/>
      <c r="AWW153" s="1059"/>
      <c r="AWX153" s="1058"/>
      <c r="AWY153" s="1059"/>
      <c r="AWZ153" s="1058"/>
      <c r="AXA153" s="1059"/>
      <c r="AXB153" s="1058"/>
      <c r="AXC153" s="1059"/>
      <c r="AXD153" s="1058"/>
      <c r="AXE153" s="1059"/>
      <c r="AXF153" s="1058"/>
      <c r="AXG153" s="1059"/>
      <c r="AXH153" s="1058"/>
      <c r="AXI153" s="1059"/>
      <c r="AXJ153" s="1058"/>
      <c r="AXK153" s="1059"/>
      <c r="AXL153" s="1058"/>
      <c r="AXM153" s="1059"/>
      <c r="AXN153" s="1058"/>
      <c r="AXO153" s="1059"/>
      <c r="AXP153" s="1058"/>
      <c r="AXQ153" s="1059"/>
      <c r="AXR153" s="1058"/>
      <c r="AXS153" s="1059"/>
      <c r="AXT153" s="1058"/>
      <c r="AXU153" s="1059"/>
      <c r="AXV153" s="1058"/>
      <c r="AXW153" s="1059"/>
      <c r="AXX153" s="1058"/>
      <c r="AXY153" s="1059"/>
      <c r="AXZ153" s="1058"/>
      <c r="AYA153" s="1059"/>
      <c r="AYB153" s="1058"/>
      <c r="AYC153" s="1059"/>
      <c r="AYD153" s="1058"/>
      <c r="AYE153" s="1059"/>
      <c r="AYF153" s="1058"/>
      <c r="AYG153" s="1059"/>
      <c r="AYH153" s="1058"/>
      <c r="AYI153" s="1059"/>
      <c r="AYJ153" s="1058"/>
      <c r="AYK153" s="1059"/>
      <c r="AYL153" s="1058"/>
      <c r="AYM153" s="1059"/>
      <c r="AYN153" s="1058"/>
      <c r="AYO153" s="1059"/>
      <c r="AYP153" s="1058"/>
      <c r="AYQ153" s="1059"/>
      <c r="AYR153" s="1058"/>
      <c r="AYS153" s="1059"/>
      <c r="AYT153" s="1058"/>
      <c r="AYU153" s="1059"/>
      <c r="AYV153" s="1058"/>
      <c r="AYW153" s="1059"/>
      <c r="AYX153" s="1058"/>
      <c r="AYY153" s="1059"/>
      <c r="AYZ153" s="1058"/>
      <c r="AZA153" s="1059"/>
      <c r="AZB153" s="1058"/>
      <c r="AZC153" s="1059"/>
      <c r="AZD153" s="1058"/>
      <c r="AZE153" s="1059"/>
      <c r="AZF153" s="1058"/>
      <c r="AZG153" s="1059"/>
      <c r="AZH153" s="1058"/>
      <c r="AZI153" s="1059"/>
      <c r="AZJ153" s="1058"/>
      <c r="AZK153" s="1059"/>
      <c r="AZL153" s="1058"/>
      <c r="AZM153" s="1059"/>
      <c r="AZN153" s="1058"/>
      <c r="AZO153" s="1059"/>
      <c r="AZP153" s="1058"/>
      <c r="AZQ153" s="1059"/>
      <c r="AZR153" s="1058"/>
      <c r="AZS153" s="1059"/>
      <c r="AZT153" s="1058"/>
      <c r="AZU153" s="1059"/>
      <c r="AZV153" s="1058"/>
      <c r="AZW153" s="1059"/>
      <c r="AZX153" s="1058"/>
      <c r="AZY153" s="1059"/>
      <c r="AZZ153" s="1058"/>
      <c r="BAA153" s="1059"/>
      <c r="BAB153" s="1058"/>
      <c r="BAC153" s="1059"/>
      <c r="BAD153" s="1058"/>
      <c r="BAE153" s="1059"/>
      <c r="BAF153" s="1058"/>
      <c r="BAG153" s="1059"/>
      <c r="BAH153" s="1058"/>
      <c r="BAI153" s="1059"/>
      <c r="BAJ153" s="1058"/>
      <c r="BAK153" s="1059"/>
      <c r="BAL153" s="1058"/>
      <c r="BAM153" s="1059"/>
      <c r="BAN153" s="1058"/>
      <c r="BAO153" s="1059"/>
      <c r="BAP153" s="1058"/>
      <c r="BAQ153" s="1059"/>
      <c r="BAR153" s="1058"/>
      <c r="BAS153" s="1059"/>
      <c r="BAT153" s="1058"/>
      <c r="BAU153" s="1059"/>
      <c r="BAV153" s="1058"/>
      <c r="BAW153" s="1059"/>
      <c r="BAX153" s="1058"/>
      <c r="BAY153" s="1059"/>
      <c r="BAZ153" s="1058"/>
      <c r="BBA153" s="1059"/>
      <c r="BBB153" s="1058"/>
      <c r="BBC153" s="1059"/>
      <c r="BBD153" s="1058"/>
      <c r="BBE153" s="1059"/>
      <c r="BBF153" s="1058"/>
      <c r="BBG153" s="1059"/>
      <c r="BBH153" s="1058"/>
      <c r="BBI153" s="1059"/>
      <c r="BBJ153" s="1058"/>
      <c r="BBK153" s="1059"/>
      <c r="BBL153" s="1058"/>
      <c r="BBM153" s="1059"/>
      <c r="BBN153" s="1058"/>
      <c r="BBO153" s="1059"/>
      <c r="BBP153" s="1058"/>
      <c r="BBQ153" s="1059"/>
      <c r="BBR153" s="1058"/>
      <c r="BBS153" s="1059"/>
      <c r="BBT153" s="1058"/>
      <c r="BBU153" s="1059"/>
      <c r="BBV153" s="1058"/>
      <c r="BBW153" s="1059"/>
      <c r="BBX153" s="1058"/>
      <c r="BBY153" s="1059"/>
      <c r="BBZ153" s="1058"/>
      <c r="BCA153" s="1059"/>
      <c r="BCB153" s="1058"/>
      <c r="BCC153" s="1059"/>
      <c r="BCD153" s="1058"/>
      <c r="BCE153" s="1059"/>
      <c r="BCF153" s="1058"/>
      <c r="BCG153" s="1059"/>
      <c r="BCH153" s="1058"/>
      <c r="BCI153" s="1059"/>
      <c r="BCJ153" s="1058"/>
      <c r="BCK153" s="1059"/>
      <c r="BCL153" s="1058"/>
      <c r="BCM153" s="1059"/>
      <c r="BCN153" s="1058"/>
      <c r="BCO153" s="1059"/>
      <c r="BCP153" s="1058"/>
      <c r="BCQ153" s="1059"/>
      <c r="BCR153" s="1058"/>
      <c r="BCS153" s="1059"/>
      <c r="BCT153" s="1058"/>
      <c r="BCU153" s="1059"/>
      <c r="BCV153" s="1058"/>
      <c r="BCW153" s="1059"/>
      <c r="BCX153" s="1058"/>
      <c r="BCY153" s="1059"/>
      <c r="BCZ153" s="1058"/>
      <c r="BDA153" s="1059"/>
      <c r="BDB153" s="1058"/>
      <c r="BDC153" s="1059"/>
      <c r="BDD153" s="1058"/>
      <c r="BDE153" s="1059"/>
      <c r="BDF153" s="1058"/>
      <c r="BDG153" s="1059"/>
      <c r="BDH153" s="1058"/>
      <c r="BDI153" s="1059"/>
      <c r="BDJ153" s="1058"/>
      <c r="BDK153" s="1059"/>
      <c r="BDL153" s="1058"/>
      <c r="BDM153" s="1059"/>
      <c r="BDN153" s="1058"/>
      <c r="BDO153" s="1059"/>
      <c r="BDP153" s="1058"/>
      <c r="BDQ153" s="1059"/>
      <c r="BDR153" s="1058"/>
      <c r="BDS153" s="1059"/>
      <c r="BDT153" s="1058"/>
      <c r="BDU153" s="1059"/>
      <c r="BDV153" s="1058"/>
      <c r="BDW153" s="1059"/>
      <c r="BDX153" s="1058"/>
      <c r="BDY153" s="1059"/>
      <c r="BDZ153" s="1058"/>
      <c r="BEA153" s="1059"/>
      <c r="BEB153" s="1058"/>
      <c r="BEC153" s="1059"/>
      <c r="BED153" s="1058"/>
      <c r="BEE153" s="1059"/>
      <c r="BEF153" s="1058"/>
      <c r="BEG153" s="1059"/>
      <c r="BEH153" s="1058"/>
      <c r="BEI153" s="1059"/>
      <c r="BEJ153" s="1058"/>
      <c r="BEK153" s="1059"/>
      <c r="BEL153" s="1058"/>
      <c r="BEM153" s="1059"/>
      <c r="BEN153" s="1058"/>
      <c r="BEO153" s="1059"/>
      <c r="BEP153" s="1058"/>
      <c r="BEQ153" s="1059"/>
      <c r="BER153" s="1058"/>
      <c r="BES153" s="1059"/>
      <c r="BET153" s="1058"/>
      <c r="BEU153" s="1059"/>
      <c r="BEV153" s="1058"/>
      <c r="BEW153" s="1059"/>
      <c r="BEX153" s="1058"/>
      <c r="BEY153" s="1059"/>
      <c r="BEZ153" s="1058"/>
      <c r="BFA153" s="1059"/>
      <c r="BFB153" s="1058"/>
      <c r="BFC153" s="1059"/>
      <c r="BFD153" s="1058"/>
      <c r="BFE153" s="1059"/>
      <c r="BFF153" s="1058"/>
      <c r="BFG153" s="1059"/>
      <c r="BFH153" s="1058"/>
      <c r="BFI153" s="1059"/>
      <c r="BFJ153" s="1058"/>
      <c r="BFK153" s="1059"/>
      <c r="BFL153" s="1058"/>
      <c r="BFM153" s="1059"/>
      <c r="BFN153" s="1058"/>
      <c r="BFO153" s="1059"/>
      <c r="BFP153" s="1058"/>
      <c r="BFQ153" s="1059"/>
      <c r="BFR153" s="1058"/>
      <c r="BFS153" s="1059"/>
      <c r="BFT153" s="1058"/>
      <c r="BFU153" s="1059"/>
      <c r="BFV153" s="1058"/>
      <c r="BFW153" s="1059"/>
      <c r="BFX153" s="1058"/>
      <c r="BFY153" s="1059"/>
      <c r="BFZ153" s="1058"/>
      <c r="BGA153" s="1059"/>
      <c r="BGB153" s="1058"/>
      <c r="BGC153" s="1059"/>
      <c r="BGD153" s="1058"/>
      <c r="BGE153" s="1059"/>
      <c r="BGF153" s="1058"/>
      <c r="BGG153" s="1059"/>
      <c r="BGH153" s="1058"/>
      <c r="BGI153" s="1059"/>
      <c r="BGJ153" s="1058"/>
      <c r="BGK153" s="1059"/>
      <c r="BGL153" s="1058"/>
      <c r="BGM153" s="1059"/>
      <c r="BGN153" s="1058"/>
      <c r="BGO153" s="1059"/>
      <c r="BGP153" s="1058"/>
      <c r="BGQ153" s="1059"/>
      <c r="BGR153" s="1058"/>
      <c r="BGS153" s="1059"/>
      <c r="BGT153" s="1058"/>
      <c r="BGU153" s="1059"/>
      <c r="BGV153" s="1058"/>
      <c r="BGW153" s="1059"/>
      <c r="BGX153" s="1058"/>
      <c r="BGY153" s="1059"/>
      <c r="BGZ153" s="1058"/>
      <c r="BHA153" s="1059"/>
      <c r="BHB153" s="1058"/>
      <c r="BHC153" s="1059"/>
      <c r="BHD153" s="1058"/>
      <c r="BHE153" s="1059"/>
      <c r="BHF153" s="1058"/>
      <c r="BHG153" s="1059"/>
      <c r="BHH153" s="1058"/>
      <c r="BHI153" s="1059"/>
      <c r="BHJ153" s="1058"/>
      <c r="BHK153" s="1059"/>
      <c r="BHL153" s="1058"/>
      <c r="BHM153" s="1059"/>
      <c r="BHN153" s="1058"/>
      <c r="BHO153" s="1059"/>
      <c r="BHP153" s="1058"/>
      <c r="BHQ153" s="1059"/>
      <c r="BHR153" s="1058"/>
      <c r="BHS153" s="1059"/>
      <c r="BHT153" s="1058"/>
      <c r="BHU153" s="1059"/>
      <c r="BHV153" s="1058"/>
      <c r="BHW153" s="1059"/>
      <c r="BHX153" s="1058"/>
      <c r="BHY153" s="1059"/>
      <c r="BHZ153" s="1058"/>
      <c r="BIA153" s="1059"/>
      <c r="BIB153" s="1058"/>
      <c r="BIC153" s="1059"/>
      <c r="BID153" s="1058"/>
      <c r="BIE153" s="1059"/>
      <c r="BIF153" s="1058"/>
      <c r="BIG153" s="1059"/>
      <c r="BIH153" s="1058"/>
      <c r="BII153" s="1059"/>
      <c r="BIJ153" s="1058"/>
      <c r="BIK153" s="1059"/>
      <c r="BIL153" s="1058"/>
      <c r="BIM153" s="1059"/>
      <c r="BIN153" s="1058"/>
      <c r="BIO153" s="1059"/>
      <c r="BIP153" s="1058"/>
      <c r="BIQ153" s="1059"/>
      <c r="BIR153" s="1058"/>
      <c r="BIS153" s="1059"/>
      <c r="BIT153" s="1058"/>
      <c r="BIU153" s="1059"/>
      <c r="BIV153" s="1058"/>
      <c r="BIW153" s="1059"/>
      <c r="BIX153" s="1058"/>
      <c r="BIY153" s="1059"/>
      <c r="BIZ153" s="1058"/>
      <c r="BJA153" s="1059"/>
      <c r="BJB153" s="1058"/>
      <c r="BJC153" s="1059"/>
      <c r="BJD153" s="1058"/>
      <c r="BJE153" s="1059"/>
      <c r="BJF153" s="1058"/>
      <c r="BJG153" s="1059"/>
      <c r="BJH153" s="1058"/>
      <c r="BJI153" s="1059"/>
      <c r="BJJ153" s="1058"/>
      <c r="BJK153" s="1059"/>
      <c r="BJL153" s="1058"/>
      <c r="BJM153" s="1059"/>
      <c r="BJN153" s="1058"/>
      <c r="BJO153" s="1059"/>
      <c r="BJP153" s="1058"/>
      <c r="BJQ153" s="1059"/>
      <c r="BJR153" s="1058"/>
      <c r="BJS153" s="1059"/>
      <c r="BJT153" s="1058"/>
      <c r="BJU153" s="1059"/>
      <c r="BJV153" s="1058"/>
      <c r="BJW153" s="1059"/>
      <c r="BJX153" s="1058"/>
      <c r="BJY153" s="1059"/>
      <c r="BJZ153" s="1058"/>
      <c r="BKA153" s="1059"/>
      <c r="BKB153" s="1058"/>
      <c r="BKC153" s="1059"/>
      <c r="BKD153" s="1058"/>
      <c r="BKE153" s="1059"/>
      <c r="BKF153" s="1058"/>
      <c r="BKG153" s="1059"/>
      <c r="BKH153" s="1058"/>
      <c r="BKI153" s="1059"/>
      <c r="BKJ153" s="1058"/>
      <c r="BKK153" s="1059"/>
      <c r="BKL153" s="1058"/>
      <c r="BKM153" s="1059"/>
      <c r="BKN153" s="1058"/>
      <c r="BKO153" s="1059"/>
      <c r="BKP153" s="1058"/>
      <c r="BKQ153" s="1059"/>
      <c r="BKR153" s="1058"/>
      <c r="BKS153" s="1059"/>
      <c r="BKT153" s="1058"/>
      <c r="BKU153" s="1059"/>
      <c r="BKV153" s="1058"/>
      <c r="BKW153" s="1059"/>
      <c r="BKX153" s="1058"/>
      <c r="BKY153" s="1059"/>
      <c r="BKZ153" s="1058"/>
      <c r="BLA153" s="1059"/>
      <c r="BLB153" s="1058"/>
      <c r="BLC153" s="1059"/>
      <c r="BLD153" s="1058"/>
      <c r="BLE153" s="1059"/>
      <c r="BLF153" s="1058"/>
      <c r="BLG153" s="1059"/>
      <c r="BLH153" s="1058"/>
      <c r="BLI153" s="1059"/>
      <c r="BLJ153" s="1058"/>
      <c r="BLK153" s="1059"/>
      <c r="BLL153" s="1058"/>
      <c r="BLM153" s="1059"/>
      <c r="BLN153" s="1058"/>
      <c r="BLO153" s="1059"/>
      <c r="BLP153" s="1058"/>
      <c r="BLQ153" s="1059"/>
      <c r="BLR153" s="1058"/>
      <c r="BLS153" s="1059"/>
      <c r="BLT153" s="1058"/>
      <c r="BLU153" s="1059"/>
      <c r="BLV153" s="1058"/>
      <c r="BLW153" s="1059"/>
      <c r="BLX153" s="1058"/>
      <c r="BLY153" s="1059"/>
      <c r="BLZ153" s="1058"/>
      <c r="BMA153" s="1059"/>
      <c r="BMB153" s="1058"/>
      <c r="BMC153" s="1059"/>
      <c r="BMD153" s="1058"/>
      <c r="BME153" s="1059"/>
      <c r="BMF153" s="1058"/>
      <c r="BMG153" s="1059"/>
      <c r="BMH153" s="1058"/>
      <c r="BMI153" s="1059"/>
      <c r="BMJ153" s="1058"/>
      <c r="BMK153" s="1059"/>
      <c r="BML153" s="1058"/>
      <c r="BMM153" s="1059"/>
      <c r="BMN153" s="1058"/>
      <c r="BMO153" s="1059"/>
      <c r="BMP153" s="1058"/>
      <c r="BMQ153" s="1059"/>
      <c r="BMR153" s="1058"/>
      <c r="BMS153" s="1059"/>
      <c r="BMT153" s="1058"/>
      <c r="BMU153" s="1059"/>
      <c r="BMV153" s="1058"/>
      <c r="BMW153" s="1059"/>
      <c r="BMX153" s="1058"/>
      <c r="BMY153" s="1059"/>
      <c r="BMZ153" s="1058"/>
      <c r="BNA153" s="1059"/>
      <c r="BNB153" s="1058"/>
      <c r="BNC153" s="1059"/>
      <c r="BND153" s="1058"/>
      <c r="BNE153" s="1059"/>
      <c r="BNF153" s="1058"/>
      <c r="BNG153" s="1059"/>
      <c r="BNH153" s="1058"/>
      <c r="BNI153" s="1059"/>
      <c r="BNJ153" s="1058"/>
      <c r="BNK153" s="1059"/>
      <c r="BNL153" s="1058"/>
      <c r="BNM153" s="1059"/>
      <c r="BNN153" s="1058"/>
      <c r="BNO153" s="1059"/>
      <c r="BNP153" s="1058"/>
      <c r="BNQ153" s="1059"/>
      <c r="BNR153" s="1058"/>
      <c r="BNS153" s="1059"/>
      <c r="BNT153" s="1058"/>
      <c r="BNU153" s="1059"/>
      <c r="BNV153" s="1058"/>
      <c r="BNW153" s="1059"/>
      <c r="BNX153" s="1058"/>
      <c r="BNY153" s="1059"/>
      <c r="BNZ153" s="1058"/>
      <c r="BOA153" s="1059"/>
      <c r="BOB153" s="1058"/>
      <c r="BOC153" s="1059"/>
      <c r="BOD153" s="1058"/>
      <c r="BOE153" s="1059"/>
      <c r="BOF153" s="1058"/>
      <c r="BOG153" s="1059"/>
      <c r="BOH153" s="1058"/>
      <c r="BOI153" s="1059"/>
      <c r="BOJ153" s="1058"/>
      <c r="BOK153" s="1059"/>
      <c r="BOL153" s="1058"/>
      <c r="BOM153" s="1059"/>
      <c r="BON153" s="1058"/>
      <c r="BOO153" s="1059"/>
      <c r="BOP153" s="1058"/>
      <c r="BOQ153" s="1059"/>
      <c r="BOR153" s="1058"/>
      <c r="BOS153" s="1059"/>
      <c r="BOT153" s="1058"/>
      <c r="BOU153" s="1059"/>
      <c r="BOV153" s="1058"/>
      <c r="BOW153" s="1059"/>
      <c r="BOX153" s="1058"/>
      <c r="BOY153" s="1059"/>
      <c r="BOZ153" s="1058"/>
      <c r="BPA153" s="1059"/>
      <c r="BPB153" s="1058"/>
      <c r="BPC153" s="1059"/>
      <c r="BPD153" s="1058"/>
      <c r="BPE153" s="1059"/>
      <c r="BPF153" s="1058"/>
      <c r="BPG153" s="1059"/>
      <c r="BPH153" s="1058"/>
      <c r="BPI153" s="1059"/>
      <c r="BPJ153" s="1058"/>
      <c r="BPK153" s="1059"/>
      <c r="BPL153" s="1058"/>
      <c r="BPM153" s="1059"/>
      <c r="BPN153" s="1058"/>
      <c r="BPO153" s="1059"/>
      <c r="BPP153" s="1058"/>
      <c r="BPQ153" s="1059"/>
      <c r="BPR153" s="1058"/>
      <c r="BPS153" s="1059"/>
      <c r="BPT153" s="1058"/>
      <c r="BPU153" s="1059"/>
      <c r="BPV153" s="1058"/>
      <c r="BPW153" s="1059"/>
      <c r="BPX153" s="1058"/>
      <c r="BPY153" s="1059"/>
      <c r="BPZ153" s="1058"/>
      <c r="BQA153" s="1059"/>
      <c r="BQB153" s="1058"/>
      <c r="BQC153" s="1059"/>
      <c r="BQD153" s="1058"/>
      <c r="BQE153" s="1059"/>
      <c r="BQF153" s="1058"/>
      <c r="BQG153" s="1059"/>
      <c r="BQH153" s="1058"/>
      <c r="BQI153" s="1059"/>
      <c r="BQJ153" s="1058"/>
      <c r="BQK153" s="1059"/>
      <c r="BQL153" s="1058"/>
      <c r="BQM153" s="1059"/>
      <c r="BQN153" s="1058"/>
      <c r="BQO153" s="1059"/>
      <c r="BQP153" s="1058"/>
      <c r="BQQ153" s="1059"/>
      <c r="BQR153" s="1058"/>
      <c r="BQS153" s="1059"/>
      <c r="BQT153" s="1058"/>
      <c r="BQU153" s="1059"/>
      <c r="BQV153" s="1058"/>
      <c r="BQW153" s="1059"/>
      <c r="BQX153" s="1058"/>
      <c r="BQY153" s="1059"/>
      <c r="BQZ153" s="1058"/>
      <c r="BRA153" s="1059"/>
      <c r="BRB153" s="1058"/>
      <c r="BRC153" s="1059"/>
      <c r="BRD153" s="1058"/>
      <c r="BRE153" s="1059"/>
      <c r="BRF153" s="1058"/>
      <c r="BRG153" s="1059"/>
      <c r="BRH153" s="1058"/>
      <c r="BRI153" s="1059"/>
      <c r="BRJ153" s="1058"/>
      <c r="BRK153" s="1059"/>
      <c r="BRL153" s="1058"/>
      <c r="BRM153" s="1059"/>
      <c r="BRN153" s="1058"/>
      <c r="BRO153" s="1059"/>
      <c r="BRP153" s="1058"/>
      <c r="BRQ153" s="1059"/>
      <c r="BRR153" s="1058"/>
      <c r="BRS153" s="1059"/>
      <c r="BRT153" s="1058"/>
      <c r="BRU153" s="1059"/>
      <c r="BRV153" s="1058"/>
      <c r="BRW153" s="1059"/>
      <c r="BRX153" s="1058"/>
      <c r="BRY153" s="1059"/>
      <c r="BRZ153" s="1058"/>
      <c r="BSA153" s="1059"/>
      <c r="BSB153" s="1058"/>
      <c r="BSC153" s="1059"/>
      <c r="BSD153" s="1058"/>
      <c r="BSE153" s="1059"/>
      <c r="BSF153" s="1058"/>
      <c r="BSG153" s="1059"/>
      <c r="BSH153" s="1058"/>
      <c r="BSI153" s="1059"/>
      <c r="BSJ153" s="1058"/>
      <c r="BSK153" s="1059"/>
      <c r="BSL153" s="1058"/>
      <c r="BSM153" s="1059"/>
      <c r="BSN153" s="1058"/>
      <c r="BSO153" s="1059"/>
      <c r="BSP153" s="1058"/>
      <c r="BSQ153" s="1059"/>
      <c r="BSR153" s="1058"/>
      <c r="BSS153" s="1059"/>
      <c r="BST153" s="1058"/>
      <c r="BSU153" s="1059"/>
      <c r="BSV153" s="1058"/>
      <c r="BSW153" s="1059"/>
      <c r="BSX153" s="1058"/>
      <c r="BSY153" s="1059"/>
      <c r="BSZ153" s="1058"/>
      <c r="BTA153" s="1059"/>
      <c r="BTB153" s="1058"/>
      <c r="BTC153" s="1059"/>
      <c r="BTD153" s="1058"/>
      <c r="BTE153" s="1059"/>
      <c r="BTF153" s="1058"/>
      <c r="BTG153" s="1059"/>
      <c r="BTH153" s="1058"/>
      <c r="BTI153" s="1059"/>
      <c r="BTJ153" s="1058"/>
      <c r="BTK153" s="1059"/>
      <c r="BTL153" s="1058"/>
      <c r="BTM153" s="1059"/>
      <c r="BTN153" s="1058"/>
      <c r="BTO153" s="1059"/>
      <c r="BTP153" s="1058"/>
      <c r="BTQ153" s="1059"/>
      <c r="BTR153" s="1058"/>
      <c r="BTS153" s="1059"/>
      <c r="BTT153" s="1058"/>
      <c r="BTU153" s="1059"/>
      <c r="BTV153" s="1058"/>
      <c r="BTW153" s="1059"/>
      <c r="BTX153" s="1058"/>
      <c r="BTY153" s="1059"/>
      <c r="BTZ153" s="1058"/>
      <c r="BUA153" s="1059"/>
      <c r="BUB153" s="1058"/>
      <c r="BUC153" s="1059"/>
      <c r="BUD153" s="1058"/>
      <c r="BUE153" s="1059"/>
      <c r="BUF153" s="1058"/>
      <c r="BUG153" s="1059"/>
      <c r="BUH153" s="1058"/>
      <c r="BUI153" s="1059"/>
      <c r="BUJ153" s="1058"/>
      <c r="BUK153" s="1059"/>
      <c r="BUL153" s="1058"/>
      <c r="BUM153" s="1059"/>
      <c r="BUN153" s="1058"/>
      <c r="BUO153" s="1059"/>
      <c r="BUP153" s="1058"/>
      <c r="BUQ153" s="1059"/>
      <c r="BUR153" s="1058"/>
      <c r="BUS153" s="1059"/>
      <c r="BUT153" s="1058"/>
      <c r="BUU153" s="1059"/>
      <c r="BUV153" s="1058"/>
      <c r="BUW153" s="1059"/>
      <c r="BUX153" s="1058"/>
      <c r="BUY153" s="1059"/>
      <c r="BUZ153" s="1058"/>
      <c r="BVA153" s="1059"/>
      <c r="BVB153" s="1058"/>
      <c r="BVC153" s="1059"/>
      <c r="BVD153" s="1058"/>
      <c r="BVE153" s="1059"/>
      <c r="BVF153" s="1058"/>
      <c r="BVG153" s="1059"/>
      <c r="BVH153" s="1058"/>
      <c r="BVI153" s="1059"/>
      <c r="BVJ153" s="1058"/>
      <c r="BVK153" s="1059"/>
      <c r="BVL153" s="1058"/>
      <c r="BVM153" s="1059"/>
      <c r="BVN153" s="1058"/>
      <c r="BVO153" s="1059"/>
      <c r="BVP153" s="1058"/>
      <c r="BVQ153" s="1059"/>
      <c r="BVR153" s="1058"/>
      <c r="BVS153" s="1059"/>
      <c r="BVT153" s="1058"/>
      <c r="BVU153" s="1059"/>
      <c r="BVV153" s="1058"/>
      <c r="BVW153" s="1059"/>
      <c r="BVX153" s="1058"/>
      <c r="BVY153" s="1059"/>
      <c r="BVZ153" s="1058"/>
      <c r="BWA153" s="1059"/>
      <c r="BWB153" s="1058"/>
      <c r="BWC153" s="1059"/>
      <c r="BWD153" s="1058"/>
      <c r="BWE153" s="1059"/>
      <c r="BWF153" s="1058"/>
      <c r="BWG153" s="1059"/>
      <c r="BWH153" s="1058"/>
      <c r="BWI153" s="1059"/>
      <c r="BWJ153" s="1058"/>
      <c r="BWK153" s="1059"/>
      <c r="BWL153" s="1058"/>
      <c r="BWM153" s="1059"/>
      <c r="BWN153" s="1058"/>
      <c r="BWO153" s="1059"/>
      <c r="BWP153" s="1058"/>
      <c r="BWQ153" s="1059"/>
      <c r="BWR153" s="1058"/>
      <c r="BWS153" s="1059"/>
      <c r="BWT153" s="1058"/>
      <c r="BWU153" s="1059"/>
      <c r="BWV153" s="1058"/>
      <c r="BWW153" s="1059"/>
      <c r="BWX153" s="1058"/>
      <c r="BWY153" s="1059"/>
      <c r="BWZ153" s="1058"/>
      <c r="BXA153" s="1059"/>
      <c r="BXB153" s="1058"/>
      <c r="BXC153" s="1059"/>
      <c r="BXD153" s="1058"/>
      <c r="BXE153" s="1059"/>
      <c r="BXF153" s="1058"/>
      <c r="BXG153" s="1059"/>
      <c r="BXH153" s="1058"/>
      <c r="BXI153" s="1059"/>
      <c r="BXJ153" s="1058"/>
      <c r="BXK153" s="1059"/>
      <c r="BXL153" s="1058"/>
      <c r="BXM153" s="1059"/>
      <c r="BXN153" s="1058"/>
      <c r="BXO153" s="1059"/>
      <c r="BXP153" s="1058"/>
      <c r="BXQ153" s="1059"/>
      <c r="BXR153" s="1058"/>
      <c r="BXS153" s="1059"/>
      <c r="BXT153" s="1058"/>
      <c r="BXU153" s="1059"/>
      <c r="BXV153" s="1058"/>
      <c r="BXW153" s="1059"/>
      <c r="BXX153" s="1058"/>
      <c r="BXY153" s="1059"/>
      <c r="BXZ153" s="1058"/>
      <c r="BYA153" s="1059"/>
      <c r="BYB153" s="1058"/>
      <c r="BYC153" s="1059"/>
      <c r="BYD153" s="1058"/>
      <c r="BYE153" s="1059"/>
      <c r="BYF153" s="1058"/>
      <c r="BYG153" s="1059"/>
      <c r="BYH153" s="1058"/>
      <c r="BYI153" s="1059"/>
      <c r="BYJ153" s="1058"/>
      <c r="BYK153" s="1059"/>
      <c r="BYL153" s="1058"/>
      <c r="BYM153" s="1059"/>
      <c r="BYN153" s="1058"/>
      <c r="BYO153" s="1059"/>
      <c r="BYP153" s="1058"/>
      <c r="BYQ153" s="1059"/>
      <c r="BYR153" s="1058"/>
      <c r="BYS153" s="1059"/>
      <c r="BYT153" s="1058"/>
      <c r="BYU153" s="1059"/>
      <c r="BYV153" s="1058"/>
      <c r="BYW153" s="1059"/>
      <c r="BYX153" s="1058"/>
      <c r="BYY153" s="1059"/>
      <c r="BYZ153" s="1058"/>
      <c r="BZA153" s="1059"/>
      <c r="BZB153" s="1058"/>
      <c r="BZC153" s="1059"/>
      <c r="BZD153" s="1058"/>
      <c r="BZE153" s="1059"/>
      <c r="BZF153" s="1058"/>
      <c r="BZG153" s="1059"/>
      <c r="BZH153" s="1058"/>
      <c r="BZI153" s="1059"/>
      <c r="BZJ153" s="1058"/>
      <c r="BZK153" s="1059"/>
      <c r="BZL153" s="1058"/>
      <c r="BZM153" s="1059"/>
      <c r="BZN153" s="1058"/>
      <c r="BZO153" s="1059"/>
      <c r="BZP153" s="1058"/>
      <c r="BZQ153" s="1059"/>
      <c r="BZR153" s="1058"/>
      <c r="BZS153" s="1059"/>
      <c r="BZT153" s="1058"/>
      <c r="BZU153" s="1059"/>
      <c r="BZV153" s="1058"/>
      <c r="BZW153" s="1059"/>
      <c r="BZX153" s="1058"/>
      <c r="BZY153" s="1059"/>
      <c r="BZZ153" s="1058"/>
      <c r="CAA153" s="1059"/>
      <c r="CAB153" s="1058"/>
      <c r="CAC153" s="1059"/>
      <c r="CAD153" s="1058"/>
      <c r="CAE153" s="1059"/>
      <c r="CAF153" s="1058"/>
      <c r="CAG153" s="1059"/>
      <c r="CAH153" s="1058"/>
      <c r="CAI153" s="1059"/>
      <c r="CAJ153" s="1058"/>
      <c r="CAK153" s="1059"/>
      <c r="CAL153" s="1058"/>
      <c r="CAM153" s="1059"/>
      <c r="CAN153" s="1058"/>
      <c r="CAO153" s="1059"/>
      <c r="CAP153" s="1058"/>
      <c r="CAQ153" s="1059"/>
      <c r="CAR153" s="1058"/>
      <c r="CAS153" s="1059"/>
      <c r="CAT153" s="1058"/>
      <c r="CAU153" s="1059"/>
      <c r="CAV153" s="1058"/>
      <c r="CAW153" s="1059"/>
      <c r="CAX153" s="1058"/>
      <c r="CAY153" s="1059"/>
      <c r="CAZ153" s="1058"/>
      <c r="CBA153" s="1059"/>
      <c r="CBB153" s="1058"/>
      <c r="CBC153" s="1059"/>
      <c r="CBD153" s="1058"/>
      <c r="CBE153" s="1059"/>
      <c r="CBF153" s="1058"/>
      <c r="CBG153" s="1059"/>
      <c r="CBH153" s="1058"/>
      <c r="CBI153" s="1059"/>
      <c r="CBJ153" s="1058"/>
      <c r="CBK153" s="1059"/>
      <c r="CBL153" s="1058"/>
      <c r="CBM153" s="1059"/>
      <c r="CBN153" s="1058"/>
      <c r="CBO153" s="1059"/>
      <c r="CBP153" s="1058"/>
      <c r="CBQ153" s="1059"/>
      <c r="CBR153" s="1058"/>
      <c r="CBS153" s="1059"/>
      <c r="CBT153" s="1058"/>
      <c r="CBU153" s="1059"/>
      <c r="CBV153" s="1058"/>
      <c r="CBW153" s="1059"/>
      <c r="CBX153" s="1058"/>
      <c r="CBY153" s="1059"/>
      <c r="CBZ153" s="1058"/>
      <c r="CCA153" s="1059"/>
      <c r="CCB153" s="1058"/>
      <c r="CCC153" s="1059"/>
      <c r="CCD153" s="1058"/>
      <c r="CCE153" s="1059"/>
      <c r="CCF153" s="1058"/>
      <c r="CCG153" s="1059"/>
      <c r="CCH153" s="1058"/>
      <c r="CCI153" s="1059"/>
      <c r="CCJ153" s="1058"/>
      <c r="CCK153" s="1059"/>
      <c r="CCL153" s="1058"/>
      <c r="CCM153" s="1059"/>
      <c r="CCN153" s="1058"/>
      <c r="CCO153" s="1059"/>
      <c r="CCP153" s="1058"/>
      <c r="CCQ153" s="1059"/>
      <c r="CCR153" s="1058"/>
      <c r="CCS153" s="1059"/>
      <c r="CCT153" s="1058"/>
      <c r="CCU153" s="1059"/>
      <c r="CCV153" s="1058"/>
      <c r="CCW153" s="1059"/>
      <c r="CCX153" s="1058"/>
      <c r="CCY153" s="1059"/>
      <c r="CCZ153" s="1058"/>
      <c r="CDA153" s="1059"/>
      <c r="CDB153" s="1058"/>
      <c r="CDC153" s="1059"/>
      <c r="CDD153" s="1058"/>
      <c r="CDE153" s="1059"/>
      <c r="CDF153" s="1058"/>
      <c r="CDG153" s="1059"/>
      <c r="CDH153" s="1058"/>
      <c r="CDI153" s="1059"/>
      <c r="CDJ153" s="1058"/>
      <c r="CDK153" s="1059"/>
      <c r="CDL153" s="1058"/>
      <c r="CDM153" s="1059"/>
      <c r="CDN153" s="1058"/>
      <c r="CDO153" s="1059"/>
      <c r="CDP153" s="1058"/>
      <c r="CDQ153" s="1059"/>
      <c r="CDR153" s="1058"/>
      <c r="CDS153" s="1059"/>
      <c r="CDT153" s="1058"/>
      <c r="CDU153" s="1059"/>
      <c r="CDV153" s="1058"/>
      <c r="CDW153" s="1059"/>
      <c r="CDX153" s="1058"/>
      <c r="CDY153" s="1059"/>
      <c r="CDZ153" s="1058"/>
      <c r="CEA153" s="1059"/>
      <c r="CEB153" s="1058"/>
      <c r="CEC153" s="1059"/>
      <c r="CED153" s="1058"/>
      <c r="CEE153" s="1059"/>
      <c r="CEF153" s="1058"/>
      <c r="CEG153" s="1059"/>
      <c r="CEH153" s="1058"/>
      <c r="CEI153" s="1059"/>
      <c r="CEJ153" s="1058"/>
      <c r="CEK153" s="1059"/>
      <c r="CEL153" s="1058"/>
      <c r="CEM153" s="1059"/>
      <c r="CEN153" s="1058"/>
      <c r="CEO153" s="1059"/>
      <c r="CEP153" s="1058"/>
      <c r="CEQ153" s="1059"/>
      <c r="CER153" s="1058"/>
      <c r="CES153" s="1059"/>
      <c r="CET153" s="1058"/>
      <c r="CEU153" s="1059"/>
      <c r="CEV153" s="1058"/>
      <c r="CEW153" s="1059"/>
      <c r="CEX153" s="1058"/>
      <c r="CEY153" s="1059"/>
      <c r="CEZ153" s="1058"/>
      <c r="CFA153" s="1059"/>
      <c r="CFB153" s="1058"/>
      <c r="CFC153" s="1059"/>
      <c r="CFD153" s="1058"/>
      <c r="CFE153" s="1059"/>
      <c r="CFF153" s="1058"/>
      <c r="CFG153" s="1059"/>
      <c r="CFH153" s="1058"/>
      <c r="CFI153" s="1059"/>
      <c r="CFJ153" s="1058"/>
      <c r="CFK153" s="1059"/>
      <c r="CFL153" s="1058"/>
      <c r="CFM153" s="1059"/>
      <c r="CFN153" s="1058"/>
      <c r="CFO153" s="1059"/>
      <c r="CFP153" s="1058"/>
      <c r="CFQ153" s="1059"/>
      <c r="CFR153" s="1058"/>
      <c r="CFS153" s="1059"/>
      <c r="CFT153" s="1058"/>
      <c r="CFU153" s="1059"/>
      <c r="CFV153" s="1058"/>
      <c r="CFW153" s="1059"/>
      <c r="CFX153" s="1058"/>
      <c r="CFY153" s="1059"/>
      <c r="CFZ153" s="1058"/>
      <c r="CGA153" s="1059"/>
      <c r="CGB153" s="1058"/>
      <c r="CGC153" s="1059"/>
      <c r="CGD153" s="1058"/>
      <c r="CGE153" s="1059"/>
      <c r="CGF153" s="1058"/>
      <c r="CGG153" s="1059"/>
      <c r="CGH153" s="1058"/>
      <c r="CGI153" s="1059"/>
      <c r="CGJ153" s="1058"/>
      <c r="CGK153" s="1059"/>
      <c r="CGL153" s="1058"/>
      <c r="CGM153" s="1059"/>
      <c r="CGN153" s="1058"/>
      <c r="CGO153" s="1059"/>
      <c r="CGP153" s="1058"/>
      <c r="CGQ153" s="1059"/>
      <c r="CGR153" s="1058"/>
      <c r="CGS153" s="1059"/>
      <c r="CGT153" s="1058"/>
      <c r="CGU153" s="1059"/>
      <c r="CGV153" s="1058"/>
      <c r="CGW153" s="1059"/>
      <c r="CGX153" s="1058"/>
      <c r="CGY153" s="1059"/>
      <c r="CGZ153" s="1058"/>
      <c r="CHA153" s="1059"/>
      <c r="CHB153" s="1058"/>
      <c r="CHC153" s="1059"/>
      <c r="CHD153" s="1058"/>
      <c r="CHE153" s="1059"/>
      <c r="CHF153" s="1058"/>
      <c r="CHG153" s="1059"/>
      <c r="CHH153" s="1058"/>
      <c r="CHI153" s="1059"/>
      <c r="CHJ153" s="1058"/>
      <c r="CHK153" s="1059"/>
      <c r="CHL153" s="1058"/>
      <c r="CHM153" s="1059"/>
      <c r="CHN153" s="1058"/>
      <c r="CHO153" s="1059"/>
      <c r="CHP153" s="1058"/>
      <c r="CHQ153" s="1059"/>
      <c r="CHR153" s="1058"/>
      <c r="CHS153" s="1059"/>
      <c r="CHT153" s="1058"/>
      <c r="CHU153" s="1059"/>
      <c r="CHV153" s="1058"/>
      <c r="CHW153" s="1059"/>
      <c r="CHX153" s="1058"/>
      <c r="CHY153" s="1059"/>
      <c r="CHZ153" s="1058"/>
      <c r="CIA153" s="1059"/>
      <c r="CIB153" s="1058"/>
      <c r="CIC153" s="1059"/>
      <c r="CID153" s="1058"/>
      <c r="CIE153" s="1059"/>
      <c r="CIF153" s="1058"/>
      <c r="CIG153" s="1059"/>
      <c r="CIH153" s="1058"/>
      <c r="CII153" s="1059"/>
      <c r="CIJ153" s="1058"/>
      <c r="CIK153" s="1059"/>
      <c r="CIL153" s="1058"/>
      <c r="CIM153" s="1059"/>
      <c r="CIN153" s="1058"/>
      <c r="CIO153" s="1059"/>
      <c r="CIP153" s="1058"/>
      <c r="CIQ153" s="1059"/>
      <c r="CIR153" s="1058"/>
      <c r="CIS153" s="1059"/>
      <c r="CIT153" s="1058"/>
      <c r="CIU153" s="1059"/>
      <c r="CIV153" s="1058"/>
      <c r="CIW153" s="1059"/>
      <c r="CIX153" s="1058"/>
      <c r="CIY153" s="1059"/>
      <c r="CIZ153" s="1058"/>
      <c r="CJA153" s="1059"/>
      <c r="CJB153" s="1058"/>
      <c r="CJC153" s="1059"/>
      <c r="CJD153" s="1058"/>
      <c r="CJE153" s="1059"/>
      <c r="CJF153" s="1058"/>
      <c r="CJG153" s="1059"/>
      <c r="CJH153" s="1058"/>
      <c r="CJI153" s="1059"/>
      <c r="CJJ153" s="1058"/>
      <c r="CJK153" s="1059"/>
      <c r="CJL153" s="1058"/>
      <c r="CJM153" s="1059"/>
      <c r="CJN153" s="1058"/>
      <c r="CJO153" s="1059"/>
      <c r="CJP153" s="1058"/>
      <c r="CJQ153" s="1059"/>
      <c r="CJR153" s="1058"/>
      <c r="CJS153" s="1059"/>
      <c r="CJT153" s="1058"/>
      <c r="CJU153" s="1059"/>
      <c r="CJV153" s="1058"/>
      <c r="CJW153" s="1059"/>
      <c r="CJX153" s="1058"/>
      <c r="CJY153" s="1059"/>
      <c r="CJZ153" s="1058"/>
      <c r="CKA153" s="1059"/>
      <c r="CKB153" s="1058"/>
      <c r="CKC153" s="1059"/>
      <c r="CKD153" s="1058"/>
      <c r="CKE153" s="1059"/>
      <c r="CKF153" s="1058"/>
      <c r="CKG153" s="1059"/>
      <c r="CKH153" s="1058"/>
      <c r="CKI153" s="1059"/>
      <c r="CKJ153" s="1058"/>
      <c r="CKK153" s="1059"/>
      <c r="CKL153" s="1058"/>
      <c r="CKM153" s="1059"/>
      <c r="CKN153" s="1058"/>
      <c r="CKO153" s="1059"/>
      <c r="CKP153" s="1058"/>
      <c r="CKQ153" s="1059"/>
      <c r="CKR153" s="1058"/>
      <c r="CKS153" s="1059"/>
      <c r="CKT153" s="1058"/>
      <c r="CKU153" s="1059"/>
      <c r="CKV153" s="1058"/>
      <c r="CKW153" s="1059"/>
      <c r="CKX153" s="1058"/>
      <c r="CKY153" s="1059"/>
      <c r="CKZ153" s="1058"/>
      <c r="CLA153" s="1059"/>
      <c r="CLB153" s="1058"/>
      <c r="CLC153" s="1059"/>
      <c r="CLD153" s="1058"/>
      <c r="CLE153" s="1059"/>
      <c r="CLF153" s="1058"/>
      <c r="CLG153" s="1059"/>
      <c r="CLH153" s="1058"/>
      <c r="CLI153" s="1059"/>
      <c r="CLJ153" s="1058"/>
      <c r="CLK153" s="1059"/>
      <c r="CLL153" s="1058"/>
      <c r="CLM153" s="1059"/>
      <c r="CLN153" s="1058"/>
      <c r="CLO153" s="1059"/>
      <c r="CLP153" s="1058"/>
      <c r="CLQ153" s="1059"/>
      <c r="CLR153" s="1058"/>
      <c r="CLS153" s="1059"/>
      <c r="CLT153" s="1058"/>
      <c r="CLU153" s="1059"/>
      <c r="CLV153" s="1058"/>
      <c r="CLW153" s="1059"/>
      <c r="CLX153" s="1058"/>
      <c r="CLY153" s="1059"/>
      <c r="CLZ153" s="1058"/>
      <c r="CMA153" s="1059"/>
      <c r="CMB153" s="1058"/>
      <c r="CMC153" s="1059"/>
      <c r="CMD153" s="1058"/>
      <c r="CME153" s="1059"/>
      <c r="CMF153" s="1058"/>
      <c r="CMG153" s="1059"/>
      <c r="CMH153" s="1058"/>
      <c r="CMI153" s="1059"/>
      <c r="CMJ153" s="1058"/>
      <c r="CMK153" s="1059"/>
      <c r="CML153" s="1058"/>
      <c r="CMM153" s="1059"/>
      <c r="CMN153" s="1058"/>
      <c r="CMO153" s="1059"/>
      <c r="CMP153" s="1058"/>
      <c r="CMQ153" s="1059"/>
      <c r="CMR153" s="1058"/>
      <c r="CMS153" s="1059"/>
      <c r="CMT153" s="1058"/>
      <c r="CMU153" s="1059"/>
      <c r="CMV153" s="1058"/>
      <c r="CMW153" s="1059"/>
      <c r="CMX153" s="1058"/>
      <c r="CMY153" s="1059"/>
      <c r="CMZ153" s="1058"/>
      <c r="CNA153" s="1059"/>
      <c r="CNB153" s="1058"/>
      <c r="CNC153" s="1059"/>
      <c r="CND153" s="1058"/>
      <c r="CNE153" s="1059"/>
      <c r="CNF153" s="1058"/>
      <c r="CNG153" s="1059"/>
      <c r="CNH153" s="1058"/>
      <c r="CNI153" s="1059"/>
      <c r="CNJ153" s="1058"/>
      <c r="CNK153" s="1059"/>
      <c r="CNL153" s="1058"/>
      <c r="CNM153" s="1059"/>
      <c r="CNN153" s="1058"/>
      <c r="CNO153" s="1059"/>
      <c r="CNP153" s="1058"/>
      <c r="CNQ153" s="1059"/>
      <c r="CNR153" s="1058"/>
      <c r="CNS153" s="1059"/>
      <c r="CNT153" s="1058"/>
      <c r="CNU153" s="1059"/>
      <c r="CNV153" s="1058"/>
      <c r="CNW153" s="1059"/>
      <c r="CNX153" s="1058"/>
      <c r="CNY153" s="1059"/>
      <c r="CNZ153" s="1058"/>
      <c r="COA153" s="1059"/>
      <c r="COB153" s="1058"/>
      <c r="COC153" s="1059"/>
      <c r="COD153" s="1058"/>
      <c r="COE153" s="1059"/>
      <c r="COF153" s="1058"/>
      <c r="COG153" s="1059"/>
      <c r="COH153" s="1058"/>
      <c r="COI153" s="1059"/>
      <c r="COJ153" s="1058"/>
      <c r="COK153" s="1059"/>
      <c r="COL153" s="1058"/>
      <c r="COM153" s="1059"/>
      <c r="CON153" s="1058"/>
      <c r="COO153" s="1059"/>
      <c r="COP153" s="1058"/>
      <c r="COQ153" s="1059"/>
      <c r="COR153" s="1058"/>
      <c r="COS153" s="1059"/>
      <c r="COT153" s="1058"/>
      <c r="COU153" s="1059"/>
      <c r="COV153" s="1058"/>
      <c r="COW153" s="1059"/>
      <c r="COX153" s="1058"/>
      <c r="COY153" s="1059"/>
      <c r="COZ153" s="1058"/>
      <c r="CPA153" s="1059"/>
      <c r="CPB153" s="1058"/>
      <c r="CPC153" s="1059"/>
      <c r="CPD153" s="1058"/>
      <c r="CPE153" s="1059"/>
      <c r="CPF153" s="1058"/>
      <c r="CPG153" s="1059"/>
      <c r="CPH153" s="1058"/>
      <c r="CPI153" s="1059"/>
      <c r="CPJ153" s="1058"/>
      <c r="CPK153" s="1059"/>
      <c r="CPL153" s="1058"/>
      <c r="CPM153" s="1059"/>
      <c r="CPN153" s="1058"/>
      <c r="CPO153" s="1059"/>
      <c r="CPP153" s="1058"/>
      <c r="CPQ153" s="1059"/>
      <c r="CPR153" s="1058"/>
      <c r="CPS153" s="1059"/>
      <c r="CPT153" s="1058"/>
      <c r="CPU153" s="1059"/>
      <c r="CPV153" s="1058"/>
      <c r="CPW153" s="1059"/>
      <c r="CPX153" s="1058"/>
      <c r="CPY153" s="1059"/>
      <c r="CPZ153" s="1058"/>
      <c r="CQA153" s="1059"/>
      <c r="CQB153" s="1058"/>
      <c r="CQC153" s="1059"/>
      <c r="CQD153" s="1058"/>
      <c r="CQE153" s="1059"/>
      <c r="CQF153" s="1058"/>
      <c r="CQG153" s="1059"/>
      <c r="CQH153" s="1058"/>
      <c r="CQI153" s="1059"/>
      <c r="CQJ153" s="1058"/>
      <c r="CQK153" s="1059"/>
      <c r="CQL153" s="1058"/>
      <c r="CQM153" s="1059"/>
      <c r="CQN153" s="1058"/>
      <c r="CQO153" s="1059"/>
      <c r="CQP153" s="1058"/>
      <c r="CQQ153" s="1059"/>
      <c r="CQR153" s="1058"/>
      <c r="CQS153" s="1059"/>
      <c r="CQT153" s="1058"/>
      <c r="CQU153" s="1059"/>
      <c r="CQV153" s="1058"/>
      <c r="CQW153" s="1059"/>
      <c r="CQX153" s="1058"/>
      <c r="CQY153" s="1059"/>
      <c r="CQZ153" s="1058"/>
      <c r="CRA153" s="1059"/>
      <c r="CRB153" s="1058"/>
      <c r="CRC153" s="1059"/>
      <c r="CRD153" s="1058"/>
      <c r="CRE153" s="1059"/>
      <c r="CRF153" s="1058"/>
      <c r="CRG153" s="1059"/>
      <c r="CRH153" s="1058"/>
      <c r="CRI153" s="1059"/>
      <c r="CRJ153" s="1058"/>
      <c r="CRK153" s="1059"/>
      <c r="CRL153" s="1058"/>
      <c r="CRM153" s="1059"/>
      <c r="CRN153" s="1058"/>
      <c r="CRO153" s="1059"/>
      <c r="CRP153" s="1058"/>
      <c r="CRQ153" s="1059"/>
      <c r="CRR153" s="1058"/>
      <c r="CRS153" s="1059"/>
      <c r="CRT153" s="1058"/>
      <c r="CRU153" s="1059"/>
      <c r="CRV153" s="1058"/>
      <c r="CRW153" s="1059"/>
      <c r="CRX153" s="1058"/>
      <c r="CRY153" s="1059"/>
      <c r="CRZ153" s="1058"/>
      <c r="CSA153" s="1059"/>
      <c r="CSB153" s="1058"/>
      <c r="CSC153" s="1059"/>
      <c r="CSD153" s="1058"/>
      <c r="CSE153" s="1059"/>
      <c r="CSF153" s="1058"/>
      <c r="CSG153" s="1059"/>
      <c r="CSH153" s="1058"/>
      <c r="CSI153" s="1059"/>
      <c r="CSJ153" s="1058"/>
      <c r="CSK153" s="1059"/>
      <c r="CSL153" s="1058"/>
      <c r="CSM153" s="1059"/>
      <c r="CSN153" s="1058"/>
      <c r="CSO153" s="1059"/>
      <c r="CSP153" s="1058"/>
      <c r="CSQ153" s="1059"/>
      <c r="CSR153" s="1058"/>
      <c r="CSS153" s="1059"/>
      <c r="CST153" s="1058"/>
      <c r="CSU153" s="1059"/>
      <c r="CSV153" s="1058"/>
      <c r="CSW153" s="1059"/>
      <c r="CSX153" s="1058"/>
      <c r="CSY153" s="1059"/>
      <c r="CSZ153" s="1058"/>
      <c r="CTA153" s="1059"/>
      <c r="CTB153" s="1058"/>
      <c r="CTC153" s="1059"/>
      <c r="CTD153" s="1058"/>
      <c r="CTE153" s="1059"/>
      <c r="CTF153" s="1058"/>
      <c r="CTG153" s="1059"/>
      <c r="CTH153" s="1058"/>
      <c r="CTI153" s="1059"/>
      <c r="CTJ153" s="1058"/>
      <c r="CTK153" s="1059"/>
      <c r="CTL153" s="1058"/>
      <c r="CTM153" s="1059"/>
      <c r="CTN153" s="1058"/>
      <c r="CTO153" s="1059"/>
      <c r="CTP153" s="1058"/>
      <c r="CTQ153" s="1059"/>
      <c r="CTR153" s="1058"/>
      <c r="CTS153" s="1059"/>
      <c r="CTT153" s="1058"/>
      <c r="CTU153" s="1059"/>
      <c r="CTV153" s="1058"/>
      <c r="CTW153" s="1059"/>
      <c r="CTX153" s="1058"/>
      <c r="CTY153" s="1059"/>
      <c r="CTZ153" s="1058"/>
      <c r="CUA153" s="1059"/>
      <c r="CUB153" s="1058"/>
      <c r="CUC153" s="1059"/>
      <c r="CUD153" s="1058"/>
      <c r="CUE153" s="1059"/>
      <c r="CUF153" s="1058"/>
      <c r="CUG153" s="1059"/>
      <c r="CUH153" s="1058"/>
      <c r="CUI153" s="1059"/>
      <c r="CUJ153" s="1058"/>
      <c r="CUK153" s="1059"/>
      <c r="CUL153" s="1058"/>
      <c r="CUM153" s="1059"/>
      <c r="CUN153" s="1058"/>
      <c r="CUO153" s="1059"/>
      <c r="CUP153" s="1058"/>
      <c r="CUQ153" s="1059"/>
      <c r="CUR153" s="1058"/>
      <c r="CUS153" s="1059"/>
      <c r="CUT153" s="1058"/>
      <c r="CUU153" s="1059"/>
      <c r="CUV153" s="1058"/>
      <c r="CUW153" s="1059"/>
      <c r="CUX153" s="1058"/>
      <c r="CUY153" s="1059"/>
      <c r="CUZ153" s="1058"/>
      <c r="CVA153" s="1059"/>
      <c r="CVB153" s="1058"/>
      <c r="CVC153" s="1059"/>
      <c r="CVD153" s="1058"/>
      <c r="CVE153" s="1059"/>
      <c r="CVF153" s="1058"/>
      <c r="CVG153" s="1059"/>
      <c r="CVH153" s="1058"/>
      <c r="CVI153" s="1059"/>
      <c r="CVJ153" s="1058"/>
      <c r="CVK153" s="1059"/>
      <c r="CVL153" s="1058"/>
      <c r="CVM153" s="1059"/>
      <c r="CVN153" s="1058"/>
      <c r="CVO153" s="1059"/>
      <c r="CVP153" s="1058"/>
      <c r="CVQ153" s="1059"/>
      <c r="CVR153" s="1058"/>
      <c r="CVS153" s="1059"/>
      <c r="CVT153" s="1058"/>
      <c r="CVU153" s="1059"/>
      <c r="CVV153" s="1058"/>
      <c r="CVW153" s="1059"/>
      <c r="CVX153" s="1058"/>
      <c r="CVY153" s="1059"/>
      <c r="CVZ153" s="1058"/>
      <c r="CWA153" s="1059"/>
      <c r="CWB153" s="1058"/>
      <c r="CWC153" s="1059"/>
      <c r="CWD153" s="1058"/>
      <c r="CWE153" s="1059"/>
      <c r="CWF153" s="1058"/>
      <c r="CWG153" s="1059"/>
      <c r="CWH153" s="1058"/>
      <c r="CWI153" s="1059"/>
      <c r="CWJ153" s="1058"/>
      <c r="CWK153" s="1059"/>
      <c r="CWL153" s="1058"/>
      <c r="CWM153" s="1059"/>
      <c r="CWN153" s="1058"/>
      <c r="CWO153" s="1059"/>
      <c r="CWP153" s="1058"/>
      <c r="CWQ153" s="1059"/>
      <c r="CWR153" s="1058"/>
      <c r="CWS153" s="1059"/>
      <c r="CWT153" s="1058"/>
      <c r="CWU153" s="1059"/>
      <c r="CWV153" s="1058"/>
      <c r="CWW153" s="1059"/>
      <c r="CWX153" s="1058"/>
      <c r="CWY153" s="1059"/>
      <c r="CWZ153" s="1058"/>
      <c r="CXA153" s="1059"/>
      <c r="CXB153" s="1058"/>
      <c r="CXC153" s="1059"/>
      <c r="CXD153" s="1058"/>
      <c r="CXE153" s="1059"/>
      <c r="CXF153" s="1058"/>
      <c r="CXG153" s="1059"/>
      <c r="CXH153" s="1058"/>
      <c r="CXI153" s="1059"/>
      <c r="CXJ153" s="1058"/>
      <c r="CXK153" s="1059"/>
      <c r="CXL153" s="1058"/>
      <c r="CXM153" s="1059"/>
      <c r="CXN153" s="1058"/>
      <c r="CXO153" s="1059"/>
      <c r="CXP153" s="1058"/>
      <c r="CXQ153" s="1059"/>
      <c r="CXR153" s="1058"/>
      <c r="CXS153" s="1059"/>
      <c r="CXT153" s="1058"/>
      <c r="CXU153" s="1059"/>
      <c r="CXV153" s="1058"/>
      <c r="CXW153" s="1059"/>
      <c r="CXX153" s="1058"/>
      <c r="CXY153" s="1059"/>
      <c r="CXZ153" s="1058"/>
      <c r="CYA153" s="1059"/>
      <c r="CYB153" s="1058"/>
      <c r="CYC153" s="1059"/>
      <c r="CYD153" s="1058"/>
      <c r="CYE153" s="1059"/>
      <c r="CYF153" s="1058"/>
      <c r="CYG153" s="1059"/>
      <c r="CYH153" s="1058"/>
      <c r="CYI153" s="1059"/>
      <c r="CYJ153" s="1058"/>
      <c r="CYK153" s="1059"/>
      <c r="CYL153" s="1058"/>
      <c r="CYM153" s="1059"/>
      <c r="CYN153" s="1058"/>
      <c r="CYO153" s="1059"/>
      <c r="CYP153" s="1058"/>
      <c r="CYQ153" s="1059"/>
      <c r="CYR153" s="1058"/>
      <c r="CYS153" s="1059"/>
      <c r="CYT153" s="1058"/>
      <c r="CYU153" s="1059"/>
      <c r="CYV153" s="1058"/>
      <c r="CYW153" s="1059"/>
      <c r="CYX153" s="1058"/>
      <c r="CYY153" s="1059"/>
      <c r="CYZ153" s="1058"/>
      <c r="CZA153" s="1059"/>
      <c r="CZB153" s="1058"/>
      <c r="CZC153" s="1059"/>
      <c r="CZD153" s="1058"/>
      <c r="CZE153" s="1059"/>
      <c r="CZF153" s="1058"/>
      <c r="CZG153" s="1059"/>
      <c r="CZH153" s="1058"/>
      <c r="CZI153" s="1059"/>
      <c r="CZJ153" s="1058"/>
      <c r="CZK153" s="1059"/>
      <c r="CZL153" s="1058"/>
      <c r="CZM153" s="1059"/>
      <c r="CZN153" s="1058"/>
      <c r="CZO153" s="1059"/>
      <c r="CZP153" s="1058"/>
      <c r="CZQ153" s="1059"/>
      <c r="CZR153" s="1058"/>
      <c r="CZS153" s="1059"/>
      <c r="CZT153" s="1058"/>
      <c r="CZU153" s="1059"/>
      <c r="CZV153" s="1058"/>
      <c r="CZW153" s="1059"/>
      <c r="CZX153" s="1058"/>
      <c r="CZY153" s="1059"/>
      <c r="CZZ153" s="1058"/>
      <c r="DAA153" s="1059"/>
      <c r="DAB153" s="1058"/>
      <c r="DAC153" s="1059"/>
      <c r="DAD153" s="1058"/>
      <c r="DAE153" s="1059"/>
      <c r="DAF153" s="1058"/>
      <c r="DAG153" s="1059"/>
      <c r="DAH153" s="1058"/>
      <c r="DAI153" s="1059"/>
      <c r="DAJ153" s="1058"/>
      <c r="DAK153" s="1059"/>
      <c r="DAL153" s="1058"/>
      <c r="DAM153" s="1059"/>
      <c r="DAN153" s="1058"/>
      <c r="DAO153" s="1059"/>
      <c r="DAP153" s="1058"/>
      <c r="DAQ153" s="1059"/>
      <c r="DAR153" s="1058"/>
      <c r="DAS153" s="1059"/>
      <c r="DAT153" s="1058"/>
      <c r="DAU153" s="1059"/>
      <c r="DAV153" s="1058"/>
      <c r="DAW153" s="1059"/>
      <c r="DAX153" s="1058"/>
      <c r="DAY153" s="1059"/>
      <c r="DAZ153" s="1058"/>
      <c r="DBA153" s="1059"/>
      <c r="DBB153" s="1058"/>
      <c r="DBC153" s="1059"/>
      <c r="DBD153" s="1058"/>
      <c r="DBE153" s="1059"/>
      <c r="DBF153" s="1058"/>
      <c r="DBG153" s="1059"/>
      <c r="DBH153" s="1058"/>
      <c r="DBI153" s="1059"/>
      <c r="DBJ153" s="1058"/>
      <c r="DBK153" s="1059"/>
      <c r="DBL153" s="1058"/>
      <c r="DBM153" s="1059"/>
      <c r="DBN153" s="1058"/>
      <c r="DBO153" s="1059"/>
      <c r="DBP153" s="1058"/>
      <c r="DBQ153" s="1059"/>
      <c r="DBR153" s="1058"/>
      <c r="DBS153" s="1059"/>
      <c r="DBT153" s="1058"/>
      <c r="DBU153" s="1059"/>
      <c r="DBV153" s="1058"/>
      <c r="DBW153" s="1059"/>
      <c r="DBX153" s="1058"/>
      <c r="DBY153" s="1059"/>
      <c r="DBZ153" s="1058"/>
      <c r="DCA153" s="1059"/>
      <c r="DCB153" s="1058"/>
      <c r="DCC153" s="1059"/>
      <c r="DCD153" s="1058"/>
      <c r="DCE153" s="1059"/>
      <c r="DCF153" s="1058"/>
      <c r="DCG153" s="1059"/>
      <c r="DCH153" s="1058"/>
      <c r="DCI153" s="1059"/>
      <c r="DCJ153" s="1058"/>
      <c r="DCK153" s="1059"/>
      <c r="DCL153" s="1058"/>
      <c r="DCM153" s="1059"/>
      <c r="DCN153" s="1058"/>
      <c r="DCO153" s="1059"/>
      <c r="DCP153" s="1058"/>
      <c r="DCQ153" s="1059"/>
      <c r="DCR153" s="1058"/>
      <c r="DCS153" s="1059"/>
      <c r="DCT153" s="1058"/>
      <c r="DCU153" s="1059"/>
      <c r="DCV153" s="1058"/>
      <c r="DCW153" s="1059"/>
      <c r="DCX153" s="1058"/>
      <c r="DCY153" s="1059"/>
      <c r="DCZ153" s="1058"/>
      <c r="DDA153" s="1059"/>
      <c r="DDB153" s="1058"/>
      <c r="DDC153" s="1059"/>
      <c r="DDD153" s="1058"/>
      <c r="DDE153" s="1059"/>
      <c r="DDF153" s="1058"/>
      <c r="DDG153" s="1059"/>
      <c r="DDH153" s="1058"/>
      <c r="DDI153" s="1059"/>
      <c r="DDJ153" s="1058"/>
      <c r="DDK153" s="1059"/>
      <c r="DDL153" s="1058"/>
      <c r="DDM153" s="1059"/>
      <c r="DDN153" s="1058"/>
      <c r="DDO153" s="1059"/>
      <c r="DDP153" s="1058"/>
      <c r="DDQ153" s="1059"/>
      <c r="DDR153" s="1058"/>
      <c r="DDS153" s="1059"/>
      <c r="DDT153" s="1058"/>
      <c r="DDU153" s="1059"/>
      <c r="DDV153" s="1058"/>
      <c r="DDW153" s="1059"/>
      <c r="DDX153" s="1058"/>
      <c r="DDY153" s="1059"/>
      <c r="DDZ153" s="1058"/>
      <c r="DEA153" s="1059"/>
      <c r="DEB153" s="1058"/>
      <c r="DEC153" s="1059"/>
      <c r="DED153" s="1058"/>
      <c r="DEE153" s="1059"/>
      <c r="DEF153" s="1058"/>
      <c r="DEG153" s="1059"/>
      <c r="DEH153" s="1058"/>
      <c r="DEI153" s="1059"/>
      <c r="DEJ153" s="1058"/>
      <c r="DEK153" s="1059"/>
      <c r="DEL153" s="1058"/>
      <c r="DEM153" s="1059"/>
      <c r="DEN153" s="1058"/>
      <c r="DEO153" s="1059"/>
      <c r="DEP153" s="1058"/>
      <c r="DEQ153" s="1059"/>
      <c r="DER153" s="1058"/>
      <c r="DES153" s="1059"/>
      <c r="DET153" s="1058"/>
      <c r="DEU153" s="1059"/>
      <c r="DEV153" s="1058"/>
      <c r="DEW153" s="1059"/>
      <c r="DEX153" s="1058"/>
      <c r="DEY153" s="1059"/>
      <c r="DEZ153" s="1058"/>
      <c r="DFA153" s="1059"/>
      <c r="DFB153" s="1058"/>
      <c r="DFC153" s="1059"/>
      <c r="DFD153" s="1058"/>
      <c r="DFE153" s="1059"/>
      <c r="DFF153" s="1058"/>
      <c r="DFG153" s="1059"/>
      <c r="DFH153" s="1058"/>
      <c r="DFI153" s="1059"/>
      <c r="DFJ153" s="1058"/>
      <c r="DFK153" s="1059"/>
      <c r="DFL153" s="1058"/>
      <c r="DFM153" s="1059"/>
      <c r="DFN153" s="1058"/>
      <c r="DFO153" s="1059"/>
      <c r="DFP153" s="1058"/>
      <c r="DFQ153" s="1059"/>
      <c r="DFR153" s="1058"/>
      <c r="DFS153" s="1059"/>
      <c r="DFT153" s="1058"/>
      <c r="DFU153" s="1059"/>
      <c r="DFV153" s="1058"/>
      <c r="DFW153" s="1059"/>
      <c r="DFX153" s="1058"/>
      <c r="DFY153" s="1059"/>
      <c r="DFZ153" s="1058"/>
      <c r="DGA153" s="1059"/>
      <c r="DGB153" s="1058"/>
      <c r="DGC153" s="1059"/>
      <c r="DGD153" s="1058"/>
      <c r="DGE153" s="1059"/>
      <c r="DGF153" s="1058"/>
      <c r="DGG153" s="1059"/>
      <c r="DGH153" s="1058"/>
      <c r="DGI153" s="1059"/>
      <c r="DGJ153" s="1058"/>
      <c r="DGK153" s="1059"/>
      <c r="DGL153" s="1058"/>
      <c r="DGM153" s="1059"/>
      <c r="DGN153" s="1058"/>
      <c r="DGO153" s="1059"/>
      <c r="DGP153" s="1058"/>
      <c r="DGQ153" s="1059"/>
      <c r="DGR153" s="1058"/>
      <c r="DGS153" s="1059"/>
      <c r="DGT153" s="1058"/>
      <c r="DGU153" s="1059"/>
      <c r="DGV153" s="1058"/>
      <c r="DGW153" s="1059"/>
      <c r="DGX153" s="1058"/>
      <c r="DGY153" s="1059"/>
      <c r="DGZ153" s="1058"/>
      <c r="DHA153" s="1059"/>
      <c r="DHB153" s="1058"/>
      <c r="DHC153" s="1059"/>
      <c r="DHD153" s="1058"/>
      <c r="DHE153" s="1059"/>
      <c r="DHF153" s="1058"/>
      <c r="DHG153" s="1059"/>
      <c r="DHH153" s="1058"/>
      <c r="DHI153" s="1059"/>
      <c r="DHJ153" s="1058"/>
      <c r="DHK153" s="1059"/>
      <c r="DHL153" s="1058"/>
      <c r="DHM153" s="1059"/>
      <c r="DHN153" s="1058"/>
      <c r="DHO153" s="1059"/>
      <c r="DHP153" s="1058"/>
      <c r="DHQ153" s="1059"/>
      <c r="DHR153" s="1058"/>
      <c r="DHS153" s="1059"/>
      <c r="DHT153" s="1058"/>
      <c r="DHU153" s="1059"/>
      <c r="DHV153" s="1058"/>
      <c r="DHW153" s="1059"/>
      <c r="DHX153" s="1058"/>
      <c r="DHY153" s="1059"/>
      <c r="DHZ153" s="1058"/>
      <c r="DIA153" s="1059"/>
      <c r="DIB153" s="1058"/>
      <c r="DIC153" s="1059"/>
      <c r="DID153" s="1058"/>
      <c r="DIE153" s="1059"/>
      <c r="DIF153" s="1058"/>
      <c r="DIG153" s="1059"/>
      <c r="DIH153" s="1058"/>
      <c r="DII153" s="1059"/>
      <c r="DIJ153" s="1058"/>
      <c r="DIK153" s="1059"/>
      <c r="DIL153" s="1058"/>
      <c r="DIM153" s="1059"/>
      <c r="DIN153" s="1058"/>
      <c r="DIO153" s="1059"/>
      <c r="DIP153" s="1058"/>
      <c r="DIQ153" s="1059"/>
      <c r="DIR153" s="1058"/>
      <c r="DIS153" s="1059"/>
      <c r="DIT153" s="1058"/>
      <c r="DIU153" s="1059"/>
      <c r="DIV153" s="1058"/>
      <c r="DIW153" s="1059"/>
      <c r="DIX153" s="1058"/>
      <c r="DIY153" s="1059"/>
      <c r="DIZ153" s="1058"/>
      <c r="DJA153" s="1059"/>
      <c r="DJB153" s="1058"/>
      <c r="DJC153" s="1059"/>
      <c r="DJD153" s="1058"/>
      <c r="DJE153" s="1059"/>
      <c r="DJF153" s="1058"/>
      <c r="DJG153" s="1059"/>
      <c r="DJH153" s="1058"/>
      <c r="DJI153" s="1059"/>
      <c r="DJJ153" s="1058"/>
      <c r="DJK153" s="1059"/>
      <c r="DJL153" s="1058"/>
      <c r="DJM153" s="1059"/>
      <c r="DJN153" s="1058"/>
      <c r="DJO153" s="1059"/>
      <c r="DJP153" s="1058"/>
      <c r="DJQ153" s="1059"/>
      <c r="DJR153" s="1058"/>
      <c r="DJS153" s="1059"/>
      <c r="DJT153" s="1058"/>
      <c r="DJU153" s="1059"/>
      <c r="DJV153" s="1058"/>
      <c r="DJW153" s="1059"/>
      <c r="DJX153" s="1058"/>
      <c r="DJY153" s="1059"/>
      <c r="DJZ153" s="1058"/>
      <c r="DKA153" s="1059"/>
      <c r="DKB153" s="1058"/>
      <c r="DKC153" s="1059"/>
      <c r="DKD153" s="1058"/>
      <c r="DKE153" s="1059"/>
      <c r="DKF153" s="1058"/>
      <c r="DKG153" s="1059"/>
      <c r="DKH153" s="1058"/>
      <c r="DKI153" s="1059"/>
      <c r="DKJ153" s="1058"/>
      <c r="DKK153" s="1059"/>
      <c r="DKL153" s="1058"/>
      <c r="DKM153" s="1059"/>
      <c r="DKN153" s="1058"/>
      <c r="DKO153" s="1059"/>
      <c r="DKP153" s="1058"/>
      <c r="DKQ153" s="1059"/>
      <c r="DKR153" s="1058"/>
      <c r="DKS153" s="1059"/>
      <c r="DKT153" s="1058"/>
      <c r="DKU153" s="1059"/>
      <c r="DKV153" s="1058"/>
      <c r="DKW153" s="1059"/>
      <c r="DKX153" s="1058"/>
      <c r="DKY153" s="1059"/>
      <c r="DKZ153" s="1058"/>
      <c r="DLA153" s="1059"/>
      <c r="DLB153" s="1058"/>
      <c r="DLC153" s="1059"/>
      <c r="DLD153" s="1058"/>
      <c r="DLE153" s="1059"/>
      <c r="DLF153" s="1058"/>
      <c r="DLG153" s="1059"/>
      <c r="DLH153" s="1058"/>
      <c r="DLI153" s="1059"/>
      <c r="DLJ153" s="1058"/>
      <c r="DLK153" s="1059"/>
      <c r="DLL153" s="1058"/>
      <c r="DLM153" s="1059"/>
      <c r="DLN153" s="1058"/>
      <c r="DLO153" s="1059"/>
      <c r="DLP153" s="1058"/>
      <c r="DLQ153" s="1059"/>
      <c r="DLR153" s="1058"/>
      <c r="DLS153" s="1059"/>
      <c r="DLT153" s="1058"/>
      <c r="DLU153" s="1059"/>
      <c r="DLV153" s="1058"/>
      <c r="DLW153" s="1059"/>
      <c r="DLX153" s="1058"/>
      <c r="DLY153" s="1059"/>
      <c r="DLZ153" s="1058"/>
      <c r="DMA153" s="1059"/>
      <c r="DMB153" s="1058"/>
      <c r="DMC153" s="1059"/>
      <c r="DMD153" s="1058"/>
      <c r="DME153" s="1059"/>
      <c r="DMF153" s="1058"/>
      <c r="DMG153" s="1059"/>
      <c r="DMH153" s="1058"/>
      <c r="DMI153" s="1059"/>
      <c r="DMJ153" s="1058"/>
      <c r="DMK153" s="1059"/>
      <c r="DML153" s="1058"/>
      <c r="DMM153" s="1059"/>
      <c r="DMN153" s="1058"/>
      <c r="DMO153" s="1059"/>
      <c r="DMP153" s="1058"/>
      <c r="DMQ153" s="1059"/>
      <c r="DMR153" s="1058"/>
      <c r="DMS153" s="1059"/>
      <c r="DMT153" s="1058"/>
      <c r="DMU153" s="1059"/>
      <c r="DMV153" s="1058"/>
      <c r="DMW153" s="1059"/>
      <c r="DMX153" s="1058"/>
      <c r="DMY153" s="1059"/>
      <c r="DMZ153" s="1058"/>
      <c r="DNA153" s="1059"/>
      <c r="DNB153" s="1058"/>
      <c r="DNC153" s="1059"/>
      <c r="DND153" s="1058"/>
      <c r="DNE153" s="1059"/>
      <c r="DNF153" s="1058"/>
      <c r="DNG153" s="1059"/>
      <c r="DNH153" s="1058"/>
      <c r="DNI153" s="1059"/>
      <c r="DNJ153" s="1058"/>
      <c r="DNK153" s="1059"/>
      <c r="DNL153" s="1058"/>
      <c r="DNM153" s="1059"/>
      <c r="DNN153" s="1058"/>
      <c r="DNO153" s="1059"/>
      <c r="DNP153" s="1058"/>
      <c r="DNQ153" s="1059"/>
      <c r="DNR153" s="1058"/>
      <c r="DNS153" s="1059"/>
      <c r="DNT153" s="1058"/>
      <c r="DNU153" s="1059"/>
      <c r="DNV153" s="1058"/>
      <c r="DNW153" s="1059"/>
      <c r="DNX153" s="1058"/>
      <c r="DNY153" s="1059"/>
      <c r="DNZ153" s="1058"/>
      <c r="DOA153" s="1059"/>
      <c r="DOB153" s="1058"/>
      <c r="DOC153" s="1059"/>
      <c r="DOD153" s="1058"/>
      <c r="DOE153" s="1059"/>
      <c r="DOF153" s="1058"/>
      <c r="DOG153" s="1059"/>
      <c r="DOH153" s="1058"/>
      <c r="DOI153" s="1059"/>
      <c r="DOJ153" s="1058"/>
      <c r="DOK153" s="1059"/>
      <c r="DOL153" s="1058"/>
      <c r="DOM153" s="1059"/>
      <c r="DON153" s="1058"/>
      <c r="DOO153" s="1059"/>
      <c r="DOP153" s="1058"/>
      <c r="DOQ153" s="1059"/>
      <c r="DOR153" s="1058"/>
      <c r="DOS153" s="1059"/>
      <c r="DOT153" s="1058"/>
      <c r="DOU153" s="1059"/>
      <c r="DOV153" s="1058"/>
      <c r="DOW153" s="1059"/>
      <c r="DOX153" s="1058"/>
      <c r="DOY153" s="1059"/>
      <c r="DOZ153" s="1058"/>
      <c r="DPA153" s="1059"/>
      <c r="DPB153" s="1058"/>
      <c r="DPC153" s="1059"/>
      <c r="DPD153" s="1058"/>
      <c r="DPE153" s="1059"/>
      <c r="DPF153" s="1058"/>
      <c r="DPG153" s="1059"/>
      <c r="DPH153" s="1058"/>
      <c r="DPI153" s="1059"/>
      <c r="DPJ153" s="1058"/>
      <c r="DPK153" s="1059"/>
      <c r="DPL153" s="1058"/>
      <c r="DPM153" s="1059"/>
      <c r="DPN153" s="1058"/>
      <c r="DPO153" s="1059"/>
      <c r="DPP153" s="1058"/>
      <c r="DPQ153" s="1059"/>
      <c r="DPR153" s="1058"/>
      <c r="DPS153" s="1059"/>
      <c r="DPT153" s="1058"/>
      <c r="DPU153" s="1059"/>
      <c r="DPV153" s="1058"/>
      <c r="DPW153" s="1059"/>
      <c r="DPX153" s="1058"/>
      <c r="DPY153" s="1059"/>
      <c r="DPZ153" s="1058"/>
      <c r="DQA153" s="1059"/>
      <c r="DQB153" s="1058"/>
      <c r="DQC153" s="1059"/>
      <c r="DQD153" s="1058"/>
      <c r="DQE153" s="1059"/>
      <c r="DQF153" s="1058"/>
      <c r="DQG153" s="1059"/>
      <c r="DQH153" s="1058"/>
      <c r="DQI153" s="1059"/>
      <c r="DQJ153" s="1058"/>
      <c r="DQK153" s="1059"/>
      <c r="DQL153" s="1058"/>
      <c r="DQM153" s="1059"/>
      <c r="DQN153" s="1058"/>
      <c r="DQO153" s="1059"/>
      <c r="DQP153" s="1058"/>
      <c r="DQQ153" s="1059"/>
      <c r="DQR153" s="1058"/>
      <c r="DQS153" s="1059"/>
      <c r="DQT153" s="1058"/>
      <c r="DQU153" s="1059"/>
      <c r="DQV153" s="1058"/>
      <c r="DQW153" s="1059"/>
      <c r="DQX153" s="1058"/>
      <c r="DQY153" s="1059"/>
      <c r="DQZ153" s="1058"/>
      <c r="DRA153" s="1059"/>
      <c r="DRB153" s="1058"/>
      <c r="DRC153" s="1059"/>
      <c r="DRD153" s="1058"/>
      <c r="DRE153" s="1059"/>
      <c r="DRF153" s="1058"/>
      <c r="DRG153" s="1059"/>
      <c r="DRH153" s="1058"/>
      <c r="DRI153" s="1059"/>
      <c r="DRJ153" s="1058"/>
      <c r="DRK153" s="1059"/>
      <c r="DRL153" s="1058"/>
      <c r="DRM153" s="1059"/>
      <c r="DRN153" s="1058"/>
      <c r="DRO153" s="1059"/>
      <c r="DRP153" s="1058"/>
      <c r="DRQ153" s="1059"/>
      <c r="DRR153" s="1058"/>
      <c r="DRS153" s="1059"/>
      <c r="DRT153" s="1058"/>
      <c r="DRU153" s="1059"/>
      <c r="DRV153" s="1058"/>
      <c r="DRW153" s="1059"/>
      <c r="DRX153" s="1058"/>
      <c r="DRY153" s="1059"/>
      <c r="DRZ153" s="1058"/>
      <c r="DSA153" s="1059"/>
      <c r="DSB153" s="1058"/>
      <c r="DSC153" s="1059"/>
      <c r="DSD153" s="1058"/>
      <c r="DSE153" s="1059"/>
      <c r="DSF153" s="1058"/>
      <c r="DSG153" s="1059"/>
      <c r="DSH153" s="1058"/>
      <c r="DSI153" s="1059"/>
      <c r="DSJ153" s="1058"/>
      <c r="DSK153" s="1059"/>
      <c r="DSL153" s="1058"/>
      <c r="DSM153" s="1059"/>
      <c r="DSN153" s="1058"/>
      <c r="DSO153" s="1059"/>
      <c r="DSP153" s="1058"/>
      <c r="DSQ153" s="1059"/>
      <c r="DSR153" s="1058"/>
      <c r="DSS153" s="1059"/>
      <c r="DST153" s="1058"/>
      <c r="DSU153" s="1059"/>
      <c r="DSV153" s="1058"/>
      <c r="DSW153" s="1059"/>
      <c r="DSX153" s="1058"/>
      <c r="DSY153" s="1059"/>
      <c r="DSZ153" s="1058"/>
      <c r="DTA153" s="1059"/>
      <c r="DTB153" s="1058"/>
      <c r="DTC153" s="1059"/>
      <c r="DTD153" s="1058"/>
      <c r="DTE153" s="1059"/>
      <c r="DTF153" s="1058"/>
      <c r="DTG153" s="1059"/>
      <c r="DTH153" s="1058"/>
      <c r="DTI153" s="1059"/>
      <c r="DTJ153" s="1058"/>
      <c r="DTK153" s="1059"/>
      <c r="DTL153" s="1058"/>
      <c r="DTM153" s="1059"/>
      <c r="DTN153" s="1058"/>
      <c r="DTO153" s="1059"/>
      <c r="DTP153" s="1058"/>
      <c r="DTQ153" s="1059"/>
      <c r="DTR153" s="1058"/>
      <c r="DTS153" s="1059"/>
      <c r="DTT153" s="1058"/>
      <c r="DTU153" s="1059"/>
      <c r="DTV153" s="1058"/>
      <c r="DTW153" s="1059"/>
      <c r="DTX153" s="1058"/>
      <c r="DTY153" s="1059"/>
      <c r="DTZ153" s="1058"/>
      <c r="DUA153" s="1059"/>
      <c r="DUB153" s="1058"/>
      <c r="DUC153" s="1059"/>
      <c r="DUD153" s="1058"/>
      <c r="DUE153" s="1059"/>
      <c r="DUF153" s="1058"/>
      <c r="DUG153" s="1059"/>
      <c r="DUH153" s="1058"/>
      <c r="DUI153" s="1059"/>
      <c r="DUJ153" s="1058"/>
      <c r="DUK153" s="1059"/>
      <c r="DUL153" s="1058"/>
      <c r="DUM153" s="1059"/>
      <c r="DUN153" s="1058"/>
      <c r="DUO153" s="1059"/>
      <c r="DUP153" s="1058"/>
      <c r="DUQ153" s="1059"/>
      <c r="DUR153" s="1058"/>
      <c r="DUS153" s="1059"/>
      <c r="DUT153" s="1058"/>
      <c r="DUU153" s="1059"/>
      <c r="DUV153" s="1058"/>
      <c r="DUW153" s="1059"/>
      <c r="DUX153" s="1058"/>
      <c r="DUY153" s="1059"/>
      <c r="DUZ153" s="1058"/>
      <c r="DVA153" s="1059"/>
      <c r="DVB153" s="1058"/>
      <c r="DVC153" s="1059"/>
      <c r="DVD153" s="1058"/>
      <c r="DVE153" s="1059"/>
      <c r="DVF153" s="1058"/>
      <c r="DVG153" s="1059"/>
      <c r="DVH153" s="1058"/>
      <c r="DVI153" s="1059"/>
      <c r="DVJ153" s="1058"/>
      <c r="DVK153" s="1059"/>
      <c r="DVL153" s="1058"/>
      <c r="DVM153" s="1059"/>
      <c r="DVN153" s="1058"/>
      <c r="DVO153" s="1059"/>
      <c r="DVP153" s="1058"/>
      <c r="DVQ153" s="1059"/>
      <c r="DVR153" s="1058"/>
      <c r="DVS153" s="1059"/>
      <c r="DVT153" s="1058"/>
      <c r="DVU153" s="1059"/>
      <c r="DVV153" s="1058"/>
      <c r="DVW153" s="1059"/>
      <c r="DVX153" s="1058"/>
      <c r="DVY153" s="1059"/>
      <c r="DVZ153" s="1058"/>
      <c r="DWA153" s="1059"/>
      <c r="DWB153" s="1058"/>
      <c r="DWC153" s="1059"/>
      <c r="DWD153" s="1058"/>
      <c r="DWE153" s="1059"/>
      <c r="DWF153" s="1058"/>
      <c r="DWG153" s="1059"/>
      <c r="DWH153" s="1058"/>
      <c r="DWI153" s="1059"/>
      <c r="DWJ153" s="1058"/>
      <c r="DWK153" s="1059"/>
      <c r="DWL153" s="1058"/>
      <c r="DWM153" s="1059"/>
      <c r="DWN153" s="1058"/>
      <c r="DWO153" s="1059"/>
      <c r="DWP153" s="1058"/>
      <c r="DWQ153" s="1059"/>
      <c r="DWR153" s="1058"/>
      <c r="DWS153" s="1059"/>
      <c r="DWT153" s="1058"/>
      <c r="DWU153" s="1059"/>
      <c r="DWV153" s="1058"/>
      <c r="DWW153" s="1059"/>
      <c r="DWX153" s="1058"/>
      <c r="DWY153" s="1059"/>
      <c r="DWZ153" s="1058"/>
      <c r="DXA153" s="1059"/>
      <c r="DXB153" s="1058"/>
      <c r="DXC153" s="1059"/>
      <c r="DXD153" s="1058"/>
      <c r="DXE153" s="1059"/>
      <c r="DXF153" s="1058"/>
      <c r="DXG153" s="1059"/>
      <c r="DXH153" s="1058"/>
      <c r="DXI153" s="1059"/>
      <c r="DXJ153" s="1058"/>
      <c r="DXK153" s="1059"/>
      <c r="DXL153" s="1058"/>
      <c r="DXM153" s="1059"/>
      <c r="DXN153" s="1058"/>
      <c r="DXO153" s="1059"/>
      <c r="DXP153" s="1058"/>
      <c r="DXQ153" s="1059"/>
      <c r="DXR153" s="1058"/>
      <c r="DXS153" s="1059"/>
      <c r="DXT153" s="1058"/>
      <c r="DXU153" s="1059"/>
      <c r="DXV153" s="1058"/>
      <c r="DXW153" s="1059"/>
      <c r="DXX153" s="1058"/>
      <c r="DXY153" s="1059"/>
      <c r="DXZ153" s="1058"/>
      <c r="DYA153" s="1059"/>
      <c r="DYB153" s="1058"/>
      <c r="DYC153" s="1059"/>
      <c r="DYD153" s="1058"/>
      <c r="DYE153" s="1059"/>
      <c r="DYF153" s="1058"/>
      <c r="DYG153" s="1059"/>
      <c r="DYH153" s="1058"/>
      <c r="DYI153" s="1059"/>
      <c r="DYJ153" s="1058"/>
      <c r="DYK153" s="1059"/>
      <c r="DYL153" s="1058"/>
      <c r="DYM153" s="1059"/>
      <c r="DYN153" s="1058"/>
      <c r="DYO153" s="1059"/>
      <c r="DYP153" s="1058"/>
      <c r="DYQ153" s="1059"/>
      <c r="DYR153" s="1058"/>
      <c r="DYS153" s="1059"/>
      <c r="DYT153" s="1058"/>
      <c r="DYU153" s="1059"/>
      <c r="DYV153" s="1058"/>
      <c r="DYW153" s="1059"/>
      <c r="DYX153" s="1058"/>
      <c r="DYY153" s="1059"/>
      <c r="DYZ153" s="1058"/>
      <c r="DZA153" s="1059"/>
      <c r="DZB153" s="1058"/>
      <c r="DZC153" s="1059"/>
      <c r="DZD153" s="1058"/>
      <c r="DZE153" s="1059"/>
      <c r="DZF153" s="1058"/>
      <c r="DZG153" s="1059"/>
      <c r="DZH153" s="1058"/>
      <c r="DZI153" s="1059"/>
      <c r="DZJ153" s="1058"/>
      <c r="DZK153" s="1059"/>
      <c r="DZL153" s="1058"/>
      <c r="DZM153" s="1059"/>
      <c r="DZN153" s="1058"/>
      <c r="DZO153" s="1059"/>
      <c r="DZP153" s="1058"/>
      <c r="DZQ153" s="1059"/>
      <c r="DZR153" s="1058"/>
      <c r="DZS153" s="1059"/>
      <c r="DZT153" s="1058"/>
      <c r="DZU153" s="1059"/>
      <c r="DZV153" s="1058"/>
      <c r="DZW153" s="1059"/>
      <c r="DZX153" s="1058"/>
      <c r="DZY153" s="1059"/>
      <c r="DZZ153" s="1058"/>
      <c r="EAA153" s="1059"/>
      <c r="EAB153" s="1058"/>
      <c r="EAC153" s="1059"/>
      <c r="EAD153" s="1058"/>
      <c r="EAE153" s="1059"/>
      <c r="EAF153" s="1058"/>
      <c r="EAG153" s="1059"/>
      <c r="EAH153" s="1058"/>
      <c r="EAI153" s="1059"/>
      <c r="EAJ153" s="1058"/>
      <c r="EAK153" s="1059"/>
      <c r="EAL153" s="1058"/>
      <c r="EAM153" s="1059"/>
      <c r="EAN153" s="1058"/>
      <c r="EAO153" s="1059"/>
      <c r="EAP153" s="1058"/>
      <c r="EAQ153" s="1059"/>
      <c r="EAR153" s="1058"/>
      <c r="EAS153" s="1059"/>
      <c r="EAT153" s="1058"/>
      <c r="EAU153" s="1059"/>
      <c r="EAV153" s="1058"/>
      <c r="EAW153" s="1059"/>
      <c r="EAX153" s="1058"/>
      <c r="EAY153" s="1059"/>
      <c r="EAZ153" s="1058"/>
      <c r="EBA153" s="1059"/>
      <c r="EBB153" s="1058"/>
      <c r="EBC153" s="1059"/>
      <c r="EBD153" s="1058"/>
      <c r="EBE153" s="1059"/>
      <c r="EBF153" s="1058"/>
      <c r="EBG153" s="1059"/>
      <c r="EBH153" s="1058"/>
      <c r="EBI153" s="1059"/>
      <c r="EBJ153" s="1058"/>
      <c r="EBK153" s="1059"/>
      <c r="EBL153" s="1058"/>
      <c r="EBM153" s="1059"/>
      <c r="EBN153" s="1058"/>
      <c r="EBO153" s="1059"/>
      <c r="EBP153" s="1058"/>
      <c r="EBQ153" s="1059"/>
      <c r="EBR153" s="1058"/>
      <c r="EBS153" s="1059"/>
      <c r="EBT153" s="1058"/>
      <c r="EBU153" s="1059"/>
      <c r="EBV153" s="1058"/>
      <c r="EBW153" s="1059"/>
      <c r="EBX153" s="1058"/>
      <c r="EBY153" s="1059"/>
      <c r="EBZ153" s="1058"/>
      <c r="ECA153" s="1059"/>
      <c r="ECB153" s="1058"/>
      <c r="ECC153" s="1059"/>
      <c r="ECD153" s="1058"/>
      <c r="ECE153" s="1059"/>
      <c r="ECF153" s="1058"/>
      <c r="ECG153" s="1059"/>
      <c r="ECH153" s="1058"/>
      <c r="ECI153" s="1059"/>
      <c r="ECJ153" s="1058"/>
      <c r="ECK153" s="1059"/>
      <c r="ECL153" s="1058"/>
      <c r="ECM153" s="1059"/>
      <c r="ECN153" s="1058"/>
      <c r="ECO153" s="1059"/>
      <c r="ECP153" s="1058"/>
      <c r="ECQ153" s="1059"/>
      <c r="ECR153" s="1058"/>
      <c r="ECS153" s="1059"/>
      <c r="ECT153" s="1058"/>
      <c r="ECU153" s="1059"/>
      <c r="ECV153" s="1058"/>
      <c r="ECW153" s="1059"/>
      <c r="ECX153" s="1058"/>
      <c r="ECY153" s="1059"/>
      <c r="ECZ153" s="1058"/>
      <c r="EDA153" s="1059"/>
      <c r="EDB153" s="1058"/>
      <c r="EDC153" s="1059"/>
      <c r="EDD153" s="1058"/>
      <c r="EDE153" s="1059"/>
      <c r="EDF153" s="1058"/>
      <c r="EDG153" s="1059"/>
      <c r="EDH153" s="1058"/>
      <c r="EDI153" s="1059"/>
      <c r="EDJ153" s="1058"/>
      <c r="EDK153" s="1059"/>
      <c r="EDL153" s="1058"/>
      <c r="EDM153" s="1059"/>
      <c r="EDN153" s="1058"/>
      <c r="EDO153" s="1059"/>
      <c r="EDP153" s="1058"/>
      <c r="EDQ153" s="1059"/>
      <c r="EDR153" s="1058"/>
      <c r="EDS153" s="1059"/>
      <c r="EDT153" s="1058"/>
      <c r="EDU153" s="1059"/>
      <c r="EDV153" s="1058"/>
      <c r="EDW153" s="1059"/>
      <c r="EDX153" s="1058"/>
      <c r="EDY153" s="1059"/>
      <c r="EDZ153" s="1058"/>
      <c r="EEA153" s="1059"/>
      <c r="EEB153" s="1058"/>
      <c r="EEC153" s="1059"/>
      <c r="EED153" s="1058"/>
      <c r="EEE153" s="1059"/>
      <c r="EEF153" s="1058"/>
      <c r="EEG153" s="1059"/>
      <c r="EEH153" s="1058"/>
      <c r="EEI153" s="1059"/>
      <c r="EEJ153" s="1058"/>
      <c r="EEK153" s="1059"/>
      <c r="EEL153" s="1058"/>
      <c r="EEM153" s="1059"/>
      <c r="EEN153" s="1058"/>
      <c r="EEO153" s="1059"/>
      <c r="EEP153" s="1058"/>
      <c r="EEQ153" s="1059"/>
      <c r="EER153" s="1058"/>
      <c r="EES153" s="1059"/>
      <c r="EET153" s="1058"/>
      <c r="EEU153" s="1059"/>
      <c r="EEV153" s="1058"/>
      <c r="EEW153" s="1059"/>
      <c r="EEX153" s="1058"/>
      <c r="EEY153" s="1059"/>
      <c r="EEZ153" s="1058"/>
      <c r="EFA153" s="1059"/>
      <c r="EFB153" s="1058"/>
      <c r="EFC153" s="1059"/>
      <c r="EFD153" s="1058"/>
      <c r="EFE153" s="1059"/>
      <c r="EFF153" s="1058"/>
      <c r="EFG153" s="1059"/>
      <c r="EFH153" s="1058"/>
      <c r="EFI153" s="1059"/>
      <c r="EFJ153" s="1058"/>
      <c r="EFK153" s="1059"/>
      <c r="EFL153" s="1058"/>
      <c r="EFM153" s="1059"/>
      <c r="EFN153" s="1058"/>
      <c r="EFO153" s="1059"/>
      <c r="EFP153" s="1058"/>
      <c r="EFQ153" s="1059"/>
      <c r="EFR153" s="1058"/>
      <c r="EFS153" s="1059"/>
      <c r="EFT153" s="1058"/>
      <c r="EFU153" s="1059"/>
      <c r="EFV153" s="1058"/>
      <c r="EFW153" s="1059"/>
      <c r="EFX153" s="1058"/>
      <c r="EFY153" s="1059"/>
      <c r="EFZ153" s="1058"/>
      <c r="EGA153" s="1059"/>
      <c r="EGB153" s="1058"/>
      <c r="EGC153" s="1059"/>
      <c r="EGD153" s="1058"/>
      <c r="EGE153" s="1059"/>
      <c r="EGF153" s="1058"/>
      <c r="EGG153" s="1059"/>
      <c r="EGH153" s="1058"/>
      <c r="EGI153" s="1059"/>
      <c r="EGJ153" s="1058"/>
      <c r="EGK153" s="1059"/>
      <c r="EGL153" s="1058"/>
      <c r="EGM153" s="1059"/>
      <c r="EGN153" s="1058"/>
      <c r="EGO153" s="1059"/>
      <c r="EGP153" s="1058"/>
      <c r="EGQ153" s="1059"/>
      <c r="EGR153" s="1058"/>
      <c r="EGS153" s="1059"/>
      <c r="EGT153" s="1058"/>
      <c r="EGU153" s="1059"/>
      <c r="EGV153" s="1058"/>
      <c r="EGW153" s="1059"/>
      <c r="EGX153" s="1058"/>
      <c r="EGY153" s="1059"/>
      <c r="EGZ153" s="1058"/>
      <c r="EHA153" s="1059"/>
      <c r="EHB153" s="1058"/>
      <c r="EHC153" s="1059"/>
      <c r="EHD153" s="1058"/>
      <c r="EHE153" s="1059"/>
      <c r="EHF153" s="1058"/>
      <c r="EHG153" s="1059"/>
      <c r="EHH153" s="1058"/>
      <c r="EHI153" s="1059"/>
      <c r="EHJ153" s="1058"/>
      <c r="EHK153" s="1059"/>
      <c r="EHL153" s="1058"/>
      <c r="EHM153" s="1059"/>
      <c r="EHN153" s="1058"/>
      <c r="EHO153" s="1059"/>
      <c r="EHP153" s="1058"/>
      <c r="EHQ153" s="1059"/>
      <c r="EHR153" s="1058"/>
      <c r="EHS153" s="1059"/>
      <c r="EHT153" s="1058"/>
      <c r="EHU153" s="1059"/>
      <c r="EHV153" s="1058"/>
      <c r="EHW153" s="1059"/>
      <c r="EHX153" s="1058"/>
      <c r="EHY153" s="1059"/>
      <c r="EHZ153" s="1058"/>
      <c r="EIA153" s="1059"/>
      <c r="EIB153" s="1058"/>
      <c r="EIC153" s="1059"/>
      <c r="EID153" s="1058"/>
      <c r="EIE153" s="1059"/>
      <c r="EIF153" s="1058"/>
      <c r="EIG153" s="1059"/>
      <c r="EIH153" s="1058"/>
      <c r="EII153" s="1059"/>
      <c r="EIJ153" s="1058"/>
      <c r="EIK153" s="1059"/>
      <c r="EIL153" s="1058"/>
      <c r="EIM153" s="1059"/>
      <c r="EIN153" s="1058"/>
      <c r="EIO153" s="1059"/>
      <c r="EIP153" s="1058"/>
      <c r="EIQ153" s="1059"/>
      <c r="EIR153" s="1058"/>
      <c r="EIS153" s="1059"/>
      <c r="EIT153" s="1058"/>
      <c r="EIU153" s="1059"/>
      <c r="EIV153" s="1058"/>
      <c r="EIW153" s="1059"/>
      <c r="EIX153" s="1058"/>
      <c r="EIY153" s="1059"/>
      <c r="EIZ153" s="1058"/>
      <c r="EJA153" s="1059"/>
      <c r="EJB153" s="1058"/>
      <c r="EJC153" s="1059"/>
      <c r="EJD153" s="1058"/>
      <c r="EJE153" s="1059"/>
      <c r="EJF153" s="1058"/>
      <c r="EJG153" s="1059"/>
      <c r="EJH153" s="1058"/>
      <c r="EJI153" s="1059"/>
      <c r="EJJ153" s="1058"/>
      <c r="EJK153" s="1059"/>
      <c r="EJL153" s="1058"/>
      <c r="EJM153" s="1059"/>
      <c r="EJN153" s="1058"/>
      <c r="EJO153" s="1059"/>
      <c r="EJP153" s="1058"/>
      <c r="EJQ153" s="1059"/>
      <c r="EJR153" s="1058"/>
      <c r="EJS153" s="1059"/>
      <c r="EJT153" s="1058"/>
      <c r="EJU153" s="1059"/>
      <c r="EJV153" s="1058"/>
      <c r="EJW153" s="1059"/>
      <c r="EJX153" s="1058"/>
      <c r="EJY153" s="1059"/>
      <c r="EJZ153" s="1058"/>
      <c r="EKA153" s="1059"/>
      <c r="EKB153" s="1058"/>
      <c r="EKC153" s="1059"/>
      <c r="EKD153" s="1058"/>
      <c r="EKE153" s="1059"/>
      <c r="EKF153" s="1058"/>
      <c r="EKG153" s="1059"/>
      <c r="EKH153" s="1058"/>
      <c r="EKI153" s="1059"/>
      <c r="EKJ153" s="1058"/>
      <c r="EKK153" s="1059"/>
      <c r="EKL153" s="1058"/>
      <c r="EKM153" s="1059"/>
      <c r="EKN153" s="1058"/>
      <c r="EKO153" s="1059"/>
      <c r="EKP153" s="1058"/>
      <c r="EKQ153" s="1059"/>
      <c r="EKR153" s="1058"/>
      <c r="EKS153" s="1059"/>
      <c r="EKT153" s="1058"/>
      <c r="EKU153" s="1059"/>
      <c r="EKV153" s="1058"/>
      <c r="EKW153" s="1059"/>
      <c r="EKX153" s="1058"/>
      <c r="EKY153" s="1059"/>
      <c r="EKZ153" s="1058"/>
      <c r="ELA153" s="1059"/>
      <c r="ELB153" s="1058"/>
      <c r="ELC153" s="1059"/>
      <c r="ELD153" s="1058"/>
      <c r="ELE153" s="1059"/>
      <c r="ELF153" s="1058"/>
      <c r="ELG153" s="1059"/>
      <c r="ELH153" s="1058"/>
      <c r="ELI153" s="1059"/>
      <c r="ELJ153" s="1058"/>
      <c r="ELK153" s="1059"/>
      <c r="ELL153" s="1058"/>
      <c r="ELM153" s="1059"/>
      <c r="ELN153" s="1058"/>
      <c r="ELO153" s="1059"/>
      <c r="ELP153" s="1058"/>
      <c r="ELQ153" s="1059"/>
      <c r="ELR153" s="1058"/>
      <c r="ELS153" s="1059"/>
      <c r="ELT153" s="1058"/>
      <c r="ELU153" s="1059"/>
      <c r="ELV153" s="1058"/>
      <c r="ELW153" s="1059"/>
      <c r="ELX153" s="1058"/>
      <c r="ELY153" s="1059"/>
      <c r="ELZ153" s="1058"/>
      <c r="EMA153" s="1059"/>
      <c r="EMB153" s="1058"/>
      <c r="EMC153" s="1059"/>
      <c r="EMD153" s="1058"/>
      <c r="EME153" s="1059"/>
      <c r="EMF153" s="1058"/>
      <c r="EMG153" s="1059"/>
      <c r="EMH153" s="1058"/>
      <c r="EMI153" s="1059"/>
      <c r="EMJ153" s="1058"/>
      <c r="EMK153" s="1059"/>
      <c r="EML153" s="1058"/>
      <c r="EMM153" s="1059"/>
      <c r="EMN153" s="1058"/>
      <c r="EMO153" s="1059"/>
      <c r="EMP153" s="1058"/>
      <c r="EMQ153" s="1059"/>
      <c r="EMR153" s="1058"/>
      <c r="EMS153" s="1059"/>
      <c r="EMT153" s="1058"/>
      <c r="EMU153" s="1059"/>
      <c r="EMV153" s="1058"/>
      <c r="EMW153" s="1059"/>
      <c r="EMX153" s="1058"/>
      <c r="EMY153" s="1059"/>
      <c r="EMZ153" s="1058"/>
      <c r="ENA153" s="1059"/>
      <c r="ENB153" s="1058"/>
      <c r="ENC153" s="1059"/>
      <c r="END153" s="1058"/>
      <c r="ENE153" s="1059"/>
      <c r="ENF153" s="1058"/>
      <c r="ENG153" s="1059"/>
      <c r="ENH153" s="1058"/>
      <c r="ENI153" s="1059"/>
      <c r="ENJ153" s="1058"/>
      <c r="ENK153" s="1059"/>
      <c r="ENL153" s="1058"/>
      <c r="ENM153" s="1059"/>
      <c r="ENN153" s="1058"/>
      <c r="ENO153" s="1059"/>
      <c r="ENP153" s="1058"/>
      <c r="ENQ153" s="1059"/>
      <c r="ENR153" s="1058"/>
      <c r="ENS153" s="1059"/>
      <c r="ENT153" s="1058"/>
      <c r="ENU153" s="1059"/>
      <c r="ENV153" s="1058"/>
      <c r="ENW153" s="1059"/>
      <c r="ENX153" s="1058"/>
      <c r="ENY153" s="1059"/>
      <c r="ENZ153" s="1058"/>
      <c r="EOA153" s="1059"/>
      <c r="EOB153" s="1058"/>
      <c r="EOC153" s="1059"/>
      <c r="EOD153" s="1058"/>
      <c r="EOE153" s="1059"/>
      <c r="EOF153" s="1058"/>
      <c r="EOG153" s="1059"/>
      <c r="EOH153" s="1058"/>
      <c r="EOI153" s="1059"/>
      <c r="EOJ153" s="1058"/>
      <c r="EOK153" s="1059"/>
      <c r="EOL153" s="1058"/>
      <c r="EOM153" s="1059"/>
      <c r="EON153" s="1058"/>
      <c r="EOO153" s="1059"/>
      <c r="EOP153" s="1058"/>
      <c r="EOQ153" s="1059"/>
      <c r="EOR153" s="1058"/>
      <c r="EOS153" s="1059"/>
      <c r="EOT153" s="1058"/>
      <c r="EOU153" s="1059"/>
      <c r="EOV153" s="1058"/>
      <c r="EOW153" s="1059"/>
      <c r="EOX153" s="1058"/>
      <c r="EOY153" s="1059"/>
      <c r="EOZ153" s="1058"/>
      <c r="EPA153" s="1059"/>
      <c r="EPB153" s="1058"/>
      <c r="EPC153" s="1059"/>
      <c r="EPD153" s="1058"/>
      <c r="EPE153" s="1059"/>
      <c r="EPF153" s="1058"/>
      <c r="EPG153" s="1059"/>
      <c r="EPH153" s="1058"/>
      <c r="EPI153" s="1059"/>
      <c r="EPJ153" s="1058"/>
      <c r="EPK153" s="1059"/>
      <c r="EPL153" s="1058"/>
      <c r="EPM153" s="1059"/>
      <c r="EPN153" s="1058"/>
      <c r="EPO153" s="1059"/>
      <c r="EPP153" s="1058"/>
      <c r="EPQ153" s="1059"/>
      <c r="EPR153" s="1058"/>
      <c r="EPS153" s="1059"/>
      <c r="EPT153" s="1058"/>
      <c r="EPU153" s="1059"/>
      <c r="EPV153" s="1058"/>
      <c r="EPW153" s="1059"/>
      <c r="EPX153" s="1058"/>
      <c r="EPY153" s="1059"/>
      <c r="EPZ153" s="1058"/>
      <c r="EQA153" s="1059"/>
      <c r="EQB153" s="1058"/>
      <c r="EQC153" s="1059"/>
      <c r="EQD153" s="1058"/>
      <c r="EQE153" s="1059"/>
      <c r="EQF153" s="1058"/>
      <c r="EQG153" s="1059"/>
      <c r="EQH153" s="1058"/>
      <c r="EQI153" s="1059"/>
      <c r="EQJ153" s="1058"/>
      <c r="EQK153" s="1059"/>
      <c r="EQL153" s="1058"/>
      <c r="EQM153" s="1059"/>
      <c r="EQN153" s="1058"/>
      <c r="EQO153" s="1059"/>
      <c r="EQP153" s="1058"/>
      <c r="EQQ153" s="1059"/>
      <c r="EQR153" s="1058"/>
      <c r="EQS153" s="1059"/>
      <c r="EQT153" s="1058"/>
      <c r="EQU153" s="1059"/>
      <c r="EQV153" s="1058"/>
      <c r="EQW153" s="1059"/>
      <c r="EQX153" s="1058"/>
      <c r="EQY153" s="1059"/>
      <c r="EQZ153" s="1058"/>
      <c r="ERA153" s="1059"/>
      <c r="ERB153" s="1058"/>
      <c r="ERC153" s="1059"/>
      <c r="ERD153" s="1058"/>
      <c r="ERE153" s="1059"/>
      <c r="ERF153" s="1058"/>
      <c r="ERG153" s="1059"/>
      <c r="ERH153" s="1058"/>
      <c r="ERI153" s="1059"/>
      <c r="ERJ153" s="1058"/>
      <c r="ERK153" s="1059"/>
      <c r="ERL153" s="1058"/>
      <c r="ERM153" s="1059"/>
      <c r="ERN153" s="1058"/>
      <c r="ERO153" s="1059"/>
      <c r="ERP153" s="1058"/>
      <c r="ERQ153" s="1059"/>
      <c r="ERR153" s="1058"/>
      <c r="ERS153" s="1059"/>
      <c r="ERT153" s="1058"/>
      <c r="ERU153" s="1059"/>
      <c r="ERV153" s="1058"/>
      <c r="ERW153" s="1059"/>
      <c r="ERX153" s="1058"/>
      <c r="ERY153" s="1059"/>
      <c r="ERZ153" s="1058"/>
      <c r="ESA153" s="1059"/>
      <c r="ESB153" s="1058"/>
      <c r="ESC153" s="1059"/>
      <c r="ESD153" s="1058"/>
      <c r="ESE153" s="1059"/>
      <c r="ESF153" s="1058"/>
      <c r="ESG153" s="1059"/>
      <c r="ESH153" s="1058"/>
      <c r="ESI153" s="1059"/>
      <c r="ESJ153" s="1058"/>
      <c r="ESK153" s="1059"/>
      <c r="ESL153" s="1058"/>
      <c r="ESM153" s="1059"/>
      <c r="ESN153" s="1058"/>
      <c r="ESO153" s="1059"/>
      <c r="ESP153" s="1058"/>
      <c r="ESQ153" s="1059"/>
      <c r="ESR153" s="1058"/>
      <c r="ESS153" s="1059"/>
      <c r="EST153" s="1058"/>
      <c r="ESU153" s="1059"/>
      <c r="ESV153" s="1058"/>
      <c r="ESW153" s="1059"/>
      <c r="ESX153" s="1058"/>
      <c r="ESY153" s="1059"/>
      <c r="ESZ153" s="1058"/>
      <c r="ETA153" s="1059"/>
      <c r="ETB153" s="1058"/>
      <c r="ETC153" s="1059"/>
      <c r="ETD153" s="1058"/>
      <c r="ETE153" s="1059"/>
      <c r="ETF153" s="1058"/>
      <c r="ETG153" s="1059"/>
      <c r="ETH153" s="1058"/>
      <c r="ETI153" s="1059"/>
      <c r="ETJ153" s="1058"/>
      <c r="ETK153" s="1059"/>
      <c r="ETL153" s="1058"/>
      <c r="ETM153" s="1059"/>
      <c r="ETN153" s="1058"/>
      <c r="ETO153" s="1059"/>
      <c r="ETP153" s="1058"/>
      <c r="ETQ153" s="1059"/>
      <c r="ETR153" s="1058"/>
      <c r="ETS153" s="1059"/>
      <c r="ETT153" s="1058"/>
      <c r="ETU153" s="1059"/>
      <c r="ETV153" s="1058"/>
      <c r="ETW153" s="1059"/>
      <c r="ETX153" s="1058"/>
      <c r="ETY153" s="1059"/>
      <c r="ETZ153" s="1058"/>
      <c r="EUA153" s="1059"/>
      <c r="EUB153" s="1058"/>
      <c r="EUC153" s="1059"/>
      <c r="EUD153" s="1058"/>
      <c r="EUE153" s="1059"/>
      <c r="EUF153" s="1058"/>
      <c r="EUG153" s="1059"/>
      <c r="EUH153" s="1058"/>
      <c r="EUI153" s="1059"/>
      <c r="EUJ153" s="1058"/>
      <c r="EUK153" s="1059"/>
      <c r="EUL153" s="1058"/>
      <c r="EUM153" s="1059"/>
      <c r="EUN153" s="1058"/>
      <c r="EUO153" s="1059"/>
      <c r="EUP153" s="1058"/>
      <c r="EUQ153" s="1059"/>
      <c r="EUR153" s="1058"/>
      <c r="EUS153" s="1059"/>
      <c r="EUT153" s="1058"/>
      <c r="EUU153" s="1059"/>
      <c r="EUV153" s="1058"/>
      <c r="EUW153" s="1059"/>
      <c r="EUX153" s="1058"/>
      <c r="EUY153" s="1059"/>
      <c r="EUZ153" s="1058"/>
      <c r="EVA153" s="1059"/>
      <c r="EVB153" s="1058"/>
      <c r="EVC153" s="1059"/>
      <c r="EVD153" s="1058"/>
      <c r="EVE153" s="1059"/>
      <c r="EVF153" s="1058"/>
      <c r="EVG153" s="1059"/>
      <c r="EVH153" s="1058"/>
      <c r="EVI153" s="1059"/>
      <c r="EVJ153" s="1058"/>
      <c r="EVK153" s="1059"/>
      <c r="EVL153" s="1058"/>
      <c r="EVM153" s="1059"/>
      <c r="EVN153" s="1058"/>
      <c r="EVO153" s="1059"/>
      <c r="EVP153" s="1058"/>
      <c r="EVQ153" s="1059"/>
      <c r="EVR153" s="1058"/>
      <c r="EVS153" s="1059"/>
      <c r="EVT153" s="1058"/>
      <c r="EVU153" s="1059"/>
      <c r="EVV153" s="1058"/>
      <c r="EVW153" s="1059"/>
      <c r="EVX153" s="1058"/>
      <c r="EVY153" s="1059"/>
      <c r="EVZ153" s="1058"/>
      <c r="EWA153" s="1059"/>
      <c r="EWB153" s="1058"/>
      <c r="EWC153" s="1059"/>
      <c r="EWD153" s="1058"/>
      <c r="EWE153" s="1059"/>
      <c r="EWF153" s="1058"/>
      <c r="EWG153" s="1059"/>
      <c r="EWH153" s="1058"/>
      <c r="EWI153" s="1059"/>
      <c r="EWJ153" s="1058"/>
      <c r="EWK153" s="1059"/>
      <c r="EWL153" s="1058"/>
      <c r="EWM153" s="1059"/>
      <c r="EWN153" s="1058"/>
      <c r="EWO153" s="1059"/>
      <c r="EWP153" s="1058"/>
      <c r="EWQ153" s="1059"/>
      <c r="EWR153" s="1058"/>
      <c r="EWS153" s="1059"/>
      <c r="EWT153" s="1058"/>
      <c r="EWU153" s="1059"/>
      <c r="EWV153" s="1058"/>
      <c r="EWW153" s="1059"/>
      <c r="EWX153" s="1058"/>
      <c r="EWY153" s="1059"/>
      <c r="EWZ153" s="1058"/>
      <c r="EXA153" s="1059"/>
      <c r="EXB153" s="1058"/>
      <c r="EXC153" s="1059"/>
      <c r="EXD153" s="1058"/>
      <c r="EXE153" s="1059"/>
      <c r="EXF153" s="1058"/>
      <c r="EXG153" s="1059"/>
      <c r="EXH153" s="1058"/>
      <c r="EXI153" s="1059"/>
      <c r="EXJ153" s="1058"/>
      <c r="EXK153" s="1059"/>
      <c r="EXL153" s="1058"/>
      <c r="EXM153" s="1059"/>
      <c r="EXN153" s="1058"/>
      <c r="EXO153" s="1059"/>
      <c r="EXP153" s="1058"/>
      <c r="EXQ153" s="1059"/>
      <c r="EXR153" s="1058"/>
      <c r="EXS153" s="1059"/>
      <c r="EXT153" s="1058"/>
      <c r="EXU153" s="1059"/>
      <c r="EXV153" s="1058"/>
      <c r="EXW153" s="1059"/>
      <c r="EXX153" s="1058"/>
      <c r="EXY153" s="1059"/>
      <c r="EXZ153" s="1058"/>
      <c r="EYA153" s="1059"/>
      <c r="EYB153" s="1058"/>
      <c r="EYC153" s="1059"/>
      <c r="EYD153" s="1058"/>
      <c r="EYE153" s="1059"/>
      <c r="EYF153" s="1058"/>
      <c r="EYG153" s="1059"/>
      <c r="EYH153" s="1058"/>
      <c r="EYI153" s="1059"/>
      <c r="EYJ153" s="1058"/>
      <c r="EYK153" s="1059"/>
      <c r="EYL153" s="1058"/>
      <c r="EYM153" s="1059"/>
      <c r="EYN153" s="1058"/>
      <c r="EYO153" s="1059"/>
      <c r="EYP153" s="1058"/>
      <c r="EYQ153" s="1059"/>
      <c r="EYR153" s="1058"/>
      <c r="EYS153" s="1059"/>
      <c r="EYT153" s="1058"/>
      <c r="EYU153" s="1059"/>
      <c r="EYV153" s="1058"/>
      <c r="EYW153" s="1059"/>
      <c r="EYX153" s="1058"/>
      <c r="EYY153" s="1059"/>
      <c r="EYZ153" s="1058"/>
      <c r="EZA153" s="1059"/>
      <c r="EZB153" s="1058"/>
      <c r="EZC153" s="1059"/>
      <c r="EZD153" s="1058"/>
      <c r="EZE153" s="1059"/>
      <c r="EZF153" s="1058"/>
      <c r="EZG153" s="1059"/>
      <c r="EZH153" s="1058"/>
      <c r="EZI153" s="1059"/>
      <c r="EZJ153" s="1058"/>
      <c r="EZK153" s="1059"/>
      <c r="EZL153" s="1058"/>
      <c r="EZM153" s="1059"/>
      <c r="EZN153" s="1058"/>
      <c r="EZO153" s="1059"/>
      <c r="EZP153" s="1058"/>
      <c r="EZQ153" s="1059"/>
      <c r="EZR153" s="1058"/>
      <c r="EZS153" s="1059"/>
      <c r="EZT153" s="1058"/>
      <c r="EZU153" s="1059"/>
      <c r="EZV153" s="1058"/>
      <c r="EZW153" s="1059"/>
      <c r="EZX153" s="1058"/>
      <c r="EZY153" s="1059"/>
      <c r="EZZ153" s="1058"/>
      <c r="FAA153" s="1059"/>
      <c r="FAB153" s="1058"/>
      <c r="FAC153" s="1059"/>
      <c r="FAD153" s="1058"/>
      <c r="FAE153" s="1059"/>
      <c r="FAF153" s="1058"/>
      <c r="FAG153" s="1059"/>
      <c r="FAH153" s="1058"/>
      <c r="FAI153" s="1059"/>
      <c r="FAJ153" s="1058"/>
      <c r="FAK153" s="1059"/>
      <c r="FAL153" s="1058"/>
      <c r="FAM153" s="1059"/>
      <c r="FAN153" s="1058"/>
      <c r="FAO153" s="1059"/>
      <c r="FAP153" s="1058"/>
      <c r="FAQ153" s="1059"/>
      <c r="FAR153" s="1058"/>
      <c r="FAS153" s="1059"/>
      <c r="FAT153" s="1058"/>
      <c r="FAU153" s="1059"/>
      <c r="FAV153" s="1058"/>
      <c r="FAW153" s="1059"/>
      <c r="FAX153" s="1058"/>
      <c r="FAY153" s="1059"/>
      <c r="FAZ153" s="1058"/>
      <c r="FBA153" s="1059"/>
      <c r="FBB153" s="1058"/>
      <c r="FBC153" s="1059"/>
      <c r="FBD153" s="1058"/>
      <c r="FBE153" s="1059"/>
      <c r="FBF153" s="1058"/>
      <c r="FBG153" s="1059"/>
      <c r="FBH153" s="1058"/>
      <c r="FBI153" s="1059"/>
      <c r="FBJ153" s="1058"/>
      <c r="FBK153" s="1059"/>
      <c r="FBL153" s="1058"/>
      <c r="FBM153" s="1059"/>
      <c r="FBN153" s="1058"/>
      <c r="FBO153" s="1059"/>
      <c r="FBP153" s="1058"/>
      <c r="FBQ153" s="1059"/>
      <c r="FBR153" s="1058"/>
      <c r="FBS153" s="1059"/>
      <c r="FBT153" s="1058"/>
      <c r="FBU153" s="1059"/>
      <c r="FBV153" s="1058"/>
      <c r="FBW153" s="1059"/>
      <c r="FBX153" s="1058"/>
      <c r="FBY153" s="1059"/>
      <c r="FBZ153" s="1058"/>
      <c r="FCA153" s="1059"/>
      <c r="FCB153" s="1058"/>
      <c r="FCC153" s="1059"/>
      <c r="FCD153" s="1058"/>
      <c r="FCE153" s="1059"/>
      <c r="FCF153" s="1058"/>
      <c r="FCG153" s="1059"/>
      <c r="FCH153" s="1058"/>
      <c r="FCI153" s="1059"/>
      <c r="FCJ153" s="1058"/>
      <c r="FCK153" s="1059"/>
      <c r="FCL153" s="1058"/>
      <c r="FCM153" s="1059"/>
      <c r="FCN153" s="1058"/>
      <c r="FCO153" s="1059"/>
      <c r="FCP153" s="1058"/>
      <c r="FCQ153" s="1059"/>
      <c r="FCR153" s="1058"/>
      <c r="FCS153" s="1059"/>
      <c r="FCT153" s="1058"/>
      <c r="FCU153" s="1059"/>
      <c r="FCV153" s="1058"/>
      <c r="FCW153" s="1059"/>
      <c r="FCX153" s="1058"/>
      <c r="FCY153" s="1059"/>
      <c r="FCZ153" s="1058"/>
      <c r="FDA153" s="1059"/>
      <c r="FDB153" s="1058"/>
      <c r="FDC153" s="1059"/>
      <c r="FDD153" s="1058"/>
      <c r="FDE153" s="1059"/>
      <c r="FDF153" s="1058"/>
      <c r="FDG153" s="1059"/>
      <c r="FDH153" s="1058"/>
      <c r="FDI153" s="1059"/>
      <c r="FDJ153" s="1058"/>
      <c r="FDK153" s="1059"/>
      <c r="FDL153" s="1058"/>
      <c r="FDM153" s="1059"/>
      <c r="FDN153" s="1058"/>
      <c r="FDO153" s="1059"/>
      <c r="FDP153" s="1058"/>
      <c r="FDQ153" s="1059"/>
      <c r="FDR153" s="1058"/>
      <c r="FDS153" s="1059"/>
      <c r="FDT153" s="1058"/>
      <c r="FDU153" s="1059"/>
      <c r="FDV153" s="1058"/>
      <c r="FDW153" s="1059"/>
      <c r="FDX153" s="1058"/>
      <c r="FDY153" s="1059"/>
      <c r="FDZ153" s="1058"/>
      <c r="FEA153" s="1059"/>
      <c r="FEB153" s="1058"/>
      <c r="FEC153" s="1059"/>
      <c r="FED153" s="1058"/>
      <c r="FEE153" s="1059"/>
      <c r="FEF153" s="1058"/>
      <c r="FEG153" s="1059"/>
      <c r="FEH153" s="1058"/>
      <c r="FEI153" s="1059"/>
      <c r="FEJ153" s="1058"/>
      <c r="FEK153" s="1059"/>
      <c r="FEL153" s="1058"/>
      <c r="FEM153" s="1059"/>
      <c r="FEN153" s="1058"/>
      <c r="FEO153" s="1059"/>
      <c r="FEP153" s="1058"/>
      <c r="FEQ153" s="1059"/>
      <c r="FER153" s="1058"/>
      <c r="FES153" s="1059"/>
      <c r="FET153" s="1058"/>
      <c r="FEU153" s="1059"/>
      <c r="FEV153" s="1058"/>
      <c r="FEW153" s="1059"/>
      <c r="FEX153" s="1058"/>
      <c r="FEY153" s="1059"/>
      <c r="FEZ153" s="1058"/>
      <c r="FFA153" s="1059"/>
      <c r="FFB153" s="1058"/>
      <c r="FFC153" s="1059"/>
      <c r="FFD153" s="1058"/>
      <c r="FFE153" s="1059"/>
      <c r="FFF153" s="1058"/>
      <c r="FFG153" s="1059"/>
      <c r="FFH153" s="1058"/>
      <c r="FFI153" s="1059"/>
      <c r="FFJ153" s="1058"/>
      <c r="FFK153" s="1059"/>
      <c r="FFL153" s="1058"/>
      <c r="FFM153" s="1059"/>
      <c r="FFN153" s="1058"/>
      <c r="FFO153" s="1059"/>
      <c r="FFP153" s="1058"/>
      <c r="FFQ153" s="1059"/>
      <c r="FFR153" s="1058"/>
      <c r="FFS153" s="1059"/>
      <c r="FFT153" s="1058"/>
      <c r="FFU153" s="1059"/>
      <c r="FFV153" s="1058"/>
      <c r="FFW153" s="1059"/>
      <c r="FFX153" s="1058"/>
      <c r="FFY153" s="1059"/>
      <c r="FFZ153" s="1058"/>
      <c r="FGA153" s="1059"/>
      <c r="FGB153" s="1058"/>
      <c r="FGC153" s="1059"/>
      <c r="FGD153" s="1058"/>
      <c r="FGE153" s="1059"/>
      <c r="FGF153" s="1058"/>
      <c r="FGG153" s="1059"/>
      <c r="FGH153" s="1058"/>
      <c r="FGI153" s="1059"/>
      <c r="FGJ153" s="1058"/>
      <c r="FGK153" s="1059"/>
      <c r="FGL153" s="1058"/>
      <c r="FGM153" s="1059"/>
      <c r="FGN153" s="1058"/>
      <c r="FGO153" s="1059"/>
      <c r="FGP153" s="1058"/>
      <c r="FGQ153" s="1059"/>
      <c r="FGR153" s="1058"/>
      <c r="FGS153" s="1059"/>
      <c r="FGT153" s="1058"/>
      <c r="FGU153" s="1059"/>
      <c r="FGV153" s="1058"/>
      <c r="FGW153" s="1059"/>
      <c r="FGX153" s="1058"/>
      <c r="FGY153" s="1059"/>
      <c r="FGZ153" s="1058"/>
      <c r="FHA153" s="1059"/>
      <c r="FHB153" s="1058"/>
      <c r="FHC153" s="1059"/>
      <c r="FHD153" s="1058"/>
      <c r="FHE153" s="1059"/>
      <c r="FHF153" s="1058"/>
      <c r="FHG153" s="1059"/>
      <c r="FHH153" s="1058"/>
      <c r="FHI153" s="1059"/>
      <c r="FHJ153" s="1058"/>
      <c r="FHK153" s="1059"/>
      <c r="FHL153" s="1058"/>
      <c r="FHM153" s="1059"/>
      <c r="FHN153" s="1058"/>
      <c r="FHO153" s="1059"/>
      <c r="FHP153" s="1058"/>
      <c r="FHQ153" s="1059"/>
      <c r="FHR153" s="1058"/>
      <c r="FHS153" s="1059"/>
      <c r="FHT153" s="1058"/>
      <c r="FHU153" s="1059"/>
      <c r="FHV153" s="1058"/>
      <c r="FHW153" s="1059"/>
      <c r="FHX153" s="1058"/>
      <c r="FHY153" s="1059"/>
      <c r="FHZ153" s="1058"/>
      <c r="FIA153" s="1059"/>
      <c r="FIB153" s="1058"/>
      <c r="FIC153" s="1059"/>
      <c r="FID153" s="1058"/>
      <c r="FIE153" s="1059"/>
      <c r="FIF153" s="1058"/>
      <c r="FIG153" s="1059"/>
      <c r="FIH153" s="1058"/>
      <c r="FII153" s="1059"/>
      <c r="FIJ153" s="1058"/>
      <c r="FIK153" s="1059"/>
      <c r="FIL153" s="1058"/>
      <c r="FIM153" s="1059"/>
      <c r="FIN153" s="1058"/>
      <c r="FIO153" s="1059"/>
      <c r="FIP153" s="1058"/>
      <c r="FIQ153" s="1059"/>
      <c r="FIR153" s="1058"/>
      <c r="FIS153" s="1059"/>
      <c r="FIT153" s="1058"/>
      <c r="FIU153" s="1059"/>
      <c r="FIV153" s="1058"/>
      <c r="FIW153" s="1059"/>
      <c r="FIX153" s="1058"/>
      <c r="FIY153" s="1059"/>
      <c r="FIZ153" s="1058"/>
      <c r="FJA153" s="1059"/>
      <c r="FJB153" s="1058"/>
      <c r="FJC153" s="1059"/>
      <c r="FJD153" s="1058"/>
      <c r="FJE153" s="1059"/>
      <c r="FJF153" s="1058"/>
      <c r="FJG153" s="1059"/>
      <c r="FJH153" s="1058"/>
      <c r="FJI153" s="1059"/>
      <c r="FJJ153" s="1058"/>
      <c r="FJK153" s="1059"/>
      <c r="FJL153" s="1058"/>
      <c r="FJM153" s="1059"/>
      <c r="FJN153" s="1058"/>
      <c r="FJO153" s="1059"/>
      <c r="FJP153" s="1058"/>
      <c r="FJQ153" s="1059"/>
      <c r="FJR153" s="1058"/>
      <c r="FJS153" s="1059"/>
      <c r="FJT153" s="1058"/>
      <c r="FJU153" s="1059"/>
      <c r="FJV153" s="1058"/>
      <c r="FJW153" s="1059"/>
      <c r="FJX153" s="1058"/>
      <c r="FJY153" s="1059"/>
      <c r="FJZ153" s="1058"/>
      <c r="FKA153" s="1059"/>
      <c r="FKB153" s="1058"/>
      <c r="FKC153" s="1059"/>
      <c r="FKD153" s="1058"/>
      <c r="FKE153" s="1059"/>
      <c r="FKF153" s="1058"/>
      <c r="FKG153" s="1059"/>
      <c r="FKH153" s="1058"/>
      <c r="FKI153" s="1059"/>
      <c r="FKJ153" s="1058"/>
      <c r="FKK153" s="1059"/>
      <c r="FKL153" s="1058"/>
      <c r="FKM153" s="1059"/>
      <c r="FKN153" s="1058"/>
      <c r="FKO153" s="1059"/>
      <c r="FKP153" s="1058"/>
      <c r="FKQ153" s="1059"/>
      <c r="FKR153" s="1058"/>
      <c r="FKS153" s="1059"/>
      <c r="FKT153" s="1058"/>
      <c r="FKU153" s="1059"/>
      <c r="FKV153" s="1058"/>
      <c r="FKW153" s="1059"/>
      <c r="FKX153" s="1058"/>
      <c r="FKY153" s="1059"/>
      <c r="FKZ153" s="1058"/>
      <c r="FLA153" s="1059"/>
      <c r="FLB153" s="1058"/>
      <c r="FLC153" s="1059"/>
      <c r="FLD153" s="1058"/>
      <c r="FLE153" s="1059"/>
      <c r="FLF153" s="1058"/>
      <c r="FLG153" s="1059"/>
      <c r="FLH153" s="1058"/>
      <c r="FLI153" s="1059"/>
      <c r="FLJ153" s="1058"/>
      <c r="FLK153" s="1059"/>
      <c r="FLL153" s="1058"/>
      <c r="FLM153" s="1059"/>
      <c r="FLN153" s="1058"/>
      <c r="FLO153" s="1059"/>
      <c r="FLP153" s="1058"/>
      <c r="FLQ153" s="1059"/>
      <c r="FLR153" s="1058"/>
      <c r="FLS153" s="1059"/>
      <c r="FLT153" s="1058"/>
      <c r="FLU153" s="1059"/>
      <c r="FLV153" s="1058"/>
      <c r="FLW153" s="1059"/>
      <c r="FLX153" s="1058"/>
      <c r="FLY153" s="1059"/>
      <c r="FLZ153" s="1058"/>
      <c r="FMA153" s="1059"/>
      <c r="FMB153" s="1058"/>
      <c r="FMC153" s="1059"/>
      <c r="FMD153" s="1058"/>
      <c r="FME153" s="1059"/>
      <c r="FMF153" s="1058"/>
      <c r="FMG153" s="1059"/>
      <c r="FMH153" s="1058"/>
      <c r="FMI153" s="1059"/>
      <c r="FMJ153" s="1058"/>
      <c r="FMK153" s="1059"/>
      <c r="FML153" s="1058"/>
      <c r="FMM153" s="1059"/>
      <c r="FMN153" s="1058"/>
      <c r="FMO153" s="1059"/>
      <c r="FMP153" s="1058"/>
      <c r="FMQ153" s="1059"/>
      <c r="FMR153" s="1058"/>
      <c r="FMS153" s="1059"/>
      <c r="FMT153" s="1058"/>
      <c r="FMU153" s="1059"/>
      <c r="FMV153" s="1058"/>
      <c r="FMW153" s="1059"/>
      <c r="FMX153" s="1058"/>
      <c r="FMY153" s="1059"/>
      <c r="FMZ153" s="1058"/>
      <c r="FNA153" s="1059"/>
      <c r="FNB153" s="1058"/>
      <c r="FNC153" s="1059"/>
      <c r="FND153" s="1058"/>
      <c r="FNE153" s="1059"/>
      <c r="FNF153" s="1058"/>
      <c r="FNG153" s="1059"/>
      <c r="FNH153" s="1058"/>
      <c r="FNI153" s="1059"/>
      <c r="FNJ153" s="1058"/>
      <c r="FNK153" s="1059"/>
      <c r="FNL153" s="1058"/>
      <c r="FNM153" s="1059"/>
      <c r="FNN153" s="1058"/>
      <c r="FNO153" s="1059"/>
      <c r="FNP153" s="1058"/>
      <c r="FNQ153" s="1059"/>
      <c r="FNR153" s="1058"/>
      <c r="FNS153" s="1059"/>
      <c r="FNT153" s="1058"/>
      <c r="FNU153" s="1059"/>
      <c r="FNV153" s="1058"/>
      <c r="FNW153" s="1059"/>
      <c r="FNX153" s="1058"/>
      <c r="FNY153" s="1059"/>
      <c r="FNZ153" s="1058"/>
      <c r="FOA153" s="1059"/>
      <c r="FOB153" s="1058"/>
      <c r="FOC153" s="1059"/>
      <c r="FOD153" s="1058"/>
      <c r="FOE153" s="1059"/>
      <c r="FOF153" s="1058"/>
      <c r="FOG153" s="1059"/>
      <c r="FOH153" s="1058"/>
      <c r="FOI153" s="1059"/>
      <c r="FOJ153" s="1058"/>
      <c r="FOK153" s="1059"/>
      <c r="FOL153" s="1058"/>
      <c r="FOM153" s="1059"/>
      <c r="FON153" s="1058"/>
      <c r="FOO153" s="1059"/>
      <c r="FOP153" s="1058"/>
      <c r="FOQ153" s="1059"/>
      <c r="FOR153" s="1058"/>
      <c r="FOS153" s="1059"/>
      <c r="FOT153" s="1058"/>
      <c r="FOU153" s="1059"/>
      <c r="FOV153" s="1058"/>
      <c r="FOW153" s="1059"/>
      <c r="FOX153" s="1058"/>
      <c r="FOY153" s="1059"/>
      <c r="FOZ153" s="1058"/>
      <c r="FPA153" s="1059"/>
      <c r="FPB153" s="1058"/>
      <c r="FPC153" s="1059"/>
      <c r="FPD153" s="1058"/>
      <c r="FPE153" s="1059"/>
      <c r="FPF153" s="1058"/>
      <c r="FPG153" s="1059"/>
      <c r="FPH153" s="1058"/>
      <c r="FPI153" s="1059"/>
      <c r="FPJ153" s="1058"/>
      <c r="FPK153" s="1059"/>
      <c r="FPL153" s="1058"/>
      <c r="FPM153" s="1059"/>
      <c r="FPN153" s="1058"/>
      <c r="FPO153" s="1059"/>
      <c r="FPP153" s="1058"/>
      <c r="FPQ153" s="1059"/>
      <c r="FPR153" s="1058"/>
      <c r="FPS153" s="1059"/>
      <c r="FPT153" s="1058"/>
      <c r="FPU153" s="1059"/>
      <c r="FPV153" s="1058"/>
      <c r="FPW153" s="1059"/>
      <c r="FPX153" s="1058"/>
      <c r="FPY153" s="1059"/>
      <c r="FPZ153" s="1058"/>
      <c r="FQA153" s="1059"/>
      <c r="FQB153" s="1058"/>
      <c r="FQC153" s="1059"/>
      <c r="FQD153" s="1058"/>
      <c r="FQE153" s="1059"/>
      <c r="FQF153" s="1058"/>
      <c r="FQG153" s="1059"/>
      <c r="FQH153" s="1058"/>
      <c r="FQI153" s="1059"/>
      <c r="FQJ153" s="1058"/>
      <c r="FQK153" s="1059"/>
      <c r="FQL153" s="1058"/>
      <c r="FQM153" s="1059"/>
      <c r="FQN153" s="1058"/>
      <c r="FQO153" s="1059"/>
      <c r="FQP153" s="1058"/>
      <c r="FQQ153" s="1059"/>
      <c r="FQR153" s="1058"/>
      <c r="FQS153" s="1059"/>
      <c r="FQT153" s="1058"/>
      <c r="FQU153" s="1059"/>
      <c r="FQV153" s="1058"/>
      <c r="FQW153" s="1059"/>
      <c r="FQX153" s="1058"/>
      <c r="FQY153" s="1059"/>
      <c r="FQZ153" s="1058"/>
      <c r="FRA153" s="1059"/>
      <c r="FRB153" s="1058"/>
      <c r="FRC153" s="1059"/>
      <c r="FRD153" s="1058"/>
      <c r="FRE153" s="1059"/>
      <c r="FRF153" s="1058"/>
      <c r="FRG153" s="1059"/>
      <c r="FRH153" s="1058"/>
      <c r="FRI153" s="1059"/>
      <c r="FRJ153" s="1058"/>
      <c r="FRK153" s="1059"/>
      <c r="FRL153" s="1058"/>
      <c r="FRM153" s="1059"/>
      <c r="FRN153" s="1058"/>
      <c r="FRO153" s="1059"/>
      <c r="FRP153" s="1058"/>
      <c r="FRQ153" s="1059"/>
      <c r="FRR153" s="1058"/>
      <c r="FRS153" s="1059"/>
      <c r="FRT153" s="1058"/>
      <c r="FRU153" s="1059"/>
      <c r="FRV153" s="1058"/>
      <c r="FRW153" s="1059"/>
      <c r="FRX153" s="1058"/>
      <c r="FRY153" s="1059"/>
      <c r="FRZ153" s="1058"/>
      <c r="FSA153" s="1059"/>
      <c r="FSB153" s="1058"/>
      <c r="FSC153" s="1059"/>
      <c r="FSD153" s="1058"/>
      <c r="FSE153" s="1059"/>
      <c r="FSF153" s="1058"/>
      <c r="FSG153" s="1059"/>
      <c r="FSH153" s="1058"/>
      <c r="FSI153" s="1059"/>
      <c r="FSJ153" s="1058"/>
      <c r="FSK153" s="1059"/>
      <c r="FSL153" s="1058"/>
      <c r="FSM153" s="1059"/>
      <c r="FSN153" s="1058"/>
      <c r="FSO153" s="1059"/>
      <c r="FSP153" s="1058"/>
      <c r="FSQ153" s="1059"/>
      <c r="FSR153" s="1058"/>
      <c r="FSS153" s="1059"/>
      <c r="FST153" s="1058"/>
      <c r="FSU153" s="1059"/>
      <c r="FSV153" s="1058"/>
      <c r="FSW153" s="1059"/>
      <c r="FSX153" s="1058"/>
      <c r="FSY153" s="1059"/>
      <c r="FSZ153" s="1058"/>
      <c r="FTA153" s="1059"/>
      <c r="FTB153" s="1058"/>
      <c r="FTC153" s="1059"/>
      <c r="FTD153" s="1058"/>
      <c r="FTE153" s="1059"/>
      <c r="FTF153" s="1058"/>
      <c r="FTG153" s="1059"/>
      <c r="FTH153" s="1058"/>
      <c r="FTI153" s="1059"/>
      <c r="FTJ153" s="1058"/>
      <c r="FTK153" s="1059"/>
      <c r="FTL153" s="1058"/>
      <c r="FTM153" s="1059"/>
      <c r="FTN153" s="1058"/>
      <c r="FTO153" s="1059"/>
      <c r="FTP153" s="1058"/>
      <c r="FTQ153" s="1059"/>
      <c r="FTR153" s="1058"/>
      <c r="FTS153" s="1059"/>
      <c r="FTT153" s="1058"/>
      <c r="FTU153" s="1059"/>
      <c r="FTV153" s="1058"/>
      <c r="FTW153" s="1059"/>
      <c r="FTX153" s="1058"/>
      <c r="FTY153" s="1059"/>
      <c r="FTZ153" s="1058"/>
      <c r="FUA153" s="1059"/>
      <c r="FUB153" s="1058"/>
      <c r="FUC153" s="1059"/>
      <c r="FUD153" s="1058"/>
      <c r="FUE153" s="1059"/>
      <c r="FUF153" s="1058"/>
      <c r="FUG153" s="1059"/>
      <c r="FUH153" s="1058"/>
      <c r="FUI153" s="1059"/>
      <c r="FUJ153" s="1058"/>
      <c r="FUK153" s="1059"/>
      <c r="FUL153" s="1058"/>
      <c r="FUM153" s="1059"/>
      <c r="FUN153" s="1058"/>
      <c r="FUO153" s="1059"/>
      <c r="FUP153" s="1058"/>
      <c r="FUQ153" s="1059"/>
      <c r="FUR153" s="1058"/>
      <c r="FUS153" s="1059"/>
      <c r="FUT153" s="1058"/>
      <c r="FUU153" s="1059"/>
      <c r="FUV153" s="1058"/>
      <c r="FUW153" s="1059"/>
      <c r="FUX153" s="1058"/>
      <c r="FUY153" s="1059"/>
      <c r="FUZ153" s="1058"/>
      <c r="FVA153" s="1059"/>
      <c r="FVB153" s="1058"/>
      <c r="FVC153" s="1059"/>
      <c r="FVD153" s="1058"/>
      <c r="FVE153" s="1059"/>
      <c r="FVF153" s="1058"/>
      <c r="FVG153" s="1059"/>
      <c r="FVH153" s="1058"/>
      <c r="FVI153" s="1059"/>
      <c r="FVJ153" s="1058"/>
      <c r="FVK153" s="1059"/>
      <c r="FVL153" s="1058"/>
      <c r="FVM153" s="1059"/>
      <c r="FVN153" s="1058"/>
      <c r="FVO153" s="1059"/>
      <c r="FVP153" s="1058"/>
      <c r="FVQ153" s="1059"/>
      <c r="FVR153" s="1058"/>
      <c r="FVS153" s="1059"/>
      <c r="FVT153" s="1058"/>
      <c r="FVU153" s="1059"/>
      <c r="FVV153" s="1058"/>
      <c r="FVW153" s="1059"/>
      <c r="FVX153" s="1058"/>
      <c r="FVY153" s="1059"/>
      <c r="FVZ153" s="1058"/>
      <c r="FWA153" s="1059"/>
      <c r="FWB153" s="1058"/>
      <c r="FWC153" s="1059"/>
      <c r="FWD153" s="1058"/>
      <c r="FWE153" s="1059"/>
      <c r="FWF153" s="1058"/>
      <c r="FWG153" s="1059"/>
      <c r="FWH153" s="1058"/>
      <c r="FWI153" s="1059"/>
      <c r="FWJ153" s="1058"/>
      <c r="FWK153" s="1059"/>
      <c r="FWL153" s="1058"/>
      <c r="FWM153" s="1059"/>
      <c r="FWN153" s="1058"/>
      <c r="FWO153" s="1059"/>
      <c r="FWP153" s="1058"/>
      <c r="FWQ153" s="1059"/>
      <c r="FWR153" s="1058"/>
      <c r="FWS153" s="1059"/>
      <c r="FWT153" s="1058"/>
      <c r="FWU153" s="1059"/>
      <c r="FWV153" s="1058"/>
      <c r="FWW153" s="1059"/>
      <c r="FWX153" s="1058"/>
      <c r="FWY153" s="1059"/>
      <c r="FWZ153" s="1058"/>
      <c r="FXA153" s="1059"/>
      <c r="FXB153" s="1058"/>
      <c r="FXC153" s="1059"/>
      <c r="FXD153" s="1058"/>
      <c r="FXE153" s="1059"/>
      <c r="FXF153" s="1058"/>
      <c r="FXG153" s="1059"/>
      <c r="FXH153" s="1058"/>
      <c r="FXI153" s="1059"/>
      <c r="FXJ153" s="1058"/>
      <c r="FXK153" s="1059"/>
      <c r="FXL153" s="1058"/>
      <c r="FXM153" s="1059"/>
      <c r="FXN153" s="1058"/>
      <c r="FXO153" s="1059"/>
      <c r="FXP153" s="1058"/>
      <c r="FXQ153" s="1059"/>
      <c r="FXR153" s="1058"/>
      <c r="FXS153" s="1059"/>
      <c r="FXT153" s="1058"/>
      <c r="FXU153" s="1059"/>
      <c r="FXV153" s="1058"/>
      <c r="FXW153" s="1059"/>
      <c r="FXX153" s="1058"/>
      <c r="FXY153" s="1059"/>
      <c r="FXZ153" s="1058"/>
      <c r="FYA153" s="1059"/>
      <c r="FYB153" s="1058"/>
      <c r="FYC153" s="1059"/>
      <c r="FYD153" s="1058"/>
      <c r="FYE153" s="1059"/>
      <c r="FYF153" s="1058"/>
      <c r="FYG153" s="1059"/>
      <c r="FYH153" s="1058"/>
      <c r="FYI153" s="1059"/>
      <c r="FYJ153" s="1058"/>
      <c r="FYK153" s="1059"/>
      <c r="FYL153" s="1058"/>
      <c r="FYM153" s="1059"/>
      <c r="FYN153" s="1058"/>
      <c r="FYO153" s="1059"/>
      <c r="FYP153" s="1058"/>
      <c r="FYQ153" s="1059"/>
      <c r="FYR153" s="1058"/>
      <c r="FYS153" s="1059"/>
      <c r="FYT153" s="1058"/>
      <c r="FYU153" s="1059"/>
      <c r="FYV153" s="1058"/>
      <c r="FYW153" s="1059"/>
      <c r="FYX153" s="1058"/>
      <c r="FYY153" s="1059"/>
      <c r="FYZ153" s="1058"/>
      <c r="FZA153" s="1059"/>
      <c r="FZB153" s="1058"/>
      <c r="FZC153" s="1059"/>
      <c r="FZD153" s="1058"/>
      <c r="FZE153" s="1059"/>
      <c r="FZF153" s="1058"/>
      <c r="FZG153" s="1059"/>
      <c r="FZH153" s="1058"/>
      <c r="FZI153" s="1059"/>
      <c r="FZJ153" s="1058"/>
      <c r="FZK153" s="1059"/>
      <c r="FZL153" s="1058"/>
      <c r="FZM153" s="1059"/>
      <c r="FZN153" s="1058"/>
      <c r="FZO153" s="1059"/>
      <c r="FZP153" s="1058"/>
      <c r="FZQ153" s="1059"/>
      <c r="FZR153" s="1058"/>
      <c r="FZS153" s="1059"/>
      <c r="FZT153" s="1058"/>
      <c r="FZU153" s="1059"/>
      <c r="FZV153" s="1058"/>
      <c r="FZW153" s="1059"/>
      <c r="FZX153" s="1058"/>
      <c r="FZY153" s="1059"/>
      <c r="FZZ153" s="1058"/>
      <c r="GAA153" s="1059"/>
      <c r="GAB153" s="1058"/>
      <c r="GAC153" s="1059"/>
      <c r="GAD153" s="1058"/>
      <c r="GAE153" s="1059"/>
      <c r="GAF153" s="1058"/>
      <c r="GAG153" s="1059"/>
      <c r="GAH153" s="1058"/>
      <c r="GAI153" s="1059"/>
      <c r="GAJ153" s="1058"/>
      <c r="GAK153" s="1059"/>
      <c r="GAL153" s="1058"/>
      <c r="GAM153" s="1059"/>
      <c r="GAN153" s="1058"/>
      <c r="GAO153" s="1059"/>
      <c r="GAP153" s="1058"/>
      <c r="GAQ153" s="1059"/>
      <c r="GAR153" s="1058"/>
      <c r="GAS153" s="1059"/>
      <c r="GAT153" s="1058"/>
      <c r="GAU153" s="1059"/>
      <c r="GAV153" s="1058"/>
      <c r="GAW153" s="1059"/>
      <c r="GAX153" s="1058"/>
      <c r="GAY153" s="1059"/>
      <c r="GAZ153" s="1058"/>
      <c r="GBA153" s="1059"/>
      <c r="GBB153" s="1058"/>
      <c r="GBC153" s="1059"/>
      <c r="GBD153" s="1058"/>
      <c r="GBE153" s="1059"/>
      <c r="GBF153" s="1058"/>
      <c r="GBG153" s="1059"/>
      <c r="GBH153" s="1058"/>
      <c r="GBI153" s="1059"/>
      <c r="GBJ153" s="1058"/>
      <c r="GBK153" s="1059"/>
      <c r="GBL153" s="1058"/>
      <c r="GBM153" s="1059"/>
      <c r="GBN153" s="1058"/>
      <c r="GBO153" s="1059"/>
      <c r="GBP153" s="1058"/>
      <c r="GBQ153" s="1059"/>
      <c r="GBR153" s="1058"/>
      <c r="GBS153" s="1059"/>
      <c r="GBT153" s="1058"/>
      <c r="GBU153" s="1059"/>
      <c r="GBV153" s="1058"/>
      <c r="GBW153" s="1059"/>
      <c r="GBX153" s="1058"/>
      <c r="GBY153" s="1059"/>
      <c r="GBZ153" s="1058"/>
      <c r="GCA153" s="1059"/>
      <c r="GCB153" s="1058"/>
      <c r="GCC153" s="1059"/>
      <c r="GCD153" s="1058"/>
      <c r="GCE153" s="1059"/>
      <c r="GCF153" s="1058"/>
      <c r="GCG153" s="1059"/>
      <c r="GCH153" s="1058"/>
      <c r="GCI153" s="1059"/>
      <c r="GCJ153" s="1058"/>
      <c r="GCK153" s="1059"/>
      <c r="GCL153" s="1058"/>
      <c r="GCM153" s="1059"/>
      <c r="GCN153" s="1058"/>
      <c r="GCO153" s="1059"/>
      <c r="GCP153" s="1058"/>
      <c r="GCQ153" s="1059"/>
      <c r="GCR153" s="1058"/>
      <c r="GCS153" s="1059"/>
      <c r="GCT153" s="1058"/>
      <c r="GCU153" s="1059"/>
      <c r="GCV153" s="1058"/>
      <c r="GCW153" s="1059"/>
      <c r="GCX153" s="1058"/>
      <c r="GCY153" s="1059"/>
      <c r="GCZ153" s="1058"/>
      <c r="GDA153" s="1059"/>
      <c r="GDB153" s="1058"/>
      <c r="GDC153" s="1059"/>
      <c r="GDD153" s="1058"/>
      <c r="GDE153" s="1059"/>
      <c r="GDF153" s="1058"/>
      <c r="GDG153" s="1059"/>
      <c r="GDH153" s="1058"/>
      <c r="GDI153" s="1059"/>
      <c r="GDJ153" s="1058"/>
      <c r="GDK153" s="1059"/>
      <c r="GDL153" s="1058"/>
      <c r="GDM153" s="1059"/>
      <c r="GDN153" s="1058"/>
      <c r="GDO153" s="1059"/>
      <c r="GDP153" s="1058"/>
      <c r="GDQ153" s="1059"/>
      <c r="GDR153" s="1058"/>
      <c r="GDS153" s="1059"/>
      <c r="GDT153" s="1058"/>
      <c r="GDU153" s="1059"/>
      <c r="GDV153" s="1058"/>
      <c r="GDW153" s="1059"/>
      <c r="GDX153" s="1058"/>
      <c r="GDY153" s="1059"/>
      <c r="GDZ153" s="1058"/>
      <c r="GEA153" s="1059"/>
      <c r="GEB153" s="1058"/>
      <c r="GEC153" s="1059"/>
      <c r="GED153" s="1058"/>
      <c r="GEE153" s="1059"/>
      <c r="GEF153" s="1058"/>
      <c r="GEG153" s="1059"/>
      <c r="GEH153" s="1058"/>
      <c r="GEI153" s="1059"/>
      <c r="GEJ153" s="1058"/>
      <c r="GEK153" s="1059"/>
      <c r="GEL153" s="1058"/>
      <c r="GEM153" s="1059"/>
      <c r="GEN153" s="1058"/>
      <c r="GEO153" s="1059"/>
      <c r="GEP153" s="1058"/>
      <c r="GEQ153" s="1059"/>
      <c r="GER153" s="1058"/>
      <c r="GES153" s="1059"/>
      <c r="GET153" s="1058"/>
      <c r="GEU153" s="1059"/>
      <c r="GEV153" s="1058"/>
      <c r="GEW153" s="1059"/>
      <c r="GEX153" s="1058"/>
      <c r="GEY153" s="1059"/>
      <c r="GEZ153" s="1058"/>
      <c r="GFA153" s="1059"/>
      <c r="GFB153" s="1058"/>
      <c r="GFC153" s="1059"/>
      <c r="GFD153" s="1058"/>
      <c r="GFE153" s="1059"/>
      <c r="GFF153" s="1058"/>
      <c r="GFG153" s="1059"/>
      <c r="GFH153" s="1058"/>
      <c r="GFI153" s="1059"/>
      <c r="GFJ153" s="1058"/>
      <c r="GFK153" s="1059"/>
      <c r="GFL153" s="1058"/>
      <c r="GFM153" s="1059"/>
      <c r="GFN153" s="1058"/>
      <c r="GFO153" s="1059"/>
      <c r="GFP153" s="1058"/>
      <c r="GFQ153" s="1059"/>
      <c r="GFR153" s="1058"/>
      <c r="GFS153" s="1059"/>
      <c r="GFT153" s="1058"/>
      <c r="GFU153" s="1059"/>
      <c r="GFV153" s="1058"/>
      <c r="GFW153" s="1059"/>
      <c r="GFX153" s="1058"/>
      <c r="GFY153" s="1059"/>
      <c r="GFZ153" s="1058"/>
      <c r="GGA153" s="1059"/>
      <c r="GGB153" s="1058"/>
      <c r="GGC153" s="1059"/>
      <c r="GGD153" s="1058"/>
      <c r="GGE153" s="1059"/>
      <c r="GGF153" s="1058"/>
      <c r="GGG153" s="1059"/>
      <c r="GGH153" s="1058"/>
      <c r="GGI153" s="1059"/>
      <c r="GGJ153" s="1058"/>
      <c r="GGK153" s="1059"/>
      <c r="GGL153" s="1058"/>
      <c r="GGM153" s="1059"/>
      <c r="GGN153" s="1058"/>
      <c r="GGO153" s="1059"/>
      <c r="GGP153" s="1058"/>
      <c r="GGQ153" s="1059"/>
      <c r="GGR153" s="1058"/>
      <c r="GGS153" s="1059"/>
      <c r="GGT153" s="1058"/>
      <c r="GGU153" s="1059"/>
      <c r="GGV153" s="1058"/>
      <c r="GGW153" s="1059"/>
      <c r="GGX153" s="1058"/>
      <c r="GGY153" s="1059"/>
      <c r="GGZ153" s="1058"/>
      <c r="GHA153" s="1059"/>
      <c r="GHB153" s="1058"/>
      <c r="GHC153" s="1059"/>
      <c r="GHD153" s="1058"/>
      <c r="GHE153" s="1059"/>
      <c r="GHF153" s="1058"/>
      <c r="GHG153" s="1059"/>
      <c r="GHH153" s="1058"/>
      <c r="GHI153" s="1059"/>
      <c r="GHJ153" s="1058"/>
      <c r="GHK153" s="1059"/>
      <c r="GHL153" s="1058"/>
      <c r="GHM153" s="1059"/>
      <c r="GHN153" s="1058"/>
      <c r="GHO153" s="1059"/>
      <c r="GHP153" s="1058"/>
      <c r="GHQ153" s="1059"/>
      <c r="GHR153" s="1058"/>
      <c r="GHS153" s="1059"/>
      <c r="GHT153" s="1058"/>
      <c r="GHU153" s="1059"/>
      <c r="GHV153" s="1058"/>
      <c r="GHW153" s="1059"/>
      <c r="GHX153" s="1058"/>
      <c r="GHY153" s="1059"/>
      <c r="GHZ153" s="1058"/>
      <c r="GIA153" s="1059"/>
      <c r="GIB153" s="1058"/>
      <c r="GIC153" s="1059"/>
      <c r="GID153" s="1058"/>
      <c r="GIE153" s="1059"/>
      <c r="GIF153" s="1058"/>
      <c r="GIG153" s="1059"/>
      <c r="GIH153" s="1058"/>
      <c r="GII153" s="1059"/>
      <c r="GIJ153" s="1058"/>
      <c r="GIK153" s="1059"/>
      <c r="GIL153" s="1058"/>
      <c r="GIM153" s="1059"/>
      <c r="GIN153" s="1058"/>
      <c r="GIO153" s="1059"/>
      <c r="GIP153" s="1058"/>
      <c r="GIQ153" s="1059"/>
      <c r="GIR153" s="1058"/>
      <c r="GIS153" s="1059"/>
      <c r="GIT153" s="1058"/>
      <c r="GIU153" s="1059"/>
      <c r="GIV153" s="1058"/>
      <c r="GIW153" s="1059"/>
      <c r="GIX153" s="1058"/>
      <c r="GIY153" s="1059"/>
      <c r="GIZ153" s="1058"/>
      <c r="GJA153" s="1059"/>
      <c r="GJB153" s="1058"/>
      <c r="GJC153" s="1059"/>
      <c r="GJD153" s="1058"/>
      <c r="GJE153" s="1059"/>
      <c r="GJF153" s="1058"/>
      <c r="GJG153" s="1059"/>
      <c r="GJH153" s="1058"/>
      <c r="GJI153" s="1059"/>
      <c r="GJJ153" s="1058"/>
      <c r="GJK153" s="1059"/>
      <c r="GJL153" s="1058"/>
      <c r="GJM153" s="1059"/>
      <c r="GJN153" s="1058"/>
      <c r="GJO153" s="1059"/>
      <c r="GJP153" s="1058"/>
      <c r="GJQ153" s="1059"/>
      <c r="GJR153" s="1058"/>
      <c r="GJS153" s="1059"/>
      <c r="GJT153" s="1058"/>
      <c r="GJU153" s="1059"/>
      <c r="GJV153" s="1058"/>
      <c r="GJW153" s="1059"/>
      <c r="GJX153" s="1058"/>
      <c r="GJY153" s="1059"/>
      <c r="GJZ153" s="1058"/>
      <c r="GKA153" s="1059"/>
      <c r="GKB153" s="1058"/>
      <c r="GKC153" s="1059"/>
      <c r="GKD153" s="1058"/>
      <c r="GKE153" s="1059"/>
      <c r="GKF153" s="1058"/>
      <c r="GKG153" s="1059"/>
      <c r="GKH153" s="1058"/>
      <c r="GKI153" s="1059"/>
      <c r="GKJ153" s="1058"/>
      <c r="GKK153" s="1059"/>
      <c r="GKL153" s="1058"/>
      <c r="GKM153" s="1059"/>
      <c r="GKN153" s="1058"/>
      <c r="GKO153" s="1059"/>
      <c r="GKP153" s="1058"/>
      <c r="GKQ153" s="1059"/>
      <c r="GKR153" s="1058"/>
      <c r="GKS153" s="1059"/>
      <c r="GKT153" s="1058"/>
      <c r="GKU153" s="1059"/>
      <c r="GKV153" s="1058"/>
      <c r="GKW153" s="1059"/>
      <c r="GKX153" s="1058"/>
      <c r="GKY153" s="1059"/>
      <c r="GKZ153" s="1058"/>
      <c r="GLA153" s="1059"/>
      <c r="GLB153" s="1058"/>
      <c r="GLC153" s="1059"/>
      <c r="GLD153" s="1058"/>
      <c r="GLE153" s="1059"/>
      <c r="GLF153" s="1058"/>
      <c r="GLG153" s="1059"/>
      <c r="GLH153" s="1058"/>
      <c r="GLI153" s="1059"/>
      <c r="GLJ153" s="1058"/>
      <c r="GLK153" s="1059"/>
      <c r="GLL153" s="1058"/>
      <c r="GLM153" s="1059"/>
      <c r="GLN153" s="1058"/>
      <c r="GLO153" s="1059"/>
      <c r="GLP153" s="1058"/>
      <c r="GLQ153" s="1059"/>
      <c r="GLR153" s="1058"/>
      <c r="GLS153" s="1059"/>
      <c r="GLT153" s="1058"/>
      <c r="GLU153" s="1059"/>
      <c r="GLV153" s="1058"/>
      <c r="GLW153" s="1059"/>
      <c r="GLX153" s="1058"/>
      <c r="GLY153" s="1059"/>
      <c r="GLZ153" s="1058"/>
      <c r="GMA153" s="1059"/>
      <c r="GMB153" s="1058"/>
      <c r="GMC153" s="1059"/>
      <c r="GMD153" s="1058"/>
      <c r="GME153" s="1059"/>
      <c r="GMF153" s="1058"/>
      <c r="GMG153" s="1059"/>
      <c r="GMH153" s="1058"/>
      <c r="GMI153" s="1059"/>
      <c r="GMJ153" s="1058"/>
      <c r="GMK153" s="1059"/>
      <c r="GML153" s="1058"/>
      <c r="GMM153" s="1059"/>
      <c r="GMN153" s="1058"/>
      <c r="GMO153" s="1059"/>
      <c r="GMP153" s="1058"/>
      <c r="GMQ153" s="1059"/>
      <c r="GMR153" s="1058"/>
      <c r="GMS153" s="1059"/>
      <c r="GMT153" s="1058"/>
      <c r="GMU153" s="1059"/>
      <c r="GMV153" s="1058"/>
      <c r="GMW153" s="1059"/>
      <c r="GMX153" s="1058"/>
      <c r="GMY153" s="1059"/>
      <c r="GMZ153" s="1058"/>
      <c r="GNA153" s="1059"/>
      <c r="GNB153" s="1058"/>
      <c r="GNC153" s="1059"/>
      <c r="GND153" s="1058"/>
      <c r="GNE153" s="1059"/>
      <c r="GNF153" s="1058"/>
      <c r="GNG153" s="1059"/>
      <c r="GNH153" s="1058"/>
      <c r="GNI153" s="1059"/>
      <c r="GNJ153" s="1058"/>
      <c r="GNK153" s="1059"/>
      <c r="GNL153" s="1058"/>
      <c r="GNM153" s="1059"/>
      <c r="GNN153" s="1058"/>
      <c r="GNO153" s="1059"/>
      <c r="GNP153" s="1058"/>
      <c r="GNQ153" s="1059"/>
      <c r="GNR153" s="1058"/>
      <c r="GNS153" s="1059"/>
      <c r="GNT153" s="1058"/>
      <c r="GNU153" s="1059"/>
      <c r="GNV153" s="1058"/>
      <c r="GNW153" s="1059"/>
      <c r="GNX153" s="1058"/>
      <c r="GNY153" s="1059"/>
      <c r="GNZ153" s="1058"/>
      <c r="GOA153" s="1059"/>
      <c r="GOB153" s="1058"/>
      <c r="GOC153" s="1059"/>
      <c r="GOD153" s="1058"/>
      <c r="GOE153" s="1059"/>
      <c r="GOF153" s="1058"/>
      <c r="GOG153" s="1059"/>
      <c r="GOH153" s="1058"/>
      <c r="GOI153" s="1059"/>
      <c r="GOJ153" s="1058"/>
      <c r="GOK153" s="1059"/>
      <c r="GOL153" s="1058"/>
      <c r="GOM153" s="1059"/>
      <c r="GON153" s="1058"/>
      <c r="GOO153" s="1059"/>
      <c r="GOP153" s="1058"/>
      <c r="GOQ153" s="1059"/>
      <c r="GOR153" s="1058"/>
      <c r="GOS153" s="1059"/>
      <c r="GOT153" s="1058"/>
      <c r="GOU153" s="1059"/>
      <c r="GOV153" s="1058"/>
      <c r="GOW153" s="1059"/>
      <c r="GOX153" s="1058"/>
      <c r="GOY153" s="1059"/>
      <c r="GOZ153" s="1058"/>
      <c r="GPA153" s="1059"/>
      <c r="GPB153" s="1058"/>
      <c r="GPC153" s="1059"/>
      <c r="GPD153" s="1058"/>
      <c r="GPE153" s="1059"/>
      <c r="GPF153" s="1058"/>
      <c r="GPG153" s="1059"/>
      <c r="GPH153" s="1058"/>
      <c r="GPI153" s="1059"/>
      <c r="GPJ153" s="1058"/>
      <c r="GPK153" s="1059"/>
      <c r="GPL153" s="1058"/>
      <c r="GPM153" s="1059"/>
      <c r="GPN153" s="1058"/>
      <c r="GPO153" s="1059"/>
      <c r="GPP153" s="1058"/>
      <c r="GPQ153" s="1059"/>
      <c r="GPR153" s="1058"/>
      <c r="GPS153" s="1059"/>
      <c r="GPT153" s="1058"/>
      <c r="GPU153" s="1059"/>
      <c r="GPV153" s="1058"/>
      <c r="GPW153" s="1059"/>
      <c r="GPX153" s="1058"/>
      <c r="GPY153" s="1059"/>
      <c r="GPZ153" s="1058"/>
      <c r="GQA153" s="1059"/>
      <c r="GQB153" s="1058"/>
      <c r="GQC153" s="1059"/>
      <c r="GQD153" s="1058"/>
      <c r="GQE153" s="1059"/>
      <c r="GQF153" s="1058"/>
      <c r="GQG153" s="1059"/>
      <c r="GQH153" s="1058"/>
      <c r="GQI153" s="1059"/>
      <c r="GQJ153" s="1058"/>
      <c r="GQK153" s="1059"/>
      <c r="GQL153" s="1058"/>
      <c r="GQM153" s="1059"/>
      <c r="GQN153" s="1058"/>
      <c r="GQO153" s="1059"/>
      <c r="GQP153" s="1058"/>
      <c r="GQQ153" s="1059"/>
      <c r="GQR153" s="1058"/>
      <c r="GQS153" s="1059"/>
      <c r="GQT153" s="1058"/>
      <c r="GQU153" s="1059"/>
      <c r="GQV153" s="1058"/>
      <c r="GQW153" s="1059"/>
      <c r="GQX153" s="1058"/>
      <c r="GQY153" s="1059"/>
      <c r="GQZ153" s="1058"/>
      <c r="GRA153" s="1059"/>
      <c r="GRB153" s="1058"/>
      <c r="GRC153" s="1059"/>
      <c r="GRD153" s="1058"/>
      <c r="GRE153" s="1059"/>
      <c r="GRF153" s="1058"/>
      <c r="GRG153" s="1059"/>
      <c r="GRH153" s="1058"/>
      <c r="GRI153" s="1059"/>
      <c r="GRJ153" s="1058"/>
      <c r="GRK153" s="1059"/>
      <c r="GRL153" s="1058"/>
      <c r="GRM153" s="1059"/>
      <c r="GRN153" s="1058"/>
      <c r="GRO153" s="1059"/>
      <c r="GRP153" s="1058"/>
      <c r="GRQ153" s="1059"/>
      <c r="GRR153" s="1058"/>
      <c r="GRS153" s="1059"/>
      <c r="GRT153" s="1058"/>
      <c r="GRU153" s="1059"/>
      <c r="GRV153" s="1058"/>
      <c r="GRW153" s="1059"/>
      <c r="GRX153" s="1058"/>
      <c r="GRY153" s="1059"/>
      <c r="GRZ153" s="1058"/>
      <c r="GSA153" s="1059"/>
      <c r="GSB153" s="1058"/>
      <c r="GSC153" s="1059"/>
      <c r="GSD153" s="1058"/>
      <c r="GSE153" s="1059"/>
      <c r="GSF153" s="1058"/>
      <c r="GSG153" s="1059"/>
      <c r="GSH153" s="1058"/>
      <c r="GSI153" s="1059"/>
      <c r="GSJ153" s="1058"/>
      <c r="GSK153" s="1059"/>
      <c r="GSL153" s="1058"/>
      <c r="GSM153" s="1059"/>
      <c r="GSN153" s="1058"/>
      <c r="GSO153" s="1059"/>
      <c r="GSP153" s="1058"/>
      <c r="GSQ153" s="1059"/>
      <c r="GSR153" s="1058"/>
      <c r="GSS153" s="1059"/>
      <c r="GST153" s="1058"/>
      <c r="GSU153" s="1059"/>
      <c r="GSV153" s="1058"/>
      <c r="GSW153" s="1059"/>
      <c r="GSX153" s="1058"/>
      <c r="GSY153" s="1059"/>
      <c r="GSZ153" s="1058"/>
      <c r="GTA153" s="1059"/>
      <c r="GTB153" s="1058"/>
      <c r="GTC153" s="1059"/>
      <c r="GTD153" s="1058"/>
      <c r="GTE153" s="1059"/>
      <c r="GTF153" s="1058"/>
      <c r="GTG153" s="1059"/>
      <c r="GTH153" s="1058"/>
      <c r="GTI153" s="1059"/>
      <c r="GTJ153" s="1058"/>
      <c r="GTK153" s="1059"/>
      <c r="GTL153" s="1058"/>
      <c r="GTM153" s="1059"/>
      <c r="GTN153" s="1058"/>
      <c r="GTO153" s="1059"/>
      <c r="GTP153" s="1058"/>
      <c r="GTQ153" s="1059"/>
      <c r="GTR153" s="1058"/>
      <c r="GTS153" s="1059"/>
      <c r="GTT153" s="1058"/>
      <c r="GTU153" s="1059"/>
      <c r="GTV153" s="1058"/>
      <c r="GTW153" s="1059"/>
      <c r="GTX153" s="1058"/>
      <c r="GTY153" s="1059"/>
      <c r="GTZ153" s="1058"/>
      <c r="GUA153" s="1059"/>
      <c r="GUB153" s="1058"/>
      <c r="GUC153" s="1059"/>
      <c r="GUD153" s="1058"/>
      <c r="GUE153" s="1059"/>
      <c r="GUF153" s="1058"/>
      <c r="GUG153" s="1059"/>
      <c r="GUH153" s="1058"/>
      <c r="GUI153" s="1059"/>
      <c r="GUJ153" s="1058"/>
      <c r="GUK153" s="1059"/>
      <c r="GUL153" s="1058"/>
      <c r="GUM153" s="1059"/>
      <c r="GUN153" s="1058"/>
      <c r="GUO153" s="1059"/>
      <c r="GUP153" s="1058"/>
      <c r="GUQ153" s="1059"/>
      <c r="GUR153" s="1058"/>
      <c r="GUS153" s="1059"/>
      <c r="GUT153" s="1058"/>
      <c r="GUU153" s="1059"/>
      <c r="GUV153" s="1058"/>
      <c r="GUW153" s="1059"/>
      <c r="GUX153" s="1058"/>
      <c r="GUY153" s="1059"/>
      <c r="GUZ153" s="1058"/>
      <c r="GVA153" s="1059"/>
      <c r="GVB153" s="1058"/>
      <c r="GVC153" s="1059"/>
      <c r="GVD153" s="1058"/>
      <c r="GVE153" s="1059"/>
      <c r="GVF153" s="1058"/>
      <c r="GVG153" s="1059"/>
      <c r="GVH153" s="1058"/>
      <c r="GVI153" s="1059"/>
      <c r="GVJ153" s="1058"/>
      <c r="GVK153" s="1059"/>
      <c r="GVL153" s="1058"/>
      <c r="GVM153" s="1059"/>
      <c r="GVN153" s="1058"/>
      <c r="GVO153" s="1059"/>
      <c r="GVP153" s="1058"/>
      <c r="GVQ153" s="1059"/>
      <c r="GVR153" s="1058"/>
      <c r="GVS153" s="1059"/>
      <c r="GVT153" s="1058"/>
      <c r="GVU153" s="1059"/>
      <c r="GVV153" s="1058"/>
      <c r="GVW153" s="1059"/>
      <c r="GVX153" s="1058"/>
      <c r="GVY153" s="1059"/>
      <c r="GVZ153" s="1058"/>
      <c r="GWA153" s="1059"/>
      <c r="GWB153" s="1058"/>
      <c r="GWC153" s="1059"/>
      <c r="GWD153" s="1058"/>
      <c r="GWE153" s="1059"/>
      <c r="GWF153" s="1058"/>
      <c r="GWG153" s="1059"/>
      <c r="GWH153" s="1058"/>
      <c r="GWI153" s="1059"/>
      <c r="GWJ153" s="1058"/>
      <c r="GWK153" s="1059"/>
      <c r="GWL153" s="1058"/>
      <c r="GWM153" s="1059"/>
      <c r="GWN153" s="1058"/>
      <c r="GWO153" s="1059"/>
      <c r="GWP153" s="1058"/>
      <c r="GWQ153" s="1059"/>
      <c r="GWR153" s="1058"/>
      <c r="GWS153" s="1059"/>
      <c r="GWT153" s="1058"/>
      <c r="GWU153" s="1059"/>
      <c r="GWV153" s="1058"/>
      <c r="GWW153" s="1059"/>
      <c r="GWX153" s="1058"/>
      <c r="GWY153" s="1059"/>
      <c r="GWZ153" s="1058"/>
      <c r="GXA153" s="1059"/>
      <c r="GXB153" s="1058"/>
      <c r="GXC153" s="1059"/>
      <c r="GXD153" s="1058"/>
      <c r="GXE153" s="1059"/>
      <c r="GXF153" s="1058"/>
      <c r="GXG153" s="1059"/>
      <c r="GXH153" s="1058"/>
      <c r="GXI153" s="1059"/>
      <c r="GXJ153" s="1058"/>
      <c r="GXK153" s="1059"/>
      <c r="GXL153" s="1058"/>
      <c r="GXM153" s="1059"/>
      <c r="GXN153" s="1058"/>
      <c r="GXO153" s="1059"/>
      <c r="GXP153" s="1058"/>
      <c r="GXQ153" s="1059"/>
      <c r="GXR153" s="1058"/>
      <c r="GXS153" s="1059"/>
      <c r="GXT153" s="1058"/>
      <c r="GXU153" s="1059"/>
      <c r="GXV153" s="1058"/>
      <c r="GXW153" s="1059"/>
      <c r="GXX153" s="1058"/>
      <c r="GXY153" s="1059"/>
      <c r="GXZ153" s="1058"/>
      <c r="GYA153" s="1059"/>
      <c r="GYB153" s="1058"/>
      <c r="GYC153" s="1059"/>
      <c r="GYD153" s="1058"/>
      <c r="GYE153" s="1059"/>
      <c r="GYF153" s="1058"/>
      <c r="GYG153" s="1059"/>
      <c r="GYH153" s="1058"/>
      <c r="GYI153" s="1059"/>
      <c r="GYJ153" s="1058"/>
      <c r="GYK153" s="1059"/>
      <c r="GYL153" s="1058"/>
      <c r="GYM153" s="1059"/>
      <c r="GYN153" s="1058"/>
      <c r="GYO153" s="1059"/>
      <c r="GYP153" s="1058"/>
      <c r="GYQ153" s="1059"/>
      <c r="GYR153" s="1058"/>
      <c r="GYS153" s="1059"/>
      <c r="GYT153" s="1058"/>
      <c r="GYU153" s="1059"/>
      <c r="GYV153" s="1058"/>
      <c r="GYW153" s="1059"/>
      <c r="GYX153" s="1058"/>
      <c r="GYY153" s="1059"/>
      <c r="GYZ153" s="1058"/>
      <c r="GZA153" s="1059"/>
      <c r="GZB153" s="1058"/>
      <c r="GZC153" s="1059"/>
      <c r="GZD153" s="1058"/>
      <c r="GZE153" s="1059"/>
      <c r="GZF153" s="1058"/>
      <c r="GZG153" s="1059"/>
      <c r="GZH153" s="1058"/>
      <c r="GZI153" s="1059"/>
      <c r="GZJ153" s="1058"/>
      <c r="GZK153" s="1059"/>
      <c r="GZL153" s="1058"/>
      <c r="GZM153" s="1059"/>
      <c r="GZN153" s="1058"/>
      <c r="GZO153" s="1059"/>
      <c r="GZP153" s="1058"/>
      <c r="GZQ153" s="1059"/>
      <c r="GZR153" s="1058"/>
      <c r="GZS153" s="1059"/>
      <c r="GZT153" s="1058"/>
      <c r="GZU153" s="1059"/>
      <c r="GZV153" s="1058"/>
      <c r="GZW153" s="1059"/>
      <c r="GZX153" s="1058"/>
      <c r="GZY153" s="1059"/>
      <c r="GZZ153" s="1058"/>
      <c r="HAA153" s="1059"/>
      <c r="HAB153" s="1058"/>
      <c r="HAC153" s="1059"/>
      <c r="HAD153" s="1058"/>
      <c r="HAE153" s="1059"/>
      <c r="HAF153" s="1058"/>
      <c r="HAG153" s="1059"/>
      <c r="HAH153" s="1058"/>
      <c r="HAI153" s="1059"/>
      <c r="HAJ153" s="1058"/>
      <c r="HAK153" s="1059"/>
      <c r="HAL153" s="1058"/>
      <c r="HAM153" s="1059"/>
      <c r="HAN153" s="1058"/>
      <c r="HAO153" s="1059"/>
      <c r="HAP153" s="1058"/>
      <c r="HAQ153" s="1059"/>
      <c r="HAR153" s="1058"/>
      <c r="HAS153" s="1059"/>
      <c r="HAT153" s="1058"/>
      <c r="HAU153" s="1059"/>
      <c r="HAV153" s="1058"/>
      <c r="HAW153" s="1059"/>
      <c r="HAX153" s="1058"/>
      <c r="HAY153" s="1059"/>
      <c r="HAZ153" s="1058"/>
      <c r="HBA153" s="1059"/>
      <c r="HBB153" s="1058"/>
      <c r="HBC153" s="1059"/>
      <c r="HBD153" s="1058"/>
      <c r="HBE153" s="1059"/>
      <c r="HBF153" s="1058"/>
      <c r="HBG153" s="1059"/>
      <c r="HBH153" s="1058"/>
      <c r="HBI153" s="1059"/>
      <c r="HBJ153" s="1058"/>
      <c r="HBK153" s="1059"/>
      <c r="HBL153" s="1058"/>
      <c r="HBM153" s="1059"/>
      <c r="HBN153" s="1058"/>
      <c r="HBO153" s="1059"/>
      <c r="HBP153" s="1058"/>
      <c r="HBQ153" s="1059"/>
      <c r="HBR153" s="1058"/>
      <c r="HBS153" s="1059"/>
      <c r="HBT153" s="1058"/>
      <c r="HBU153" s="1059"/>
      <c r="HBV153" s="1058"/>
      <c r="HBW153" s="1059"/>
      <c r="HBX153" s="1058"/>
      <c r="HBY153" s="1059"/>
      <c r="HBZ153" s="1058"/>
      <c r="HCA153" s="1059"/>
      <c r="HCB153" s="1058"/>
      <c r="HCC153" s="1059"/>
      <c r="HCD153" s="1058"/>
      <c r="HCE153" s="1059"/>
      <c r="HCF153" s="1058"/>
      <c r="HCG153" s="1059"/>
      <c r="HCH153" s="1058"/>
      <c r="HCI153" s="1059"/>
      <c r="HCJ153" s="1058"/>
      <c r="HCK153" s="1059"/>
      <c r="HCL153" s="1058"/>
      <c r="HCM153" s="1059"/>
      <c r="HCN153" s="1058"/>
      <c r="HCO153" s="1059"/>
      <c r="HCP153" s="1058"/>
      <c r="HCQ153" s="1059"/>
      <c r="HCR153" s="1058"/>
      <c r="HCS153" s="1059"/>
      <c r="HCT153" s="1058"/>
      <c r="HCU153" s="1059"/>
      <c r="HCV153" s="1058"/>
      <c r="HCW153" s="1059"/>
      <c r="HCX153" s="1058"/>
      <c r="HCY153" s="1059"/>
      <c r="HCZ153" s="1058"/>
      <c r="HDA153" s="1059"/>
      <c r="HDB153" s="1058"/>
      <c r="HDC153" s="1059"/>
      <c r="HDD153" s="1058"/>
      <c r="HDE153" s="1059"/>
      <c r="HDF153" s="1058"/>
      <c r="HDG153" s="1059"/>
      <c r="HDH153" s="1058"/>
      <c r="HDI153" s="1059"/>
      <c r="HDJ153" s="1058"/>
      <c r="HDK153" s="1059"/>
      <c r="HDL153" s="1058"/>
      <c r="HDM153" s="1059"/>
      <c r="HDN153" s="1058"/>
      <c r="HDO153" s="1059"/>
      <c r="HDP153" s="1058"/>
      <c r="HDQ153" s="1059"/>
      <c r="HDR153" s="1058"/>
      <c r="HDS153" s="1059"/>
      <c r="HDT153" s="1058"/>
      <c r="HDU153" s="1059"/>
      <c r="HDV153" s="1058"/>
      <c r="HDW153" s="1059"/>
      <c r="HDX153" s="1058"/>
      <c r="HDY153" s="1059"/>
      <c r="HDZ153" s="1058"/>
      <c r="HEA153" s="1059"/>
      <c r="HEB153" s="1058"/>
      <c r="HEC153" s="1059"/>
      <c r="HED153" s="1058"/>
      <c r="HEE153" s="1059"/>
      <c r="HEF153" s="1058"/>
      <c r="HEG153" s="1059"/>
      <c r="HEH153" s="1058"/>
      <c r="HEI153" s="1059"/>
      <c r="HEJ153" s="1058"/>
      <c r="HEK153" s="1059"/>
      <c r="HEL153" s="1058"/>
      <c r="HEM153" s="1059"/>
      <c r="HEN153" s="1058"/>
      <c r="HEO153" s="1059"/>
      <c r="HEP153" s="1058"/>
      <c r="HEQ153" s="1059"/>
      <c r="HER153" s="1058"/>
      <c r="HES153" s="1059"/>
      <c r="HET153" s="1058"/>
      <c r="HEU153" s="1059"/>
      <c r="HEV153" s="1058"/>
      <c r="HEW153" s="1059"/>
      <c r="HEX153" s="1058"/>
      <c r="HEY153" s="1059"/>
      <c r="HEZ153" s="1058"/>
      <c r="HFA153" s="1059"/>
      <c r="HFB153" s="1058"/>
      <c r="HFC153" s="1059"/>
      <c r="HFD153" s="1058"/>
      <c r="HFE153" s="1059"/>
      <c r="HFF153" s="1058"/>
      <c r="HFG153" s="1059"/>
      <c r="HFH153" s="1058"/>
      <c r="HFI153" s="1059"/>
      <c r="HFJ153" s="1058"/>
      <c r="HFK153" s="1059"/>
      <c r="HFL153" s="1058"/>
      <c r="HFM153" s="1059"/>
      <c r="HFN153" s="1058"/>
      <c r="HFO153" s="1059"/>
      <c r="HFP153" s="1058"/>
      <c r="HFQ153" s="1059"/>
      <c r="HFR153" s="1058"/>
      <c r="HFS153" s="1059"/>
      <c r="HFT153" s="1058"/>
      <c r="HFU153" s="1059"/>
      <c r="HFV153" s="1058"/>
      <c r="HFW153" s="1059"/>
      <c r="HFX153" s="1058"/>
      <c r="HFY153" s="1059"/>
      <c r="HFZ153" s="1058"/>
      <c r="HGA153" s="1059"/>
      <c r="HGB153" s="1058"/>
      <c r="HGC153" s="1059"/>
      <c r="HGD153" s="1058"/>
      <c r="HGE153" s="1059"/>
      <c r="HGF153" s="1058"/>
      <c r="HGG153" s="1059"/>
      <c r="HGH153" s="1058"/>
      <c r="HGI153" s="1059"/>
      <c r="HGJ153" s="1058"/>
      <c r="HGK153" s="1059"/>
      <c r="HGL153" s="1058"/>
      <c r="HGM153" s="1059"/>
      <c r="HGN153" s="1058"/>
      <c r="HGO153" s="1059"/>
      <c r="HGP153" s="1058"/>
      <c r="HGQ153" s="1059"/>
      <c r="HGR153" s="1058"/>
      <c r="HGS153" s="1059"/>
      <c r="HGT153" s="1058"/>
      <c r="HGU153" s="1059"/>
      <c r="HGV153" s="1058"/>
      <c r="HGW153" s="1059"/>
      <c r="HGX153" s="1058"/>
      <c r="HGY153" s="1059"/>
      <c r="HGZ153" s="1058"/>
      <c r="HHA153" s="1059"/>
      <c r="HHB153" s="1058"/>
      <c r="HHC153" s="1059"/>
      <c r="HHD153" s="1058"/>
      <c r="HHE153" s="1059"/>
      <c r="HHF153" s="1058"/>
      <c r="HHG153" s="1059"/>
      <c r="HHH153" s="1058"/>
      <c r="HHI153" s="1059"/>
      <c r="HHJ153" s="1058"/>
      <c r="HHK153" s="1059"/>
      <c r="HHL153" s="1058"/>
      <c r="HHM153" s="1059"/>
      <c r="HHN153" s="1058"/>
      <c r="HHO153" s="1059"/>
      <c r="HHP153" s="1058"/>
      <c r="HHQ153" s="1059"/>
      <c r="HHR153" s="1058"/>
      <c r="HHS153" s="1059"/>
      <c r="HHT153" s="1058"/>
      <c r="HHU153" s="1059"/>
      <c r="HHV153" s="1058"/>
      <c r="HHW153" s="1059"/>
      <c r="HHX153" s="1058"/>
      <c r="HHY153" s="1059"/>
      <c r="HHZ153" s="1058"/>
      <c r="HIA153" s="1059"/>
      <c r="HIB153" s="1058"/>
      <c r="HIC153" s="1059"/>
      <c r="HID153" s="1058"/>
      <c r="HIE153" s="1059"/>
      <c r="HIF153" s="1058"/>
      <c r="HIG153" s="1059"/>
      <c r="HIH153" s="1058"/>
      <c r="HII153" s="1059"/>
      <c r="HIJ153" s="1058"/>
      <c r="HIK153" s="1059"/>
      <c r="HIL153" s="1058"/>
      <c r="HIM153" s="1059"/>
      <c r="HIN153" s="1058"/>
      <c r="HIO153" s="1059"/>
      <c r="HIP153" s="1058"/>
      <c r="HIQ153" s="1059"/>
      <c r="HIR153" s="1058"/>
      <c r="HIS153" s="1059"/>
      <c r="HIT153" s="1058"/>
      <c r="HIU153" s="1059"/>
      <c r="HIV153" s="1058"/>
      <c r="HIW153" s="1059"/>
      <c r="HIX153" s="1058"/>
      <c r="HIY153" s="1059"/>
      <c r="HIZ153" s="1058"/>
      <c r="HJA153" s="1059"/>
      <c r="HJB153" s="1058"/>
      <c r="HJC153" s="1059"/>
      <c r="HJD153" s="1058"/>
      <c r="HJE153" s="1059"/>
      <c r="HJF153" s="1058"/>
      <c r="HJG153" s="1059"/>
      <c r="HJH153" s="1058"/>
      <c r="HJI153" s="1059"/>
      <c r="HJJ153" s="1058"/>
      <c r="HJK153" s="1059"/>
      <c r="HJL153" s="1058"/>
      <c r="HJM153" s="1059"/>
      <c r="HJN153" s="1058"/>
      <c r="HJO153" s="1059"/>
      <c r="HJP153" s="1058"/>
      <c r="HJQ153" s="1059"/>
      <c r="HJR153" s="1058"/>
      <c r="HJS153" s="1059"/>
      <c r="HJT153" s="1058"/>
      <c r="HJU153" s="1059"/>
      <c r="HJV153" s="1058"/>
      <c r="HJW153" s="1059"/>
      <c r="HJX153" s="1058"/>
      <c r="HJY153" s="1059"/>
      <c r="HJZ153" s="1058"/>
      <c r="HKA153" s="1059"/>
      <c r="HKB153" s="1058"/>
      <c r="HKC153" s="1059"/>
      <c r="HKD153" s="1058"/>
      <c r="HKE153" s="1059"/>
      <c r="HKF153" s="1058"/>
      <c r="HKG153" s="1059"/>
      <c r="HKH153" s="1058"/>
      <c r="HKI153" s="1059"/>
      <c r="HKJ153" s="1058"/>
      <c r="HKK153" s="1059"/>
      <c r="HKL153" s="1058"/>
      <c r="HKM153" s="1059"/>
      <c r="HKN153" s="1058"/>
      <c r="HKO153" s="1059"/>
      <c r="HKP153" s="1058"/>
      <c r="HKQ153" s="1059"/>
      <c r="HKR153" s="1058"/>
      <c r="HKS153" s="1059"/>
      <c r="HKT153" s="1058"/>
      <c r="HKU153" s="1059"/>
      <c r="HKV153" s="1058"/>
      <c r="HKW153" s="1059"/>
      <c r="HKX153" s="1058"/>
      <c r="HKY153" s="1059"/>
      <c r="HKZ153" s="1058"/>
      <c r="HLA153" s="1059"/>
      <c r="HLB153" s="1058"/>
      <c r="HLC153" s="1059"/>
      <c r="HLD153" s="1058"/>
      <c r="HLE153" s="1059"/>
      <c r="HLF153" s="1058"/>
      <c r="HLG153" s="1059"/>
      <c r="HLH153" s="1058"/>
      <c r="HLI153" s="1059"/>
      <c r="HLJ153" s="1058"/>
      <c r="HLK153" s="1059"/>
      <c r="HLL153" s="1058"/>
      <c r="HLM153" s="1059"/>
      <c r="HLN153" s="1058"/>
      <c r="HLO153" s="1059"/>
      <c r="HLP153" s="1058"/>
      <c r="HLQ153" s="1059"/>
      <c r="HLR153" s="1058"/>
      <c r="HLS153" s="1059"/>
      <c r="HLT153" s="1058"/>
      <c r="HLU153" s="1059"/>
      <c r="HLV153" s="1058"/>
      <c r="HLW153" s="1059"/>
      <c r="HLX153" s="1058"/>
      <c r="HLY153" s="1059"/>
      <c r="HLZ153" s="1058"/>
      <c r="HMA153" s="1059"/>
      <c r="HMB153" s="1058"/>
      <c r="HMC153" s="1059"/>
      <c r="HMD153" s="1058"/>
      <c r="HME153" s="1059"/>
      <c r="HMF153" s="1058"/>
      <c r="HMG153" s="1059"/>
      <c r="HMH153" s="1058"/>
      <c r="HMI153" s="1059"/>
      <c r="HMJ153" s="1058"/>
      <c r="HMK153" s="1059"/>
      <c r="HML153" s="1058"/>
      <c r="HMM153" s="1059"/>
      <c r="HMN153" s="1058"/>
      <c r="HMO153" s="1059"/>
      <c r="HMP153" s="1058"/>
      <c r="HMQ153" s="1059"/>
      <c r="HMR153" s="1058"/>
      <c r="HMS153" s="1059"/>
      <c r="HMT153" s="1058"/>
      <c r="HMU153" s="1059"/>
      <c r="HMV153" s="1058"/>
      <c r="HMW153" s="1059"/>
      <c r="HMX153" s="1058"/>
      <c r="HMY153" s="1059"/>
      <c r="HMZ153" s="1058"/>
      <c r="HNA153" s="1059"/>
      <c r="HNB153" s="1058"/>
      <c r="HNC153" s="1059"/>
      <c r="HND153" s="1058"/>
      <c r="HNE153" s="1059"/>
      <c r="HNF153" s="1058"/>
      <c r="HNG153" s="1059"/>
      <c r="HNH153" s="1058"/>
      <c r="HNI153" s="1059"/>
      <c r="HNJ153" s="1058"/>
      <c r="HNK153" s="1059"/>
      <c r="HNL153" s="1058"/>
      <c r="HNM153" s="1059"/>
      <c r="HNN153" s="1058"/>
      <c r="HNO153" s="1059"/>
      <c r="HNP153" s="1058"/>
      <c r="HNQ153" s="1059"/>
      <c r="HNR153" s="1058"/>
      <c r="HNS153" s="1059"/>
      <c r="HNT153" s="1058"/>
      <c r="HNU153" s="1059"/>
      <c r="HNV153" s="1058"/>
      <c r="HNW153" s="1059"/>
      <c r="HNX153" s="1058"/>
      <c r="HNY153" s="1059"/>
      <c r="HNZ153" s="1058"/>
      <c r="HOA153" s="1059"/>
      <c r="HOB153" s="1058"/>
      <c r="HOC153" s="1059"/>
      <c r="HOD153" s="1058"/>
      <c r="HOE153" s="1059"/>
      <c r="HOF153" s="1058"/>
      <c r="HOG153" s="1059"/>
      <c r="HOH153" s="1058"/>
      <c r="HOI153" s="1059"/>
      <c r="HOJ153" s="1058"/>
      <c r="HOK153" s="1059"/>
      <c r="HOL153" s="1058"/>
      <c r="HOM153" s="1059"/>
      <c r="HON153" s="1058"/>
      <c r="HOO153" s="1059"/>
      <c r="HOP153" s="1058"/>
      <c r="HOQ153" s="1059"/>
      <c r="HOR153" s="1058"/>
      <c r="HOS153" s="1059"/>
      <c r="HOT153" s="1058"/>
      <c r="HOU153" s="1059"/>
      <c r="HOV153" s="1058"/>
      <c r="HOW153" s="1059"/>
      <c r="HOX153" s="1058"/>
      <c r="HOY153" s="1059"/>
      <c r="HOZ153" s="1058"/>
      <c r="HPA153" s="1059"/>
      <c r="HPB153" s="1058"/>
      <c r="HPC153" s="1059"/>
      <c r="HPD153" s="1058"/>
      <c r="HPE153" s="1059"/>
      <c r="HPF153" s="1058"/>
      <c r="HPG153" s="1059"/>
      <c r="HPH153" s="1058"/>
      <c r="HPI153" s="1059"/>
      <c r="HPJ153" s="1058"/>
      <c r="HPK153" s="1059"/>
      <c r="HPL153" s="1058"/>
      <c r="HPM153" s="1059"/>
      <c r="HPN153" s="1058"/>
      <c r="HPO153" s="1059"/>
      <c r="HPP153" s="1058"/>
      <c r="HPQ153" s="1059"/>
      <c r="HPR153" s="1058"/>
      <c r="HPS153" s="1059"/>
      <c r="HPT153" s="1058"/>
      <c r="HPU153" s="1059"/>
      <c r="HPV153" s="1058"/>
      <c r="HPW153" s="1059"/>
      <c r="HPX153" s="1058"/>
      <c r="HPY153" s="1059"/>
      <c r="HPZ153" s="1058"/>
      <c r="HQA153" s="1059"/>
      <c r="HQB153" s="1058"/>
      <c r="HQC153" s="1059"/>
      <c r="HQD153" s="1058"/>
      <c r="HQE153" s="1059"/>
      <c r="HQF153" s="1058"/>
      <c r="HQG153" s="1059"/>
      <c r="HQH153" s="1058"/>
      <c r="HQI153" s="1059"/>
      <c r="HQJ153" s="1058"/>
      <c r="HQK153" s="1059"/>
      <c r="HQL153" s="1058"/>
      <c r="HQM153" s="1059"/>
      <c r="HQN153" s="1058"/>
      <c r="HQO153" s="1059"/>
      <c r="HQP153" s="1058"/>
      <c r="HQQ153" s="1059"/>
      <c r="HQR153" s="1058"/>
      <c r="HQS153" s="1059"/>
      <c r="HQT153" s="1058"/>
      <c r="HQU153" s="1059"/>
      <c r="HQV153" s="1058"/>
      <c r="HQW153" s="1059"/>
      <c r="HQX153" s="1058"/>
      <c r="HQY153" s="1059"/>
      <c r="HQZ153" s="1058"/>
      <c r="HRA153" s="1059"/>
      <c r="HRB153" s="1058"/>
      <c r="HRC153" s="1059"/>
      <c r="HRD153" s="1058"/>
      <c r="HRE153" s="1059"/>
      <c r="HRF153" s="1058"/>
      <c r="HRG153" s="1059"/>
      <c r="HRH153" s="1058"/>
      <c r="HRI153" s="1059"/>
      <c r="HRJ153" s="1058"/>
      <c r="HRK153" s="1059"/>
      <c r="HRL153" s="1058"/>
      <c r="HRM153" s="1059"/>
      <c r="HRN153" s="1058"/>
      <c r="HRO153" s="1059"/>
      <c r="HRP153" s="1058"/>
      <c r="HRQ153" s="1059"/>
      <c r="HRR153" s="1058"/>
      <c r="HRS153" s="1059"/>
      <c r="HRT153" s="1058"/>
      <c r="HRU153" s="1059"/>
      <c r="HRV153" s="1058"/>
      <c r="HRW153" s="1059"/>
      <c r="HRX153" s="1058"/>
      <c r="HRY153" s="1059"/>
      <c r="HRZ153" s="1058"/>
      <c r="HSA153" s="1059"/>
      <c r="HSB153" s="1058"/>
      <c r="HSC153" s="1059"/>
      <c r="HSD153" s="1058"/>
      <c r="HSE153" s="1059"/>
      <c r="HSF153" s="1058"/>
      <c r="HSG153" s="1059"/>
      <c r="HSH153" s="1058"/>
      <c r="HSI153" s="1059"/>
      <c r="HSJ153" s="1058"/>
      <c r="HSK153" s="1059"/>
      <c r="HSL153" s="1058"/>
      <c r="HSM153" s="1059"/>
      <c r="HSN153" s="1058"/>
      <c r="HSO153" s="1059"/>
      <c r="HSP153" s="1058"/>
      <c r="HSQ153" s="1059"/>
      <c r="HSR153" s="1058"/>
      <c r="HSS153" s="1059"/>
      <c r="HST153" s="1058"/>
      <c r="HSU153" s="1059"/>
      <c r="HSV153" s="1058"/>
      <c r="HSW153" s="1059"/>
      <c r="HSX153" s="1058"/>
      <c r="HSY153" s="1059"/>
      <c r="HSZ153" s="1058"/>
      <c r="HTA153" s="1059"/>
      <c r="HTB153" s="1058"/>
      <c r="HTC153" s="1059"/>
      <c r="HTD153" s="1058"/>
      <c r="HTE153" s="1059"/>
      <c r="HTF153" s="1058"/>
      <c r="HTG153" s="1059"/>
      <c r="HTH153" s="1058"/>
      <c r="HTI153" s="1059"/>
      <c r="HTJ153" s="1058"/>
      <c r="HTK153" s="1059"/>
      <c r="HTL153" s="1058"/>
      <c r="HTM153" s="1059"/>
      <c r="HTN153" s="1058"/>
      <c r="HTO153" s="1059"/>
      <c r="HTP153" s="1058"/>
      <c r="HTQ153" s="1059"/>
      <c r="HTR153" s="1058"/>
      <c r="HTS153" s="1059"/>
      <c r="HTT153" s="1058"/>
      <c r="HTU153" s="1059"/>
      <c r="HTV153" s="1058"/>
      <c r="HTW153" s="1059"/>
      <c r="HTX153" s="1058"/>
      <c r="HTY153" s="1059"/>
      <c r="HTZ153" s="1058"/>
      <c r="HUA153" s="1059"/>
      <c r="HUB153" s="1058"/>
      <c r="HUC153" s="1059"/>
      <c r="HUD153" s="1058"/>
      <c r="HUE153" s="1059"/>
      <c r="HUF153" s="1058"/>
      <c r="HUG153" s="1059"/>
      <c r="HUH153" s="1058"/>
      <c r="HUI153" s="1059"/>
      <c r="HUJ153" s="1058"/>
      <c r="HUK153" s="1059"/>
      <c r="HUL153" s="1058"/>
      <c r="HUM153" s="1059"/>
      <c r="HUN153" s="1058"/>
      <c r="HUO153" s="1059"/>
      <c r="HUP153" s="1058"/>
      <c r="HUQ153" s="1059"/>
      <c r="HUR153" s="1058"/>
      <c r="HUS153" s="1059"/>
      <c r="HUT153" s="1058"/>
      <c r="HUU153" s="1059"/>
      <c r="HUV153" s="1058"/>
      <c r="HUW153" s="1059"/>
      <c r="HUX153" s="1058"/>
      <c r="HUY153" s="1059"/>
      <c r="HUZ153" s="1058"/>
      <c r="HVA153" s="1059"/>
      <c r="HVB153" s="1058"/>
      <c r="HVC153" s="1059"/>
      <c r="HVD153" s="1058"/>
      <c r="HVE153" s="1059"/>
      <c r="HVF153" s="1058"/>
      <c r="HVG153" s="1059"/>
      <c r="HVH153" s="1058"/>
      <c r="HVI153" s="1059"/>
      <c r="HVJ153" s="1058"/>
      <c r="HVK153" s="1059"/>
      <c r="HVL153" s="1058"/>
      <c r="HVM153" s="1059"/>
      <c r="HVN153" s="1058"/>
      <c r="HVO153" s="1059"/>
      <c r="HVP153" s="1058"/>
      <c r="HVQ153" s="1059"/>
      <c r="HVR153" s="1058"/>
      <c r="HVS153" s="1059"/>
      <c r="HVT153" s="1058"/>
      <c r="HVU153" s="1059"/>
      <c r="HVV153" s="1058"/>
      <c r="HVW153" s="1059"/>
      <c r="HVX153" s="1058"/>
      <c r="HVY153" s="1059"/>
      <c r="HVZ153" s="1058"/>
      <c r="HWA153" s="1059"/>
      <c r="HWB153" s="1058"/>
      <c r="HWC153" s="1059"/>
      <c r="HWD153" s="1058"/>
      <c r="HWE153" s="1059"/>
      <c r="HWF153" s="1058"/>
      <c r="HWG153" s="1059"/>
      <c r="HWH153" s="1058"/>
      <c r="HWI153" s="1059"/>
      <c r="HWJ153" s="1058"/>
      <c r="HWK153" s="1059"/>
      <c r="HWL153" s="1058"/>
      <c r="HWM153" s="1059"/>
      <c r="HWN153" s="1058"/>
      <c r="HWO153" s="1059"/>
      <c r="HWP153" s="1058"/>
      <c r="HWQ153" s="1059"/>
      <c r="HWR153" s="1058"/>
      <c r="HWS153" s="1059"/>
      <c r="HWT153" s="1058"/>
      <c r="HWU153" s="1059"/>
      <c r="HWV153" s="1058"/>
      <c r="HWW153" s="1059"/>
      <c r="HWX153" s="1058"/>
      <c r="HWY153" s="1059"/>
      <c r="HWZ153" s="1058"/>
      <c r="HXA153" s="1059"/>
      <c r="HXB153" s="1058"/>
      <c r="HXC153" s="1059"/>
      <c r="HXD153" s="1058"/>
      <c r="HXE153" s="1059"/>
      <c r="HXF153" s="1058"/>
      <c r="HXG153" s="1059"/>
      <c r="HXH153" s="1058"/>
      <c r="HXI153" s="1059"/>
      <c r="HXJ153" s="1058"/>
      <c r="HXK153" s="1059"/>
      <c r="HXL153" s="1058"/>
      <c r="HXM153" s="1059"/>
      <c r="HXN153" s="1058"/>
      <c r="HXO153" s="1059"/>
      <c r="HXP153" s="1058"/>
      <c r="HXQ153" s="1059"/>
      <c r="HXR153" s="1058"/>
      <c r="HXS153" s="1059"/>
      <c r="HXT153" s="1058"/>
      <c r="HXU153" s="1059"/>
      <c r="HXV153" s="1058"/>
      <c r="HXW153" s="1059"/>
      <c r="HXX153" s="1058"/>
      <c r="HXY153" s="1059"/>
      <c r="HXZ153" s="1058"/>
      <c r="HYA153" s="1059"/>
      <c r="HYB153" s="1058"/>
      <c r="HYC153" s="1059"/>
      <c r="HYD153" s="1058"/>
      <c r="HYE153" s="1059"/>
      <c r="HYF153" s="1058"/>
      <c r="HYG153" s="1059"/>
      <c r="HYH153" s="1058"/>
      <c r="HYI153" s="1059"/>
      <c r="HYJ153" s="1058"/>
      <c r="HYK153" s="1059"/>
      <c r="HYL153" s="1058"/>
      <c r="HYM153" s="1059"/>
      <c r="HYN153" s="1058"/>
      <c r="HYO153" s="1059"/>
      <c r="HYP153" s="1058"/>
      <c r="HYQ153" s="1059"/>
      <c r="HYR153" s="1058"/>
      <c r="HYS153" s="1059"/>
      <c r="HYT153" s="1058"/>
      <c r="HYU153" s="1059"/>
      <c r="HYV153" s="1058"/>
      <c r="HYW153" s="1059"/>
      <c r="HYX153" s="1058"/>
      <c r="HYY153" s="1059"/>
      <c r="HYZ153" s="1058"/>
      <c r="HZA153" s="1059"/>
      <c r="HZB153" s="1058"/>
      <c r="HZC153" s="1059"/>
      <c r="HZD153" s="1058"/>
      <c r="HZE153" s="1059"/>
      <c r="HZF153" s="1058"/>
      <c r="HZG153" s="1059"/>
      <c r="HZH153" s="1058"/>
      <c r="HZI153" s="1059"/>
      <c r="HZJ153" s="1058"/>
      <c r="HZK153" s="1059"/>
      <c r="HZL153" s="1058"/>
      <c r="HZM153" s="1059"/>
      <c r="HZN153" s="1058"/>
      <c r="HZO153" s="1059"/>
      <c r="HZP153" s="1058"/>
      <c r="HZQ153" s="1059"/>
      <c r="HZR153" s="1058"/>
      <c r="HZS153" s="1059"/>
      <c r="HZT153" s="1058"/>
      <c r="HZU153" s="1059"/>
      <c r="HZV153" s="1058"/>
      <c r="HZW153" s="1059"/>
      <c r="HZX153" s="1058"/>
      <c r="HZY153" s="1059"/>
      <c r="HZZ153" s="1058"/>
      <c r="IAA153" s="1059"/>
      <c r="IAB153" s="1058"/>
      <c r="IAC153" s="1059"/>
      <c r="IAD153" s="1058"/>
      <c r="IAE153" s="1059"/>
      <c r="IAF153" s="1058"/>
      <c r="IAG153" s="1059"/>
      <c r="IAH153" s="1058"/>
      <c r="IAI153" s="1059"/>
      <c r="IAJ153" s="1058"/>
      <c r="IAK153" s="1059"/>
      <c r="IAL153" s="1058"/>
      <c r="IAM153" s="1059"/>
      <c r="IAN153" s="1058"/>
      <c r="IAO153" s="1059"/>
      <c r="IAP153" s="1058"/>
      <c r="IAQ153" s="1059"/>
      <c r="IAR153" s="1058"/>
      <c r="IAS153" s="1059"/>
      <c r="IAT153" s="1058"/>
      <c r="IAU153" s="1059"/>
      <c r="IAV153" s="1058"/>
      <c r="IAW153" s="1059"/>
      <c r="IAX153" s="1058"/>
      <c r="IAY153" s="1059"/>
      <c r="IAZ153" s="1058"/>
      <c r="IBA153" s="1059"/>
      <c r="IBB153" s="1058"/>
      <c r="IBC153" s="1059"/>
      <c r="IBD153" s="1058"/>
      <c r="IBE153" s="1059"/>
      <c r="IBF153" s="1058"/>
      <c r="IBG153" s="1059"/>
      <c r="IBH153" s="1058"/>
      <c r="IBI153" s="1059"/>
      <c r="IBJ153" s="1058"/>
      <c r="IBK153" s="1059"/>
      <c r="IBL153" s="1058"/>
      <c r="IBM153" s="1059"/>
      <c r="IBN153" s="1058"/>
      <c r="IBO153" s="1059"/>
      <c r="IBP153" s="1058"/>
      <c r="IBQ153" s="1059"/>
      <c r="IBR153" s="1058"/>
      <c r="IBS153" s="1059"/>
      <c r="IBT153" s="1058"/>
      <c r="IBU153" s="1059"/>
      <c r="IBV153" s="1058"/>
      <c r="IBW153" s="1059"/>
      <c r="IBX153" s="1058"/>
      <c r="IBY153" s="1059"/>
      <c r="IBZ153" s="1058"/>
      <c r="ICA153" s="1059"/>
      <c r="ICB153" s="1058"/>
      <c r="ICC153" s="1059"/>
      <c r="ICD153" s="1058"/>
      <c r="ICE153" s="1059"/>
      <c r="ICF153" s="1058"/>
      <c r="ICG153" s="1059"/>
      <c r="ICH153" s="1058"/>
      <c r="ICI153" s="1059"/>
      <c r="ICJ153" s="1058"/>
      <c r="ICK153" s="1059"/>
      <c r="ICL153" s="1058"/>
      <c r="ICM153" s="1059"/>
      <c r="ICN153" s="1058"/>
      <c r="ICO153" s="1059"/>
      <c r="ICP153" s="1058"/>
      <c r="ICQ153" s="1059"/>
      <c r="ICR153" s="1058"/>
      <c r="ICS153" s="1059"/>
      <c r="ICT153" s="1058"/>
      <c r="ICU153" s="1059"/>
      <c r="ICV153" s="1058"/>
      <c r="ICW153" s="1059"/>
      <c r="ICX153" s="1058"/>
      <c r="ICY153" s="1059"/>
      <c r="ICZ153" s="1058"/>
      <c r="IDA153" s="1059"/>
      <c r="IDB153" s="1058"/>
      <c r="IDC153" s="1059"/>
      <c r="IDD153" s="1058"/>
      <c r="IDE153" s="1059"/>
      <c r="IDF153" s="1058"/>
      <c r="IDG153" s="1059"/>
      <c r="IDH153" s="1058"/>
      <c r="IDI153" s="1059"/>
      <c r="IDJ153" s="1058"/>
      <c r="IDK153" s="1059"/>
      <c r="IDL153" s="1058"/>
      <c r="IDM153" s="1059"/>
      <c r="IDN153" s="1058"/>
      <c r="IDO153" s="1059"/>
      <c r="IDP153" s="1058"/>
      <c r="IDQ153" s="1059"/>
      <c r="IDR153" s="1058"/>
      <c r="IDS153" s="1059"/>
      <c r="IDT153" s="1058"/>
      <c r="IDU153" s="1059"/>
      <c r="IDV153" s="1058"/>
      <c r="IDW153" s="1059"/>
      <c r="IDX153" s="1058"/>
      <c r="IDY153" s="1059"/>
      <c r="IDZ153" s="1058"/>
      <c r="IEA153" s="1059"/>
      <c r="IEB153" s="1058"/>
      <c r="IEC153" s="1059"/>
      <c r="IED153" s="1058"/>
      <c r="IEE153" s="1059"/>
      <c r="IEF153" s="1058"/>
      <c r="IEG153" s="1059"/>
      <c r="IEH153" s="1058"/>
      <c r="IEI153" s="1059"/>
      <c r="IEJ153" s="1058"/>
      <c r="IEK153" s="1059"/>
      <c r="IEL153" s="1058"/>
      <c r="IEM153" s="1059"/>
      <c r="IEN153" s="1058"/>
      <c r="IEO153" s="1059"/>
      <c r="IEP153" s="1058"/>
      <c r="IEQ153" s="1059"/>
      <c r="IER153" s="1058"/>
      <c r="IES153" s="1059"/>
      <c r="IET153" s="1058"/>
      <c r="IEU153" s="1059"/>
      <c r="IEV153" s="1058"/>
      <c r="IEW153" s="1059"/>
      <c r="IEX153" s="1058"/>
      <c r="IEY153" s="1059"/>
      <c r="IEZ153" s="1058"/>
      <c r="IFA153" s="1059"/>
      <c r="IFB153" s="1058"/>
      <c r="IFC153" s="1059"/>
      <c r="IFD153" s="1058"/>
      <c r="IFE153" s="1059"/>
      <c r="IFF153" s="1058"/>
      <c r="IFG153" s="1059"/>
      <c r="IFH153" s="1058"/>
      <c r="IFI153" s="1059"/>
      <c r="IFJ153" s="1058"/>
      <c r="IFK153" s="1059"/>
      <c r="IFL153" s="1058"/>
      <c r="IFM153" s="1059"/>
      <c r="IFN153" s="1058"/>
      <c r="IFO153" s="1059"/>
      <c r="IFP153" s="1058"/>
      <c r="IFQ153" s="1059"/>
      <c r="IFR153" s="1058"/>
      <c r="IFS153" s="1059"/>
      <c r="IFT153" s="1058"/>
      <c r="IFU153" s="1059"/>
      <c r="IFV153" s="1058"/>
      <c r="IFW153" s="1059"/>
      <c r="IFX153" s="1058"/>
      <c r="IFY153" s="1059"/>
      <c r="IFZ153" s="1058"/>
      <c r="IGA153" s="1059"/>
      <c r="IGB153" s="1058"/>
      <c r="IGC153" s="1059"/>
      <c r="IGD153" s="1058"/>
      <c r="IGE153" s="1059"/>
      <c r="IGF153" s="1058"/>
      <c r="IGG153" s="1059"/>
      <c r="IGH153" s="1058"/>
      <c r="IGI153" s="1059"/>
      <c r="IGJ153" s="1058"/>
      <c r="IGK153" s="1059"/>
      <c r="IGL153" s="1058"/>
      <c r="IGM153" s="1059"/>
      <c r="IGN153" s="1058"/>
      <c r="IGO153" s="1059"/>
      <c r="IGP153" s="1058"/>
      <c r="IGQ153" s="1059"/>
      <c r="IGR153" s="1058"/>
      <c r="IGS153" s="1059"/>
      <c r="IGT153" s="1058"/>
      <c r="IGU153" s="1059"/>
      <c r="IGV153" s="1058"/>
      <c r="IGW153" s="1059"/>
      <c r="IGX153" s="1058"/>
      <c r="IGY153" s="1059"/>
      <c r="IGZ153" s="1058"/>
      <c r="IHA153" s="1059"/>
      <c r="IHB153" s="1058"/>
      <c r="IHC153" s="1059"/>
      <c r="IHD153" s="1058"/>
      <c r="IHE153" s="1059"/>
      <c r="IHF153" s="1058"/>
      <c r="IHG153" s="1059"/>
      <c r="IHH153" s="1058"/>
      <c r="IHI153" s="1059"/>
      <c r="IHJ153" s="1058"/>
      <c r="IHK153" s="1059"/>
      <c r="IHL153" s="1058"/>
      <c r="IHM153" s="1059"/>
      <c r="IHN153" s="1058"/>
      <c r="IHO153" s="1059"/>
      <c r="IHP153" s="1058"/>
      <c r="IHQ153" s="1059"/>
      <c r="IHR153" s="1058"/>
      <c r="IHS153" s="1059"/>
      <c r="IHT153" s="1058"/>
      <c r="IHU153" s="1059"/>
      <c r="IHV153" s="1058"/>
      <c r="IHW153" s="1059"/>
      <c r="IHX153" s="1058"/>
      <c r="IHY153" s="1059"/>
      <c r="IHZ153" s="1058"/>
      <c r="IIA153" s="1059"/>
      <c r="IIB153" s="1058"/>
      <c r="IIC153" s="1059"/>
      <c r="IID153" s="1058"/>
      <c r="IIE153" s="1059"/>
      <c r="IIF153" s="1058"/>
      <c r="IIG153" s="1059"/>
      <c r="IIH153" s="1058"/>
      <c r="III153" s="1059"/>
      <c r="IIJ153" s="1058"/>
      <c r="IIK153" s="1059"/>
      <c r="IIL153" s="1058"/>
      <c r="IIM153" s="1059"/>
      <c r="IIN153" s="1058"/>
      <c r="IIO153" s="1059"/>
      <c r="IIP153" s="1058"/>
      <c r="IIQ153" s="1059"/>
      <c r="IIR153" s="1058"/>
      <c r="IIS153" s="1059"/>
      <c r="IIT153" s="1058"/>
      <c r="IIU153" s="1059"/>
      <c r="IIV153" s="1058"/>
      <c r="IIW153" s="1059"/>
      <c r="IIX153" s="1058"/>
      <c r="IIY153" s="1059"/>
      <c r="IIZ153" s="1058"/>
      <c r="IJA153" s="1059"/>
      <c r="IJB153" s="1058"/>
      <c r="IJC153" s="1059"/>
      <c r="IJD153" s="1058"/>
      <c r="IJE153" s="1059"/>
      <c r="IJF153" s="1058"/>
      <c r="IJG153" s="1059"/>
      <c r="IJH153" s="1058"/>
      <c r="IJI153" s="1059"/>
      <c r="IJJ153" s="1058"/>
      <c r="IJK153" s="1059"/>
      <c r="IJL153" s="1058"/>
      <c r="IJM153" s="1059"/>
      <c r="IJN153" s="1058"/>
      <c r="IJO153" s="1059"/>
      <c r="IJP153" s="1058"/>
      <c r="IJQ153" s="1059"/>
      <c r="IJR153" s="1058"/>
      <c r="IJS153" s="1059"/>
      <c r="IJT153" s="1058"/>
      <c r="IJU153" s="1059"/>
      <c r="IJV153" s="1058"/>
      <c r="IJW153" s="1059"/>
      <c r="IJX153" s="1058"/>
      <c r="IJY153" s="1059"/>
      <c r="IJZ153" s="1058"/>
      <c r="IKA153" s="1059"/>
      <c r="IKB153" s="1058"/>
      <c r="IKC153" s="1059"/>
      <c r="IKD153" s="1058"/>
      <c r="IKE153" s="1059"/>
      <c r="IKF153" s="1058"/>
      <c r="IKG153" s="1059"/>
      <c r="IKH153" s="1058"/>
      <c r="IKI153" s="1059"/>
      <c r="IKJ153" s="1058"/>
      <c r="IKK153" s="1059"/>
      <c r="IKL153" s="1058"/>
      <c r="IKM153" s="1059"/>
      <c r="IKN153" s="1058"/>
      <c r="IKO153" s="1059"/>
      <c r="IKP153" s="1058"/>
      <c r="IKQ153" s="1059"/>
      <c r="IKR153" s="1058"/>
      <c r="IKS153" s="1059"/>
      <c r="IKT153" s="1058"/>
      <c r="IKU153" s="1059"/>
      <c r="IKV153" s="1058"/>
      <c r="IKW153" s="1059"/>
      <c r="IKX153" s="1058"/>
      <c r="IKY153" s="1059"/>
      <c r="IKZ153" s="1058"/>
      <c r="ILA153" s="1059"/>
      <c r="ILB153" s="1058"/>
      <c r="ILC153" s="1059"/>
      <c r="ILD153" s="1058"/>
      <c r="ILE153" s="1059"/>
      <c r="ILF153" s="1058"/>
      <c r="ILG153" s="1059"/>
      <c r="ILH153" s="1058"/>
      <c r="ILI153" s="1059"/>
      <c r="ILJ153" s="1058"/>
      <c r="ILK153" s="1059"/>
      <c r="ILL153" s="1058"/>
      <c r="ILM153" s="1059"/>
      <c r="ILN153" s="1058"/>
      <c r="ILO153" s="1059"/>
      <c r="ILP153" s="1058"/>
      <c r="ILQ153" s="1059"/>
      <c r="ILR153" s="1058"/>
      <c r="ILS153" s="1059"/>
      <c r="ILT153" s="1058"/>
      <c r="ILU153" s="1059"/>
      <c r="ILV153" s="1058"/>
      <c r="ILW153" s="1059"/>
      <c r="ILX153" s="1058"/>
      <c r="ILY153" s="1059"/>
      <c r="ILZ153" s="1058"/>
      <c r="IMA153" s="1059"/>
      <c r="IMB153" s="1058"/>
      <c r="IMC153" s="1059"/>
      <c r="IMD153" s="1058"/>
      <c r="IME153" s="1059"/>
      <c r="IMF153" s="1058"/>
      <c r="IMG153" s="1059"/>
      <c r="IMH153" s="1058"/>
      <c r="IMI153" s="1059"/>
      <c r="IMJ153" s="1058"/>
      <c r="IMK153" s="1059"/>
      <c r="IML153" s="1058"/>
      <c r="IMM153" s="1059"/>
      <c r="IMN153" s="1058"/>
      <c r="IMO153" s="1059"/>
      <c r="IMP153" s="1058"/>
      <c r="IMQ153" s="1059"/>
      <c r="IMR153" s="1058"/>
      <c r="IMS153" s="1059"/>
      <c r="IMT153" s="1058"/>
      <c r="IMU153" s="1059"/>
      <c r="IMV153" s="1058"/>
      <c r="IMW153" s="1059"/>
      <c r="IMX153" s="1058"/>
      <c r="IMY153" s="1059"/>
      <c r="IMZ153" s="1058"/>
      <c r="INA153" s="1059"/>
      <c r="INB153" s="1058"/>
      <c r="INC153" s="1059"/>
      <c r="IND153" s="1058"/>
      <c r="INE153" s="1059"/>
      <c r="INF153" s="1058"/>
      <c r="ING153" s="1059"/>
      <c r="INH153" s="1058"/>
      <c r="INI153" s="1059"/>
      <c r="INJ153" s="1058"/>
      <c r="INK153" s="1059"/>
      <c r="INL153" s="1058"/>
      <c r="INM153" s="1059"/>
      <c r="INN153" s="1058"/>
      <c r="INO153" s="1059"/>
      <c r="INP153" s="1058"/>
      <c r="INQ153" s="1059"/>
      <c r="INR153" s="1058"/>
      <c r="INS153" s="1059"/>
      <c r="INT153" s="1058"/>
      <c r="INU153" s="1059"/>
      <c r="INV153" s="1058"/>
      <c r="INW153" s="1059"/>
      <c r="INX153" s="1058"/>
      <c r="INY153" s="1059"/>
      <c r="INZ153" s="1058"/>
      <c r="IOA153" s="1059"/>
      <c r="IOB153" s="1058"/>
      <c r="IOC153" s="1059"/>
      <c r="IOD153" s="1058"/>
      <c r="IOE153" s="1059"/>
      <c r="IOF153" s="1058"/>
      <c r="IOG153" s="1059"/>
      <c r="IOH153" s="1058"/>
      <c r="IOI153" s="1059"/>
      <c r="IOJ153" s="1058"/>
      <c r="IOK153" s="1059"/>
      <c r="IOL153" s="1058"/>
      <c r="IOM153" s="1059"/>
      <c r="ION153" s="1058"/>
      <c r="IOO153" s="1059"/>
      <c r="IOP153" s="1058"/>
      <c r="IOQ153" s="1059"/>
      <c r="IOR153" s="1058"/>
      <c r="IOS153" s="1059"/>
      <c r="IOT153" s="1058"/>
      <c r="IOU153" s="1059"/>
      <c r="IOV153" s="1058"/>
      <c r="IOW153" s="1059"/>
      <c r="IOX153" s="1058"/>
      <c r="IOY153" s="1059"/>
      <c r="IOZ153" s="1058"/>
      <c r="IPA153" s="1059"/>
      <c r="IPB153" s="1058"/>
      <c r="IPC153" s="1059"/>
      <c r="IPD153" s="1058"/>
      <c r="IPE153" s="1059"/>
      <c r="IPF153" s="1058"/>
      <c r="IPG153" s="1059"/>
      <c r="IPH153" s="1058"/>
      <c r="IPI153" s="1059"/>
      <c r="IPJ153" s="1058"/>
      <c r="IPK153" s="1059"/>
      <c r="IPL153" s="1058"/>
      <c r="IPM153" s="1059"/>
      <c r="IPN153" s="1058"/>
      <c r="IPO153" s="1059"/>
      <c r="IPP153" s="1058"/>
      <c r="IPQ153" s="1059"/>
      <c r="IPR153" s="1058"/>
      <c r="IPS153" s="1059"/>
      <c r="IPT153" s="1058"/>
      <c r="IPU153" s="1059"/>
      <c r="IPV153" s="1058"/>
      <c r="IPW153" s="1059"/>
      <c r="IPX153" s="1058"/>
      <c r="IPY153" s="1059"/>
      <c r="IPZ153" s="1058"/>
      <c r="IQA153" s="1059"/>
      <c r="IQB153" s="1058"/>
      <c r="IQC153" s="1059"/>
      <c r="IQD153" s="1058"/>
      <c r="IQE153" s="1059"/>
      <c r="IQF153" s="1058"/>
      <c r="IQG153" s="1059"/>
      <c r="IQH153" s="1058"/>
      <c r="IQI153" s="1059"/>
      <c r="IQJ153" s="1058"/>
      <c r="IQK153" s="1059"/>
      <c r="IQL153" s="1058"/>
      <c r="IQM153" s="1059"/>
      <c r="IQN153" s="1058"/>
      <c r="IQO153" s="1059"/>
      <c r="IQP153" s="1058"/>
      <c r="IQQ153" s="1059"/>
      <c r="IQR153" s="1058"/>
      <c r="IQS153" s="1059"/>
      <c r="IQT153" s="1058"/>
      <c r="IQU153" s="1059"/>
      <c r="IQV153" s="1058"/>
      <c r="IQW153" s="1059"/>
      <c r="IQX153" s="1058"/>
      <c r="IQY153" s="1059"/>
      <c r="IQZ153" s="1058"/>
      <c r="IRA153" s="1059"/>
      <c r="IRB153" s="1058"/>
      <c r="IRC153" s="1059"/>
      <c r="IRD153" s="1058"/>
      <c r="IRE153" s="1059"/>
      <c r="IRF153" s="1058"/>
      <c r="IRG153" s="1059"/>
      <c r="IRH153" s="1058"/>
      <c r="IRI153" s="1059"/>
      <c r="IRJ153" s="1058"/>
      <c r="IRK153" s="1059"/>
      <c r="IRL153" s="1058"/>
      <c r="IRM153" s="1059"/>
      <c r="IRN153" s="1058"/>
      <c r="IRO153" s="1059"/>
      <c r="IRP153" s="1058"/>
      <c r="IRQ153" s="1059"/>
      <c r="IRR153" s="1058"/>
      <c r="IRS153" s="1059"/>
      <c r="IRT153" s="1058"/>
      <c r="IRU153" s="1059"/>
      <c r="IRV153" s="1058"/>
      <c r="IRW153" s="1059"/>
      <c r="IRX153" s="1058"/>
      <c r="IRY153" s="1059"/>
      <c r="IRZ153" s="1058"/>
      <c r="ISA153" s="1059"/>
      <c r="ISB153" s="1058"/>
      <c r="ISC153" s="1059"/>
      <c r="ISD153" s="1058"/>
      <c r="ISE153" s="1059"/>
      <c r="ISF153" s="1058"/>
      <c r="ISG153" s="1059"/>
      <c r="ISH153" s="1058"/>
      <c r="ISI153" s="1059"/>
      <c r="ISJ153" s="1058"/>
      <c r="ISK153" s="1059"/>
      <c r="ISL153" s="1058"/>
      <c r="ISM153" s="1059"/>
      <c r="ISN153" s="1058"/>
      <c r="ISO153" s="1059"/>
      <c r="ISP153" s="1058"/>
      <c r="ISQ153" s="1059"/>
      <c r="ISR153" s="1058"/>
      <c r="ISS153" s="1059"/>
      <c r="IST153" s="1058"/>
      <c r="ISU153" s="1059"/>
      <c r="ISV153" s="1058"/>
      <c r="ISW153" s="1059"/>
      <c r="ISX153" s="1058"/>
      <c r="ISY153" s="1059"/>
      <c r="ISZ153" s="1058"/>
      <c r="ITA153" s="1059"/>
      <c r="ITB153" s="1058"/>
      <c r="ITC153" s="1059"/>
      <c r="ITD153" s="1058"/>
      <c r="ITE153" s="1059"/>
      <c r="ITF153" s="1058"/>
      <c r="ITG153" s="1059"/>
      <c r="ITH153" s="1058"/>
      <c r="ITI153" s="1059"/>
      <c r="ITJ153" s="1058"/>
      <c r="ITK153" s="1059"/>
      <c r="ITL153" s="1058"/>
      <c r="ITM153" s="1059"/>
      <c r="ITN153" s="1058"/>
      <c r="ITO153" s="1059"/>
      <c r="ITP153" s="1058"/>
      <c r="ITQ153" s="1059"/>
      <c r="ITR153" s="1058"/>
      <c r="ITS153" s="1059"/>
      <c r="ITT153" s="1058"/>
      <c r="ITU153" s="1059"/>
      <c r="ITV153" s="1058"/>
      <c r="ITW153" s="1059"/>
      <c r="ITX153" s="1058"/>
      <c r="ITY153" s="1059"/>
      <c r="ITZ153" s="1058"/>
      <c r="IUA153" s="1059"/>
      <c r="IUB153" s="1058"/>
      <c r="IUC153" s="1059"/>
      <c r="IUD153" s="1058"/>
      <c r="IUE153" s="1059"/>
      <c r="IUF153" s="1058"/>
      <c r="IUG153" s="1059"/>
      <c r="IUH153" s="1058"/>
      <c r="IUI153" s="1059"/>
      <c r="IUJ153" s="1058"/>
      <c r="IUK153" s="1059"/>
      <c r="IUL153" s="1058"/>
      <c r="IUM153" s="1059"/>
      <c r="IUN153" s="1058"/>
      <c r="IUO153" s="1059"/>
      <c r="IUP153" s="1058"/>
      <c r="IUQ153" s="1059"/>
      <c r="IUR153" s="1058"/>
      <c r="IUS153" s="1059"/>
      <c r="IUT153" s="1058"/>
      <c r="IUU153" s="1059"/>
      <c r="IUV153" s="1058"/>
      <c r="IUW153" s="1059"/>
      <c r="IUX153" s="1058"/>
      <c r="IUY153" s="1059"/>
      <c r="IUZ153" s="1058"/>
      <c r="IVA153" s="1059"/>
      <c r="IVB153" s="1058"/>
      <c r="IVC153" s="1059"/>
      <c r="IVD153" s="1058"/>
      <c r="IVE153" s="1059"/>
      <c r="IVF153" s="1058"/>
      <c r="IVG153" s="1059"/>
      <c r="IVH153" s="1058"/>
      <c r="IVI153" s="1059"/>
      <c r="IVJ153" s="1058"/>
      <c r="IVK153" s="1059"/>
      <c r="IVL153" s="1058"/>
      <c r="IVM153" s="1059"/>
      <c r="IVN153" s="1058"/>
      <c r="IVO153" s="1059"/>
      <c r="IVP153" s="1058"/>
      <c r="IVQ153" s="1059"/>
      <c r="IVR153" s="1058"/>
      <c r="IVS153" s="1059"/>
      <c r="IVT153" s="1058"/>
      <c r="IVU153" s="1059"/>
      <c r="IVV153" s="1058"/>
      <c r="IVW153" s="1059"/>
      <c r="IVX153" s="1058"/>
      <c r="IVY153" s="1059"/>
      <c r="IVZ153" s="1058"/>
      <c r="IWA153" s="1059"/>
      <c r="IWB153" s="1058"/>
      <c r="IWC153" s="1059"/>
      <c r="IWD153" s="1058"/>
      <c r="IWE153" s="1059"/>
      <c r="IWF153" s="1058"/>
      <c r="IWG153" s="1059"/>
      <c r="IWH153" s="1058"/>
      <c r="IWI153" s="1059"/>
      <c r="IWJ153" s="1058"/>
      <c r="IWK153" s="1059"/>
      <c r="IWL153" s="1058"/>
      <c r="IWM153" s="1059"/>
      <c r="IWN153" s="1058"/>
      <c r="IWO153" s="1059"/>
      <c r="IWP153" s="1058"/>
      <c r="IWQ153" s="1059"/>
      <c r="IWR153" s="1058"/>
      <c r="IWS153" s="1059"/>
      <c r="IWT153" s="1058"/>
      <c r="IWU153" s="1059"/>
      <c r="IWV153" s="1058"/>
      <c r="IWW153" s="1059"/>
      <c r="IWX153" s="1058"/>
      <c r="IWY153" s="1059"/>
      <c r="IWZ153" s="1058"/>
      <c r="IXA153" s="1059"/>
      <c r="IXB153" s="1058"/>
      <c r="IXC153" s="1059"/>
      <c r="IXD153" s="1058"/>
      <c r="IXE153" s="1059"/>
      <c r="IXF153" s="1058"/>
      <c r="IXG153" s="1059"/>
      <c r="IXH153" s="1058"/>
      <c r="IXI153" s="1059"/>
      <c r="IXJ153" s="1058"/>
      <c r="IXK153" s="1059"/>
      <c r="IXL153" s="1058"/>
      <c r="IXM153" s="1059"/>
      <c r="IXN153" s="1058"/>
      <c r="IXO153" s="1059"/>
      <c r="IXP153" s="1058"/>
      <c r="IXQ153" s="1059"/>
      <c r="IXR153" s="1058"/>
      <c r="IXS153" s="1059"/>
      <c r="IXT153" s="1058"/>
      <c r="IXU153" s="1059"/>
      <c r="IXV153" s="1058"/>
      <c r="IXW153" s="1059"/>
      <c r="IXX153" s="1058"/>
      <c r="IXY153" s="1059"/>
      <c r="IXZ153" s="1058"/>
      <c r="IYA153" s="1059"/>
      <c r="IYB153" s="1058"/>
      <c r="IYC153" s="1059"/>
      <c r="IYD153" s="1058"/>
      <c r="IYE153" s="1059"/>
      <c r="IYF153" s="1058"/>
      <c r="IYG153" s="1059"/>
      <c r="IYH153" s="1058"/>
      <c r="IYI153" s="1059"/>
      <c r="IYJ153" s="1058"/>
      <c r="IYK153" s="1059"/>
      <c r="IYL153" s="1058"/>
      <c r="IYM153" s="1059"/>
      <c r="IYN153" s="1058"/>
      <c r="IYO153" s="1059"/>
      <c r="IYP153" s="1058"/>
      <c r="IYQ153" s="1059"/>
      <c r="IYR153" s="1058"/>
      <c r="IYS153" s="1059"/>
      <c r="IYT153" s="1058"/>
      <c r="IYU153" s="1059"/>
      <c r="IYV153" s="1058"/>
      <c r="IYW153" s="1059"/>
      <c r="IYX153" s="1058"/>
      <c r="IYY153" s="1059"/>
      <c r="IYZ153" s="1058"/>
      <c r="IZA153" s="1059"/>
      <c r="IZB153" s="1058"/>
      <c r="IZC153" s="1059"/>
      <c r="IZD153" s="1058"/>
      <c r="IZE153" s="1059"/>
      <c r="IZF153" s="1058"/>
      <c r="IZG153" s="1059"/>
      <c r="IZH153" s="1058"/>
      <c r="IZI153" s="1059"/>
      <c r="IZJ153" s="1058"/>
      <c r="IZK153" s="1059"/>
      <c r="IZL153" s="1058"/>
      <c r="IZM153" s="1059"/>
      <c r="IZN153" s="1058"/>
      <c r="IZO153" s="1059"/>
      <c r="IZP153" s="1058"/>
      <c r="IZQ153" s="1059"/>
      <c r="IZR153" s="1058"/>
      <c r="IZS153" s="1059"/>
      <c r="IZT153" s="1058"/>
      <c r="IZU153" s="1059"/>
      <c r="IZV153" s="1058"/>
      <c r="IZW153" s="1059"/>
      <c r="IZX153" s="1058"/>
      <c r="IZY153" s="1059"/>
      <c r="IZZ153" s="1058"/>
      <c r="JAA153" s="1059"/>
      <c r="JAB153" s="1058"/>
      <c r="JAC153" s="1059"/>
      <c r="JAD153" s="1058"/>
      <c r="JAE153" s="1059"/>
      <c r="JAF153" s="1058"/>
      <c r="JAG153" s="1059"/>
      <c r="JAH153" s="1058"/>
      <c r="JAI153" s="1059"/>
      <c r="JAJ153" s="1058"/>
      <c r="JAK153" s="1059"/>
      <c r="JAL153" s="1058"/>
      <c r="JAM153" s="1059"/>
      <c r="JAN153" s="1058"/>
      <c r="JAO153" s="1059"/>
      <c r="JAP153" s="1058"/>
      <c r="JAQ153" s="1059"/>
      <c r="JAR153" s="1058"/>
      <c r="JAS153" s="1059"/>
      <c r="JAT153" s="1058"/>
      <c r="JAU153" s="1059"/>
      <c r="JAV153" s="1058"/>
      <c r="JAW153" s="1059"/>
      <c r="JAX153" s="1058"/>
      <c r="JAY153" s="1059"/>
      <c r="JAZ153" s="1058"/>
      <c r="JBA153" s="1059"/>
      <c r="JBB153" s="1058"/>
      <c r="JBC153" s="1059"/>
      <c r="JBD153" s="1058"/>
      <c r="JBE153" s="1059"/>
      <c r="JBF153" s="1058"/>
      <c r="JBG153" s="1059"/>
      <c r="JBH153" s="1058"/>
      <c r="JBI153" s="1059"/>
      <c r="JBJ153" s="1058"/>
      <c r="JBK153" s="1059"/>
      <c r="JBL153" s="1058"/>
      <c r="JBM153" s="1059"/>
      <c r="JBN153" s="1058"/>
      <c r="JBO153" s="1059"/>
      <c r="JBP153" s="1058"/>
      <c r="JBQ153" s="1059"/>
      <c r="JBR153" s="1058"/>
      <c r="JBS153" s="1059"/>
      <c r="JBT153" s="1058"/>
      <c r="JBU153" s="1059"/>
      <c r="JBV153" s="1058"/>
      <c r="JBW153" s="1059"/>
      <c r="JBX153" s="1058"/>
      <c r="JBY153" s="1059"/>
      <c r="JBZ153" s="1058"/>
      <c r="JCA153" s="1059"/>
      <c r="JCB153" s="1058"/>
      <c r="JCC153" s="1059"/>
      <c r="JCD153" s="1058"/>
      <c r="JCE153" s="1059"/>
      <c r="JCF153" s="1058"/>
      <c r="JCG153" s="1059"/>
      <c r="JCH153" s="1058"/>
      <c r="JCI153" s="1059"/>
      <c r="JCJ153" s="1058"/>
      <c r="JCK153" s="1059"/>
      <c r="JCL153" s="1058"/>
      <c r="JCM153" s="1059"/>
      <c r="JCN153" s="1058"/>
      <c r="JCO153" s="1059"/>
      <c r="JCP153" s="1058"/>
      <c r="JCQ153" s="1059"/>
      <c r="JCR153" s="1058"/>
      <c r="JCS153" s="1059"/>
      <c r="JCT153" s="1058"/>
      <c r="JCU153" s="1059"/>
      <c r="JCV153" s="1058"/>
      <c r="JCW153" s="1059"/>
      <c r="JCX153" s="1058"/>
      <c r="JCY153" s="1059"/>
      <c r="JCZ153" s="1058"/>
      <c r="JDA153" s="1059"/>
      <c r="JDB153" s="1058"/>
      <c r="JDC153" s="1059"/>
      <c r="JDD153" s="1058"/>
      <c r="JDE153" s="1059"/>
      <c r="JDF153" s="1058"/>
      <c r="JDG153" s="1059"/>
      <c r="JDH153" s="1058"/>
      <c r="JDI153" s="1059"/>
      <c r="JDJ153" s="1058"/>
      <c r="JDK153" s="1059"/>
      <c r="JDL153" s="1058"/>
      <c r="JDM153" s="1059"/>
      <c r="JDN153" s="1058"/>
      <c r="JDO153" s="1059"/>
      <c r="JDP153" s="1058"/>
      <c r="JDQ153" s="1059"/>
      <c r="JDR153" s="1058"/>
      <c r="JDS153" s="1059"/>
      <c r="JDT153" s="1058"/>
      <c r="JDU153" s="1059"/>
      <c r="JDV153" s="1058"/>
      <c r="JDW153" s="1059"/>
      <c r="JDX153" s="1058"/>
      <c r="JDY153" s="1059"/>
      <c r="JDZ153" s="1058"/>
      <c r="JEA153" s="1059"/>
      <c r="JEB153" s="1058"/>
      <c r="JEC153" s="1059"/>
      <c r="JED153" s="1058"/>
      <c r="JEE153" s="1059"/>
      <c r="JEF153" s="1058"/>
      <c r="JEG153" s="1059"/>
      <c r="JEH153" s="1058"/>
      <c r="JEI153" s="1059"/>
      <c r="JEJ153" s="1058"/>
      <c r="JEK153" s="1059"/>
      <c r="JEL153" s="1058"/>
      <c r="JEM153" s="1059"/>
      <c r="JEN153" s="1058"/>
      <c r="JEO153" s="1059"/>
      <c r="JEP153" s="1058"/>
      <c r="JEQ153" s="1059"/>
      <c r="JER153" s="1058"/>
      <c r="JES153" s="1059"/>
      <c r="JET153" s="1058"/>
      <c r="JEU153" s="1059"/>
      <c r="JEV153" s="1058"/>
      <c r="JEW153" s="1059"/>
      <c r="JEX153" s="1058"/>
      <c r="JEY153" s="1059"/>
      <c r="JEZ153" s="1058"/>
      <c r="JFA153" s="1059"/>
      <c r="JFB153" s="1058"/>
      <c r="JFC153" s="1059"/>
      <c r="JFD153" s="1058"/>
      <c r="JFE153" s="1059"/>
      <c r="JFF153" s="1058"/>
      <c r="JFG153" s="1059"/>
      <c r="JFH153" s="1058"/>
      <c r="JFI153" s="1059"/>
      <c r="JFJ153" s="1058"/>
      <c r="JFK153" s="1059"/>
      <c r="JFL153" s="1058"/>
      <c r="JFM153" s="1059"/>
      <c r="JFN153" s="1058"/>
      <c r="JFO153" s="1059"/>
      <c r="JFP153" s="1058"/>
      <c r="JFQ153" s="1059"/>
      <c r="JFR153" s="1058"/>
      <c r="JFS153" s="1059"/>
      <c r="JFT153" s="1058"/>
      <c r="JFU153" s="1059"/>
      <c r="JFV153" s="1058"/>
      <c r="JFW153" s="1059"/>
      <c r="JFX153" s="1058"/>
      <c r="JFY153" s="1059"/>
      <c r="JFZ153" s="1058"/>
      <c r="JGA153" s="1059"/>
      <c r="JGB153" s="1058"/>
      <c r="JGC153" s="1059"/>
      <c r="JGD153" s="1058"/>
      <c r="JGE153" s="1059"/>
      <c r="JGF153" s="1058"/>
      <c r="JGG153" s="1059"/>
      <c r="JGH153" s="1058"/>
      <c r="JGI153" s="1059"/>
      <c r="JGJ153" s="1058"/>
      <c r="JGK153" s="1059"/>
      <c r="JGL153" s="1058"/>
      <c r="JGM153" s="1059"/>
      <c r="JGN153" s="1058"/>
      <c r="JGO153" s="1059"/>
      <c r="JGP153" s="1058"/>
      <c r="JGQ153" s="1059"/>
      <c r="JGR153" s="1058"/>
      <c r="JGS153" s="1059"/>
      <c r="JGT153" s="1058"/>
      <c r="JGU153" s="1059"/>
      <c r="JGV153" s="1058"/>
      <c r="JGW153" s="1059"/>
      <c r="JGX153" s="1058"/>
      <c r="JGY153" s="1059"/>
      <c r="JGZ153" s="1058"/>
      <c r="JHA153" s="1059"/>
      <c r="JHB153" s="1058"/>
      <c r="JHC153" s="1059"/>
      <c r="JHD153" s="1058"/>
      <c r="JHE153" s="1059"/>
      <c r="JHF153" s="1058"/>
      <c r="JHG153" s="1059"/>
      <c r="JHH153" s="1058"/>
      <c r="JHI153" s="1059"/>
      <c r="JHJ153" s="1058"/>
      <c r="JHK153" s="1059"/>
      <c r="JHL153" s="1058"/>
      <c r="JHM153" s="1059"/>
      <c r="JHN153" s="1058"/>
      <c r="JHO153" s="1059"/>
      <c r="JHP153" s="1058"/>
      <c r="JHQ153" s="1059"/>
      <c r="JHR153" s="1058"/>
      <c r="JHS153" s="1059"/>
      <c r="JHT153" s="1058"/>
      <c r="JHU153" s="1059"/>
      <c r="JHV153" s="1058"/>
      <c r="JHW153" s="1059"/>
      <c r="JHX153" s="1058"/>
      <c r="JHY153" s="1059"/>
      <c r="JHZ153" s="1058"/>
      <c r="JIA153" s="1059"/>
      <c r="JIB153" s="1058"/>
      <c r="JIC153" s="1059"/>
      <c r="JID153" s="1058"/>
      <c r="JIE153" s="1059"/>
      <c r="JIF153" s="1058"/>
      <c r="JIG153" s="1059"/>
      <c r="JIH153" s="1058"/>
      <c r="JII153" s="1059"/>
      <c r="JIJ153" s="1058"/>
      <c r="JIK153" s="1059"/>
      <c r="JIL153" s="1058"/>
      <c r="JIM153" s="1059"/>
      <c r="JIN153" s="1058"/>
      <c r="JIO153" s="1059"/>
      <c r="JIP153" s="1058"/>
      <c r="JIQ153" s="1059"/>
      <c r="JIR153" s="1058"/>
      <c r="JIS153" s="1059"/>
      <c r="JIT153" s="1058"/>
      <c r="JIU153" s="1059"/>
      <c r="JIV153" s="1058"/>
      <c r="JIW153" s="1059"/>
      <c r="JIX153" s="1058"/>
      <c r="JIY153" s="1059"/>
      <c r="JIZ153" s="1058"/>
      <c r="JJA153" s="1059"/>
      <c r="JJB153" s="1058"/>
      <c r="JJC153" s="1059"/>
      <c r="JJD153" s="1058"/>
      <c r="JJE153" s="1059"/>
      <c r="JJF153" s="1058"/>
      <c r="JJG153" s="1059"/>
      <c r="JJH153" s="1058"/>
      <c r="JJI153" s="1059"/>
      <c r="JJJ153" s="1058"/>
      <c r="JJK153" s="1059"/>
      <c r="JJL153" s="1058"/>
      <c r="JJM153" s="1059"/>
      <c r="JJN153" s="1058"/>
      <c r="JJO153" s="1059"/>
      <c r="JJP153" s="1058"/>
      <c r="JJQ153" s="1059"/>
      <c r="JJR153" s="1058"/>
      <c r="JJS153" s="1059"/>
      <c r="JJT153" s="1058"/>
      <c r="JJU153" s="1059"/>
      <c r="JJV153" s="1058"/>
      <c r="JJW153" s="1059"/>
      <c r="JJX153" s="1058"/>
      <c r="JJY153" s="1059"/>
      <c r="JJZ153" s="1058"/>
      <c r="JKA153" s="1059"/>
      <c r="JKB153" s="1058"/>
      <c r="JKC153" s="1059"/>
      <c r="JKD153" s="1058"/>
      <c r="JKE153" s="1059"/>
      <c r="JKF153" s="1058"/>
      <c r="JKG153" s="1059"/>
      <c r="JKH153" s="1058"/>
      <c r="JKI153" s="1059"/>
      <c r="JKJ153" s="1058"/>
      <c r="JKK153" s="1059"/>
      <c r="JKL153" s="1058"/>
      <c r="JKM153" s="1059"/>
      <c r="JKN153" s="1058"/>
      <c r="JKO153" s="1059"/>
      <c r="JKP153" s="1058"/>
      <c r="JKQ153" s="1059"/>
      <c r="JKR153" s="1058"/>
      <c r="JKS153" s="1059"/>
      <c r="JKT153" s="1058"/>
      <c r="JKU153" s="1059"/>
      <c r="JKV153" s="1058"/>
      <c r="JKW153" s="1059"/>
      <c r="JKX153" s="1058"/>
      <c r="JKY153" s="1059"/>
      <c r="JKZ153" s="1058"/>
      <c r="JLA153" s="1059"/>
      <c r="JLB153" s="1058"/>
      <c r="JLC153" s="1059"/>
      <c r="JLD153" s="1058"/>
      <c r="JLE153" s="1059"/>
      <c r="JLF153" s="1058"/>
      <c r="JLG153" s="1059"/>
      <c r="JLH153" s="1058"/>
      <c r="JLI153" s="1059"/>
      <c r="JLJ153" s="1058"/>
      <c r="JLK153" s="1059"/>
      <c r="JLL153" s="1058"/>
      <c r="JLM153" s="1059"/>
      <c r="JLN153" s="1058"/>
      <c r="JLO153" s="1059"/>
      <c r="JLP153" s="1058"/>
      <c r="JLQ153" s="1059"/>
      <c r="JLR153" s="1058"/>
      <c r="JLS153" s="1059"/>
      <c r="JLT153" s="1058"/>
      <c r="JLU153" s="1059"/>
      <c r="JLV153" s="1058"/>
      <c r="JLW153" s="1059"/>
      <c r="JLX153" s="1058"/>
      <c r="JLY153" s="1059"/>
      <c r="JLZ153" s="1058"/>
      <c r="JMA153" s="1059"/>
      <c r="JMB153" s="1058"/>
      <c r="JMC153" s="1059"/>
      <c r="JMD153" s="1058"/>
      <c r="JME153" s="1059"/>
      <c r="JMF153" s="1058"/>
      <c r="JMG153" s="1059"/>
      <c r="JMH153" s="1058"/>
      <c r="JMI153" s="1059"/>
      <c r="JMJ153" s="1058"/>
      <c r="JMK153" s="1059"/>
      <c r="JML153" s="1058"/>
      <c r="JMM153" s="1059"/>
      <c r="JMN153" s="1058"/>
      <c r="JMO153" s="1059"/>
      <c r="JMP153" s="1058"/>
      <c r="JMQ153" s="1059"/>
      <c r="JMR153" s="1058"/>
      <c r="JMS153" s="1059"/>
      <c r="JMT153" s="1058"/>
      <c r="JMU153" s="1059"/>
      <c r="JMV153" s="1058"/>
      <c r="JMW153" s="1059"/>
      <c r="JMX153" s="1058"/>
      <c r="JMY153" s="1059"/>
      <c r="JMZ153" s="1058"/>
      <c r="JNA153" s="1059"/>
      <c r="JNB153" s="1058"/>
      <c r="JNC153" s="1059"/>
      <c r="JND153" s="1058"/>
      <c r="JNE153" s="1059"/>
      <c r="JNF153" s="1058"/>
      <c r="JNG153" s="1059"/>
      <c r="JNH153" s="1058"/>
      <c r="JNI153" s="1059"/>
      <c r="JNJ153" s="1058"/>
      <c r="JNK153" s="1059"/>
      <c r="JNL153" s="1058"/>
      <c r="JNM153" s="1059"/>
      <c r="JNN153" s="1058"/>
      <c r="JNO153" s="1059"/>
      <c r="JNP153" s="1058"/>
      <c r="JNQ153" s="1059"/>
      <c r="JNR153" s="1058"/>
      <c r="JNS153" s="1059"/>
      <c r="JNT153" s="1058"/>
      <c r="JNU153" s="1059"/>
      <c r="JNV153" s="1058"/>
      <c r="JNW153" s="1059"/>
      <c r="JNX153" s="1058"/>
      <c r="JNY153" s="1059"/>
      <c r="JNZ153" s="1058"/>
      <c r="JOA153" s="1059"/>
      <c r="JOB153" s="1058"/>
      <c r="JOC153" s="1059"/>
      <c r="JOD153" s="1058"/>
      <c r="JOE153" s="1059"/>
      <c r="JOF153" s="1058"/>
      <c r="JOG153" s="1059"/>
      <c r="JOH153" s="1058"/>
      <c r="JOI153" s="1059"/>
      <c r="JOJ153" s="1058"/>
      <c r="JOK153" s="1059"/>
      <c r="JOL153" s="1058"/>
      <c r="JOM153" s="1059"/>
      <c r="JON153" s="1058"/>
      <c r="JOO153" s="1059"/>
      <c r="JOP153" s="1058"/>
      <c r="JOQ153" s="1059"/>
      <c r="JOR153" s="1058"/>
      <c r="JOS153" s="1059"/>
      <c r="JOT153" s="1058"/>
      <c r="JOU153" s="1059"/>
      <c r="JOV153" s="1058"/>
      <c r="JOW153" s="1059"/>
      <c r="JOX153" s="1058"/>
      <c r="JOY153" s="1059"/>
      <c r="JOZ153" s="1058"/>
      <c r="JPA153" s="1059"/>
      <c r="JPB153" s="1058"/>
      <c r="JPC153" s="1059"/>
      <c r="JPD153" s="1058"/>
      <c r="JPE153" s="1059"/>
      <c r="JPF153" s="1058"/>
      <c r="JPG153" s="1059"/>
      <c r="JPH153" s="1058"/>
      <c r="JPI153" s="1059"/>
      <c r="JPJ153" s="1058"/>
      <c r="JPK153" s="1059"/>
      <c r="JPL153" s="1058"/>
      <c r="JPM153" s="1059"/>
      <c r="JPN153" s="1058"/>
      <c r="JPO153" s="1059"/>
      <c r="JPP153" s="1058"/>
      <c r="JPQ153" s="1059"/>
      <c r="JPR153" s="1058"/>
      <c r="JPS153" s="1059"/>
      <c r="JPT153" s="1058"/>
      <c r="JPU153" s="1059"/>
      <c r="JPV153" s="1058"/>
      <c r="JPW153" s="1059"/>
      <c r="JPX153" s="1058"/>
      <c r="JPY153" s="1059"/>
      <c r="JPZ153" s="1058"/>
      <c r="JQA153" s="1059"/>
      <c r="JQB153" s="1058"/>
      <c r="JQC153" s="1059"/>
      <c r="JQD153" s="1058"/>
      <c r="JQE153" s="1059"/>
      <c r="JQF153" s="1058"/>
      <c r="JQG153" s="1059"/>
      <c r="JQH153" s="1058"/>
      <c r="JQI153" s="1059"/>
      <c r="JQJ153" s="1058"/>
      <c r="JQK153" s="1059"/>
      <c r="JQL153" s="1058"/>
      <c r="JQM153" s="1059"/>
      <c r="JQN153" s="1058"/>
      <c r="JQO153" s="1059"/>
      <c r="JQP153" s="1058"/>
      <c r="JQQ153" s="1059"/>
      <c r="JQR153" s="1058"/>
      <c r="JQS153" s="1059"/>
      <c r="JQT153" s="1058"/>
      <c r="JQU153" s="1059"/>
      <c r="JQV153" s="1058"/>
      <c r="JQW153" s="1059"/>
      <c r="JQX153" s="1058"/>
      <c r="JQY153" s="1059"/>
      <c r="JQZ153" s="1058"/>
      <c r="JRA153" s="1059"/>
      <c r="JRB153" s="1058"/>
      <c r="JRC153" s="1059"/>
      <c r="JRD153" s="1058"/>
      <c r="JRE153" s="1059"/>
      <c r="JRF153" s="1058"/>
      <c r="JRG153" s="1059"/>
      <c r="JRH153" s="1058"/>
      <c r="JRI153" s="1059"/>
      <c r="JRJ153" s="1058"/>
      <c r="JRK153" s="1059"/>
      <c r="JRL153" s="1058"/>
      <c r="JRM153" s="1059"/>
      <c r="JRN153" s="1058"/>
      <c r="JRO153" s="1059"/>
      <c r="JRP153" s="1058"/>
      <c r="JRQ153" s="1059"/>
      <c r="JRR153" s="1058"/>
      <c r="JRS153" s="1059"/>
      <c r="JRT153" s="1058"/>
      <c r="JRU153" s="1059"/>
      <c r="JRV153" s="1058"/>
      <c r="JRW153" s="1059"/>
      <c r="JRX153" s="1058"/>
      <c r="JRY153" s="1059"/>
      <c r="JRZ153" s="1058"/>
      <c r="JSA153" s="1059"/>
      <c r="JSB153" s="1058"/>
      <c r="JSC153" s="1059"/>
      <c r="JSD153" s="1058"/>
      <c r="JSE153" s="1059"/>
      <c r="JSF153" s="1058"/>
      <c r="JSG153" s="1059"/>
      <c r="JSH153" s="1058"/>
      <c r="JSI153" s="1059"/>
      <c r="JSJ153" s="1058"/>
      <c r="JSK153" s="1059"/>
      <c r="JSL153" s="1058"/>
      <c r="JSM153" s="1059"/>
      <c r="JSN153" s="1058"/>
      <c r="JSO153" s="1059"/>
      <c r="JSP153" s="1058"/>
      <c r="JSQ153" s="1059"/>
      <c r="JSR153" s="1058"/>
      <c r="JSS153" s="1059"/>
      <c r="JST153" s="1058"/>
      <c r="JSU153" s="1059"/>
      <c r="JSV153" s="1058"/>
      <c r="JSW153" s="1059"/>
      <c r="JSX153" s="1058"/>
      <c r="JSY153" s="1059"/>
      <c r="JSZ153" s="1058"/>
      <c r="JTA153" s="1059"/>
      <c r="JTB153" s="1058"/>
      <c r="JTC153" s="1059"/>
      <c r="JTD153" s="1058"/>
      <c r="JTE153" s="1059"/>
      <c r="JTF153" s="1058"/>
      <c r="JTG153" s="1059"/>
      <c r="JTH153" s="1058"/>
      <c r="JTI153" s="1059"/>
      <c r="JTJ153" s="1058"/>
      <c r="JTK153" s="1059"/>
      <c r="JTL153" s="1058"/>
      <c r="JTM153" s="1059"/>
      <c r="JTN153" s="1058"/>
      <c r="JTO153" s="1059"/>
      <c r="JTP153" s="1058"/>
      <c r="JTQ153" s="1059"/>
      <c r="JTR153" s="1058"/>
      <c r="JTS153" s="1059"/>
      <c r="JTT153" s="1058"/>
      <c r="JTU153" s="1059"/>
      <c r="JTV153" s="1058"/>
      <c r="JTW153" s="1059"/>
      <c r="JTX153" s="1058"/>
      <c r="JTY153" s="1059"/>
      <c r="JTZ153" s="1058"/>
      <c r="JUA153" s="1059"/>
      <c r="JUB153" s="1058"/>
      <c r="JUC153" s="1059"/>
      <c r="JUD153" s="1058"/>
      <c r="JUE153" s="1059"/>
      <c r="JUF153" s="1058"/>
      <c r="JUG153" s="1059"/>
      <c r="JUH153" s="1058"/>
      <c r="JUI153" s="1059"/>
      <c r="JUJ153" s="1058"/>
      <c r="JUK153" s="1059"/>
      <c r="JUL153" s="1058"/>
      <c r="JUM153" s="1059"/>
      <c r="JUN153" s="1058"/>
      <c r="JUO153" s="1059"/>
      <c r="JUP153" s="1058"/>
      <c r="JUQ153" s="1059"/>
      <c r="JUR153" s="1058"/>
      <c r="JUS153" s="1059"/>
      <c r="JUT153" s="1058"/>
      <c r="JUU153" s="1059"/>
      <c r="JUV153" s="1058"/>
      <c r="JUW153" s="1059"/>
      <c r="JUX153" s="1058"/>
      <c r="JUY153" s="1059"/>
      <c r="JUZ153" s="1058"/>
      <c r="JVA153" s="1059"/>
      <c r="JVB153" s="1058"/>
      <c r="JVC153" s="1059"/>
      <c r="JVD153" s="1058"/>
      <c r="JVE153" s="1059"/>
      <c r="JVF153" s="1058"/>
      <c r="JVG153" s="1059"/>
      <c r="JVH153" s="1058"/>
      <c r="JVI153" s="1059"/>
      <c r="JVJ153" s="1058"/>
      <c r="JVK153" s="1059"/>
      <c r="JVL153" s="1058"/>
      <c r="JVM153" s="1059"/>
      <c r="JVN153" s="1058"/>
      <c r="JVO153" s="1059"/>
      <c r="JVP153" s="1058"/>
      <c r="JVQ153" s="1059"/>
      <c r="JVR153" s="1058"/>
      <c r="JVS153" s="1059"/>
      <c r="JVT153" s="1058"/>
      <c r="JVU153" s="1059"/>
      <c r="JVV153" s="1058"/>
      <c r="JVW153" s="1059"/>
      <c r="JVX153" s="1058"/>
      <c r="JVY153" s="1059"/>
      <c r="JVZ153" s="1058"/>
      <c r="JWA153" s="1059"/>
      <c r="JWB153" s="1058"/>
      <c r="JWC153" s="1059"/>
      <c r="JWD153" s="1058"/>
      <c r="JWE153" s="1059"/>
      <c r="JWF153" s="1058"/>
      <c r="JWG153" s="1059"/>
      <c r="JWH153" s="1058"/>
      <c r="JWI153" s="1059"/>
      <c r="JWJ153" s="1058"/>
      <c r="JWK153" s="1059"/>
      <c r="JWL153" s="1058"/>
      <c r="JWM153" s="1059"/>
      <c r="JWN153" s="1058"/>
      <c r="JWO153" s="1059"/>
      <c r="JWP153" s="1058"/>
      <c r="JWQ153" s="1059"/>
      <c r="JWR153" s="1058"/>
      <c r="JWS153" s="1059"/>
      <c r="JWT153" s="1058"/>
      <c r="JWU153" s="1059"/>
      <c r="JWV153" s="1058"/>
      <c r="JWW153" s="1059"/>
      <c r="JWX153" s="1058"/>
      <c r="JWY153" s="1059"/>
      <c r="JWZ153" s="1058"/>
      <c r="JXA153" s="1059"/>
      <c r="JXB153" s="1058"/>
      <c r="JXC153" s="1059"/>
      <c r="JXD153" s="1058"/>
      <c r="JXE153" s="1059"/>
      <c r="JXF153" s="1058"/>
      <c r="JXG153" s="1059"/>
      <c r="JXH153" s="1058"/>
      <c r="JXI153" s="1059"/>
      <c r="JXJ153" s="1058"/>
      <c r="JXK153" s="1059"/>
      <c r="JXL153" s="1058"/>
      <c r="JXM153" s="1059"/>
      <c r="JXN153" s="1058"/>
      <c r="JXO153" s="1059"/>
      <c r="JXP153" s="1058"/>
      <c r="JXQ153" s="1059"/>
      <c r="JXR153" s="1058"/>
      <c r="JXS153" s="1059"/>
      <c r="JXT153" s="1058"/>
      <c r="JXU153" s="1059"/>
      <c r="JXV153" s="1058"/>
      <c r="JXW153" s="1059"/>
      <c r="JXX153" s="1058"/>
      <c r="JXY153" s="1059"/>
      <c r="JXZ153" s="1058"/>
      <c r="JYA153" s="1059"/>
      <c r="JYB153" s="1058"/>
      <c r="JYC153" s="1059"/>
      <c r="JYD153" s="1058"/>
      <c r="JYE153" s="1059"/>
      <c r="JYF153" s="1058"/>
      <c r="JYG153" s="1059"/>
      <c r="JYH153" s="1058"/>
      <c r="JYI153" s="1059"/>
      <c r="JYJ153" s="1058"/>
      <c r="JYK153" s="1059"/>
      <c r="JYL153" s="1058"/>
      <c r="JYM153" s="1059"/>
      <c r="JYN153" s="1058"/>
      <c r="JYO153" s="1059"/>
      <c r="JYP153" s="1058"/>
      <c r="JYQ153" s="1059"/>
      <c r="JYR153" s="1058"/>
      <c r="JYS153" s="1059"/>
      <c r="JYT153" s="1058"/>
      <c r="JYU153" s="1059"/>
      <c r="JYV153" s="1058"/>
      <c r="JYW153" s="1059"/>
      <c r="JYX153" s="1058"/>
      <c r="JYY153" s="1059"/>
      <c r="JYZ153" s="1058"/>
      <c r="JZA153" s="1059"/>
      <c r="JZB153" s="1058"/>
      <c r="JZC153" s="1059"/>
      <c r="JZD153" s="1058"/>
      <c r="JZE153" s="1059"/>
      <c r="JZF153" s="1058"/>
      <c r="JZG153" s="1059"/>
      <c r="JZH153" s="1058"/>
      <c r="JZI153" s="1059"/>
      <c r="JZJ153" s="1058"/>
      <c r="JZK153" s="1059"/>
      <c r="JZL153" s="1058"/>
      <c r="JZM153" s="1059"/>
      <c r="JZN153" s="1058"/>
      <c r="JZO153" s="1059"/>
      <c r="JZP153" s="1058"/>
      <c r="JZQ153" s="1059"/>
      <c r="JZR153" s="1058"/>
      <c r="JZS153" s="1059"/>
      <c r="JZT153" s="1058"/>
      <c r="JZU153" s="1059"/>
      <c r="JZV153" s="1058"/>
      <c r="JZW153" s="1059"/>
      <c r="JZX153" s="1058"/>
      <c r="JZY153" s="1059"/>
      <c r="JZZ153" s="1058"/>
      <c r="KAA153" s="1059"/>
      <c r="KAB153" s="1058"/>
      <c r="KAC153" s="1059"/>
      <c r="KAD153" s="1058"/>
      <c r="KAE153" s="1059"/>
      <c r="KAF153" s="1058"/>
      <c r="KAG153" s="1059"/>
      <c r="KAH153" s="1058"/>
      <c r="KAI153" s="1059"/>
      <c r="KAJ153" s="1058"/>
      <c r="KAK153" s="1059"/>
      <c r="KAL153" s="1058"/>
      <c r="KAM153" s="1059"/>
      <c r="KAN153" s="1058"/>
      <c r="KAO153" s="1059"/>
      <c r="KAP153" s="1058"/>
      <c r="KAQ153" s="1059"/>
      <c r="KAR153" s="1058"/>
      <c r="KAS153" s="1059"/>
      <c r="KAT153" s="1058"/>
      <c r="KAU153" s="1059"/>
      <c r="KAV153" s="1058"/>
      <c r="KAW153" s="1059"/>
      <c r="KAX153" s="1058"/>
      <c r="KAY153" s="1059"/>
      <c r="KAZ153" s="1058"/>
      <c r="KBA153" s="1059"/>
      <c r="KBB153" s="1058"/>
      <c r="KBC153" s="1059"/>
      <c r="KBD153" s="1058"/>
      <c r="KBE153" s="1059"/>
      <c r="KBF153" s="1058"/>
      <c r="KBG153" s="1059"/>
      <c r="KBH153" s="1058"/>
      <c r="KBI153" s="1059"/>
      <c r="KBJ153" s="1058"/>
      <c r="KBK153" s="1059"/>
      <c r="KBL153" s="1058"/>
      <c r="KBM153" s="1059"/>
      <c r="KBN153" s="1058"/>
      <c r="KBO153" s="1059"/>
      <c r="KBP153" s="1058"/>
      <c r="KBQ153" s="1059"/>
      <c r="KBR153" s="1058"/>
      <c r="KBS153" s="1059"/>
      <c r="KBT153" s="1058"/>
      <c r="KBU153" s="1059"/>
      <c r="KBV153" s="1058"/>
      <c r="KBW153" s="1059"/>
      <c r="KBX153" s="1058"/>
      <c r="KBY153" s="1059"/>
      <c r="KBZ153" s="1058"/>
      <c r="KCA153" s="1059"/>
      <c r="KCB153" s="1058"/>
      <c r="KCC153" s="1059"/>
      <c r="KCD153" s="1058"/>
      <c r="KCE153" s="1059"/>
      <c r="KCF153" s="1058"/>
      <c r="KCG153" s="1059"/>
      <c r="KCH153" s="1058"/>
      <c r="KCI153" s="1059"/>
      <c r="KCJ153" s="1058"/>
      <c r="KCK153" s="1059"/>
      <c r="KCL153" s="1058"/>
      <c r="KCM153" s="1059"/>
      <c r="KCN153" s="1058"/>
      <c r="KCO153" s="1059"/>
      <c r="KCP153" s="1058"/>
      <c r="KCQ153" s="1059"/>
      <c r="KCR153" s="1058"/>
      <c r="KCS153" s="1059"/>
      <c r="KCT153" s="1058"/>
      <c r="KCU153" s="1059"/>
      <c r="KCV153" s="1058"/>
      <c r="KCW153" s="1059"/>
      <c r="KCX153" s="1058"/>
      <c r="KCY153" s="1059"/>
      <c r="KCZ153" s="1058"/>
      <c r="KDA153" s="1059"/>
      <c r="KDB153" s="1058"/>
      <c r="KDC153" s="1059"/>
      <c r="KDD153" s="1058"/>
      <c r="KDE153" s="1059"/>
      <c r="KDF153" s="1058"/>
      <c r="KDG153" s="1059"/>
      <c r="KDH153" s="1058"/>
      <c r="KDI153" s="1059"/>
      <c r="KDJ153" s="1058"/>
      <c r="KDK153" s="1059"/>
      <c r="KDL153" s="1058"/>
      <c r="KDM153" s="1059"/>
      <c r="KDN153" s="1058"/>
      <c r="KDO153" s="1059"/>
      <c r="KDP153" s="1058"/>
      <c r="KDQ153" s="1059"/>
      <c r="KDR153" s="1058"/>
      <c r="KDS153" s="1059"/>
      <c r="KDT153" s="1058"/>
      <c r="KDU153" s="1059"/>
      <c r="KDV153" s="1058"/>
      <c r="KDW153" s="1059"/>
      <c r="KDX153" s="1058"/>
      <c r="KDY153" s="1059"/>
      <c r="KDZ153" s="1058"/>
      <c r="KEA153" s="1059"/>
      <c r="KEB153" s="1058"/>
      <c r="KEC153" s="1059"/>
      <c r="KED153" s="1058"/>
      <c r="KEE153" s="1059"/>
      <c r="KEF153" s="1058"/>
      <c r="KEG153" s="1059"/>
      <c r="KEH153" s="1058"/>
      <c r="KEI153" s="1059"/>
      <c r="KEJ153" s="1058"/>
      <c r="KEK153" s="1059"/>
      <c r="KEL153" s="1058"/>
      <c r="KEM153" s="1059"/>
      <c r="KEN153" s="1058"/>
      <c r="KEO153" s="1059"/>
      <c r="KEP153" s="1058"/>
      <c r="KEQ153" s="1059"/>
      <c r="KER153" s="1058"/>
      <c r="KES153" s="1059"/>
      <c r="KET153" s="1058"/>
      <c r="KEU153" s="1059"/>
      <c r="KEV153" s="1058"/>
      <c r="KEW153" s="1059"/>
      <c r="KEX153" s="1058"/>
      <c r="KEY153" s="1059"/>
      <c r="KEZ153" s="1058"/>
      <c r="KFA153" s="1059"/>
      <c r="KFB153" s="1058"/>
      <c r="KFC153" s="1059"/>
      <c r="KFD153" s="1058"/>
      <c r="KFE153" s="1059"/>
      <c r="KFF153" s="1058"/>
      <c r="KFG153" s="1059"/>
      <c r="KFH153" s="1058"/>
      <c r="KFI153" s="1059"/>
      <c r="KFJ153" s="1058"/>
      <c r="KFK153" s="1059"/>
      <c r="KFL153" s="1058"/>
      <c r="KFM153" s="1059"/>
      <c r="KFN153" s="1058"/>
      <c r="KFO153" s="1059"/>
      <c r="KFP153" s="1058"/>
      <c r="KFQ153" s="1059"/>
      <c r="KFR153" s="1058"/>
      <c r="KFS153" s="1059"/>
      <c r="KFT153" s="1058"/>
      <c r="KFU153" s="1059"/>
      <c r="KFV153" s="1058"/>
      <c r="KFW153" s="1059"/>
      <c r="KFX153" s="1058"/>
      <c r="KFY153" s="1059"/>
      <c r="KFZ153" s="1058"/>
      <c r="KGA153" s="1059"/>
      <c r="KGB153" s="1058"/>
      <c r="KGC153" s="1059"/>
      <c r="KGD153" s="1058"/>
      <c r="KGE153" s="1059"/>
      <c r="KGF153" s="1058"/>
      <c r="KGG153" s="1059"/>
      <c r="KGH153" s="1058"/>
      <c r="KGI153" s="1059"/>
      <c r="KGJ153" s="1058"/>
      <c r="KGK153" s="1059"/>
      <c r="KGL153" s="1058"/>
      <c r="KGM153" s="1059"/>
      <c r="KGN153" s="1058"/>
      <c r="KGO153" s="1059"/>
      <c r="KGP153" s="1058"/>
      <c r="KGQ153" s="1059"/>
      <c r="KGR153" s="1058"/>
      <c r="KGS153" s="1059"/>
      <c r="KGT153" s="1058"/>
      <c r="KGU153" s="1059"/>
      <c r="KGV153" s="1058"/>
      <c r="KGW153" s="1059"/>
      <c r="KGX153" s="1058"/>
      <c r="KGY153" s="1059"/>
      <c r="KGZ153" s="1058"/>
      <c r="KHA153" s="1059"/>
      <c r="KHB153" s="1058"/>
      <c r="KHC153" s="1059"/>
      <c r="KHD153" s="1058"/>
      <c r="KHE153" s="1059"/>
      <c r="KHF153" s="1058"/>
      <c r="KHG153" s="1059"/>
      <c r="KHH153" s="1058"/>
      <c r="KHI153" s="1059"/>
      <c r="KHJ153" s="1058"/>
      <c r="KHK153" s="1059"/>
      <c r="KHL153" s="1058"/>
      <c r="KHM153" s="1059"/>
      <c r="KHN153" s="1058"/>
      <c r="KHO153" s="1059"/>
      <c r="KHP153" s="1058"/>
      <c r="KHQ153" s="1059"/>
      <c r="KHR153" s="1058"/>
      <c r="KHS153" s="1059"/>
      <c r="KHT153" s="1058"/>
      <c r="KHU153" s="1059"/>
      <c r="KHV153" s="1058"/>
      <c r="KHW153" s="1059"/>
      <c r="KHX153" s="1058"/>
      <c r="KHY153" s="1059"/>
      <c r="KHZ153" s="1058"/>
      <c r="KIA153" s="1059"/>
      <c r="KIB153" s="1058"/>
      <c r="KIC153" s="1059"/>
      <c r="KID153" s="1058"/>
      <c r="KIE153" s="1059"/>
      <c r="KIF153" s="1058"/>
      <c r="KIG153" s="1059"/>
      <c r="KIH153" s="1058"/>
      <c r="KII153" s="1059"/>
      <c r="KIJ153" s="1058"/>
      <c r="KIK153" s="1059"/>
      <c r="KIL153" s="1058"/>
      <c r="KIM153" s="1059"/>
      <c r="KIN153" s="1058"/>
      <c r="KIO153" s="1059"/>
      <c r="KIP153" s="1058"/>
      <c r="KIQ153" s="1059"/>
      <c r="KIR153" s="1058"/>
      <c r="KIS153" s="1059"/>
      <c r="KIT153" s="1058"/>
      <c r="KIU153" s="1059"/>
      <c r="KIV153" s="1058"/>
      <c r="KIW153" s="1059"/>
      <c r="KIX153" s="1058"/>
      <c r="KIY153" s="1059"/>
      <c r="KIZ153" s="1058"/>
      <c r="KJA153" s="1059"/>
      <c r="KJB153" s="1058"/>
      <c r="KJC153" s="1059"/>
      <c r="KJD153" s="1058"/>
      <c r="KJE153" s="1059"/>
      <c r="KJF153" s="1058"/>
      <c r="KJG153" s="1059"/>
      <c r="KJH153" s="1058"/>
      <c r="KJI153" s="1059"/>
      <c r="KJJ153" s="1058"/>
      <c r="KJK153" s="1059"/>
      <c r="KJL153" s="1058"/>
      <c r="KJM153" s="1059"/>
      <c r="KJN153" s="1058"/>
      <c r="KJO153" s="1059"/>
      <c r="KJP153" s="1058"/>
      <c r="KJQ153" s="1059"/>
      <c r="KJR153" s="1058"/>
      <c r="KJS153" s="1059"/>
      <c r="KJT153" s="1058"/>
      <c r="KJU153" s="1059"/>
      <c r="KJV153" s="1058"/>
      <c r="KJW153" s="1059"/>
      <c r="KJX153" s="1058"/>
      <c r="KJY153" s="1059"/>
      <c r="KJZ153" s="1058"/>
      <c r="KKA153" s="1059"/>
      <c r="KKB153" s="1058"/>
      <c r="KKC153" s="1059"/>
      <c r="KKD153" s="1058"/>
      <c r="KKE153" s="1059"/>
      <c r="KKF153" s="1058"/>
      <c r="KKG153" s="1059"/>
      <c r="KKH153" s="1058"/>
      <c r="KKI153" s="1059"/>
      <c r="KKJ153" s="1058"/>
      <c r="KKK153" s="1059"/>
      <c r="KKL153" s="1058"/>
      <c r="KKM153" s="1059"/>
      <c r="KKN153" s="1058"/>
      <c r="KKO153" s="1059"/>
      <c r="KKP153" s="1058"/>
      <c r="KKQ153" s="1059"/>
      <c r="KKR153" s="1058"/>
      <c r="KKS153" s="1059"/>
      <c r="KKT153" s="1058"/>
      <c r="KKU153" s="1059"/>
      <c r="KKV153" s="1058"/>
      <c r="KKW153" s="1059"/>
      <c r="KKX153" s="1058"/>
      <c r="KKY153" s="1059"/>
      <c r="KKZ153" s="1058"/>
      <c r="KLA153" s="1059"/>
      <c r="KLB153" s="1058"/>
      <c r="KLC153" s="1059"/>
      <c r="KLD153" s="1058"/>
      <c r="KLE153" s="1059"/>
      <c r="KLF153" s="1058"/>
      <c r="KLG153" s="1059"/>
      <c r="KLH153" s="1058"/>
      <c r="KLI153" s="1059"/>
      <c r="KLJ153" s="1058"/>
      <c r="KLK153" s="1059"/>
      <c r="KLL153" s="1058"/>
      <c r="KLM153" s="1059"/>
      <c r="KLN153" s="1058"/>
      <c r="KLO153" s="1059"/>
      <c r="KLP153" s="1058"/>
      <c r="KLQ153" s="1059"/>
      <c r="KLR153" s="1058"/>
      <c r="KLS153" s="1059"/>
      <c r="KLT153" s="1058"/>
      <c r="KLU153" s="1059"/>
      <c r="KLV153" s="1058"/>
      <c r="KLW153" s="1059"/>
      <c r="KLX153" s="1058"/>
      <c r="KLY153" s="1059"/>
      <c r="KLZ153" s="1058"/>
      <c r="KMA153" s="1059"/>
      <c r="KMB153" s="1058"/>
      <c r="KMC153" s="1059"/>
      <c r="KMD153" s="1058"/>
      <c r="KME153" s="1059"/>
      <c r="KMF153" s="1058"/>
      <c r="KMG153" s="1059"/>
      <c r="KMH153" s="1058"/>
      <c r="KMI153" s="1059"/>
      <c r="KMJ153" s="1058"/>
      <c r="KMK153" s="1059"/>
      <c r="KML153" s="1058"/>
      <c r="KMM153" s="1059"/>
      <c r="KMN153" s="1058"/>
      <c r="KMO153" s="1059"/>
      <c r="KMP153" s="1058"/>
      <c r="KMQ153" s="1059"/>
      <c r="KMR153" s="1058"/>
      <c r="KMS153" s="1059"/>
      <c r="KMT153" s="1058"/>
      <c r="KMU153" s="1059"/>
      <c r="KMV153" s="1058"/>
      <c r="KMW153" s="1059"/>
      <c r="KMX153" s="1058"/>
      <c r="KMY153" s="1059"/>
      <c r="KMZ153" s="1058"/>
      <c r="KNA153" s="1059"/>
      <c r="KNB153" s="1058"/>
      <c r="KNC153" s="1059"/>
      <c r="KND153" s="1058"/>
      <c r="KNE153" s="1059"/>
      <c r="KNF153" s="1058"/>
      <c r="KNG153" s="1059"/>
      <c r="KNH153" s="1058"/>
      <c r="KNI153" s="1059"/>
      <c r="KNJ153" s="1058"/>
      <c r="KNK153" s="1059"/>
      <c r="KNL153" s="1058"/>
      <c r="KNM153" s="1059"/>
      <c r="KNN153" s="1058"/>
      <c r="KNO153" s="1059"/>
      <c r="KNP153" s="1058"/>
      <c r="KNQ153" s="1059"/>
      <c r="KNR153" s="1058"/>
      <c r="KNS153" s="1059"/>
      <c r="KNT153" s="1058"/>
      <c r="KNU153" s="1059"/>
      <c r="KNV153" s="1058"/>
      <c r="KNW153" s="1059"/>
      <c r="KNX153" s="1058"/>
      <c r="KNY153" s="1059"/>
      <c r="KNZ153" s="1058"/>
      <c r="KOA153" s="1059"/>
      <c r="KOB153" s="1058"/>
      <c r="KOC153" s="1059"/>
      <c r="KOD153" s="1058"/>
      <c r="KOE153" s="1059"/>
      <c r="KOF153" s="1058"/>
      <c r="KOG153" s="1059"/>
      <c r="KOH153" s="1058"/>
      <c r="KOI153" s="1059"/>
      <c r="KOJ153" s="1058"/>
      <c r="KOK153" s="1059"/>
      <c r="KOL153" s="1058"/>
      <c r="KOM153" s="1059"/>
      <c r="KON153" s="1058"/>
      <c r="KOO153" s="1059"/>
      <c r="KOP153" s="1058"/>
      <c r="KOQ153" s="1059"/>
      <c r="KOR153" s="1058"/>
      <c r="KOS153" s="1059"/>
      <c r="KOT153" s="1058"/>
      <c r="KOU153" s="1059"/>
      <c r="KOV153" s="1058"/>
      <c r="KOW153" s="1059"/>
      <c r="KOX153" s="1058"/>
      <c r="KOY153" s="1059"/>
      <c r="KOZ153" s="1058"/>
      <c r="KPA153" s="1059"/>
      <c r="KPB153" s="1058"/>
      <c r="KPC153" s="1059"/>
      <c r="KPD153" s="1058"/>
      <c r="KPE153" s="1059"/>
      <c r="KPF153" s="1058"/>
      <c r="KPG153" s="1059"/>
      <c r="KPH153" s="1058"/>
      <c r="KPI153" s="1059"/>
      <c r="KPJ153" s="1058"/>
      <c r="KPK153" s="1059"/>
      <c r="KPL153" s="1058"/>
      <c r="KPM153" s="1059"/>
      <c r="KPN153" s="1058"/>
      <c r="KPO153" s="1059"/>
      <c r="KPP153" s="1058"/>
      <c r="KPQ153" s="1059"/>
      <c r="KPR153" s="1058"/>
      <c r="KPS153" s="1059"/>
      <c r="KPT153" s="1058"/>
      <c r="KPU153" s="1059"/>
      <c r="KPV153" s="1058"/>
      <c r="KPW153" s="1059"/>
      <c r="KPX153" s="1058"/>
      <c r="KPY153" s="1059"/>
      <c r="KPZ153" s="1058"/>
      <c r="KQA153" s="1059"/>
      <c r="KQB153" s="1058"/>
      <c r="KQC153" s="1059"/>
      <c r="KQD153" s="1058"/>
      <c r="KQE153" s="1059"/>
      <c r="KQF153" s="1058"/>
      <c r="KQG153" s="1059"/>
      <c r="KQH153" s="1058"/>
      <c r="KQI153" s="1059"/>
      <c r="KQJ153" s="1058"/>
      <c r="KQK153" s="1059"/>
      <c r="KQL153" s="1058"/>
      <c r="KQM153" s="1059"/>
      <c r="KQN153" s="1058"/>
      <c r="KQO153" s="1059"/>
      <c r="KQP153" s="1058"/>
      <c r="KQQ153" s="1059"/>
      <c r="KQR153" s="1058"/>
      <c r="KQS153" s="1059"/>
      <c r="KQT153" s="1058"/>
      <c r="KQU153" s="1059"/>
      <c r="KQV153" s="1058"/>
      <c r="KQW153" s="1059"/>
      <c r="KQX153" s="1058"/>
      <c r="KQY153" s="1059"/>
      <c r="KQZ153" s="1058"/>
      <c r="KRA153" s="1059"/>
      <c r="KRB153" s="1058"/>
      <c r="KRC153" s="1059"/>
      <c r="KRD153" s="1058"/>
      <c r="KRE153" s="1059"/>
      <c r="KRF153" s="1058"/>
      <c r="KRG153" s="1059"/>
      <c r="KRH153" s="1058"/>
      <c r="KRI153" s="1059"/>
      <c r="KRJ153" s="1058"/>
      <c r="KRK153" s="1059"/>
      <c r="KRL153" s="1058"/>
      <c r="KRM153" s="1059"/>
      <c r="KRN153" s="1058"/>
      <c r="KRO153" s="1059"/>
      <c r="KRP153" s="1058"/>
      <c r="KRQ153" s="1059"/>
      <c r="KRR153" s="1058"/>
      <c r="KRS153" s="1059"/>
      <c r="KRT153" s="1058"/>
      <c r="KRU153" s="1059"/>
      <c r="KRV153" s="1058"/>
      <c r="KRW153" s="1059"/>
      <c r="KRX153" s="1058"/>
      <c r="KRY153" s="1059"/>
      <c r="KRZ153" s="1058"/>
      <c r="KSA153" s="1059"/>
      <c r="KSB153" s="1058"/>
      <c r="KSC153" s="1059"/>
      <c r="KSD153" s="1058"/>
      <c r="KSE153" s="1059"/>
      <c r="KSF153" s="1058"/>
      <c r="KSG153" s="1059"/>
      <c r="KSH153" s="1058"/>
      <c r="KSI153" s="1059"/>
      <c r="KSJ153" s="1058"/>
      <c r="KSK153" s="1059"/>
      <c r="KSL153" s="1058"/>
      <c r="KSM153" s="1059"/>
      <c r="KSN153" s="1058"/>
      <c r="KSO153" s="1059"/>
      <c r="KSP153" s="1058"/>
      <c r="KSQ153" s="1059"/>
      <c r="KSR153" s="1058"/>
      <c r="KSS153" s="1059"/>
      <c r="KST153" s="1058"/>
      <c r="KSU153" s="1059"/>
      <c r="KSV153" s="1058"/>
      <c r="KSW153" s="1059"/>
      <c r="KSX153" s="1058"/>
      <c r="KSY153" s="1059"/>
      <c r="KSZ153" s="1058"/>
      <c r="KTA153" s="1059"/>
      <c r="KTB153" s="1058"/>
      <c r="KTC153" s="1059"/>
      <c r="KTD153" s="1058"/>
      <c r="KTE153" s="1059"/>
      <c r="KTF153" s="1058"/>
      <c r="KTG153" s="1059"/>
      <c r="KTH153" s="1058"/>
      <c r="KTI153" s="1059"/>
      <c r="KTJ153" s="1058"/>
      <c r="KTK153" s="1059"/>
      <c r="KTL153" s="1058"/>
      <c r="KTM153" s="1059"/>
      <c r="KTN153" s="1058"/>
      <c r="KTO153" s="1059"/>
      <c r="KTP153" s="1058"/>
      <c r="KTQ153" s="1059"/>
      <c r="KTR153" s="1058"/>
      <c r="KTS153" s="1059"/>
      <c r="KTT153" s="1058"/>
      <c r="KTU153" s="1059"/>
      <c r="KTV153" s="1058"/>
      <c r="KTW153" s="1059"/>
      <c r="KTX153" s="1058"/>
      <c r="KTY153" s="1059"/>
      <c r="KTZ153" s="1058"/>
      <c r="KUA153" s="1059"/>
      <c r="KUB153" s="1058"/>
      <c r="KUC153" s="1059"/>
      <c r="KUD153" s="1058"/>
      <c r="KUE153" s="1059"/>
      <c r="KUF153" s="1058"/>
      <c r="KUG153" s="1059"/>
      <c r="KUH153" s="1058"/>
      <c r="KUI153" s="1059"/>
      <c r="KUJ153" s="1058"/>
      <c r="KUK153" s="1059"/>
      <c r="KUL153" s="1058"/>
      <c r="KUM153" s="1059"/>
      <c r="KUN153" s="1058"/>
      <c r="KUO153" s="1059"/>
      <c r="KUP153" s="1058"/>
      <c r="KUQ153" s="1059"/>
      <c r="KUR153" s="1058"/>
      <c r="KUS153" s="1059"/>
      <c r="KUT153" s="1058"/>
      <c r="KUU153" s="1059"/>
      <c r="KUV153" s="1058"/>
      <c r="KUW153" s="1059"/>
      <c r="KUX153" s="1058"/>
      <c r="KUY153" s="1059"/>
      <c r="KUZ153" s="1058"/>
      <c r="KVA153" s="1059"/>
      <c r="KVB153" s="1058"/>
      <c r="KVC153" s="1059"/>
      <c r="KVD153" s="1058"/>
      <c r="KVE153" s="1059"/>
      <c r="KVF153" s="1058"/>
      <c r="KVG153" s="1059"/>
      <c r="KVH153" s="1058"/>
      <c r="KVI153" s="1059"/>
      <c r="KVJ153" s="1058"/>
      <c r="KVK153" s="1059"/>
      <c r="KVL153" s="1058"/>
      <c r="KVM153" s="1059"/>
      <c r="KVN153" s="1058"/>
      <c r="KVO153" s="1059"/>
      <c r="KVP153" s="1058"/>
      <c r="KVQ153" s="1059"/>
      <c r="KVR153" s="1058"/>
      <c r="KVS153" s="1059"/>
      <c r="KVT153" s="1058"/>
      <c r="KVU153" s="1059"/>
      <c r="KVV153" s="1058"/>
      <c r="KVW153" s="1059"/>
      <c r="KVX153" s="1058"/>
      <c r="KVY153" s="1059"/>
      <c r="KVZ153" s="1058"/>
      <c r="KWA153" s="1059"/>
      <c r="KWB153" s="1058"/>
      <c r="KWC153" s="1059"/>
      <c r="KWD153" s="1058"/>
      <c r="KWE153" s="1059"/>
      <c r="KWF153" s="1058"/>
      <c r="KWG153" s="1059"/>
      <c r="KWH153" s="1058"/>
      <c r="KWI153" s="1059"/>
      <c r="KWJ153" s="1058"/>
      <c r="KWK153" s="1059"/>
      <c r="KWL153" s="1058"/>
      <c r="KWM153" s="1059"/>
      <c r="KWN153" s="1058"/>
      <c r="KWO153" s="1059"/>
      <c r="KWP153" s="1058"/>
      <c r="KWQ153" s="1059"/>
      <c r="KWR153" s="1058"/>
      <c r="KWS153" s="1059"/>
      <c r="KWT153" s="1058"/>
      <c r="KWU153" s="1059"/>
      <c r="KWV153" s="1058"/>
      <c r="KWW153" s="1059"/>
      <c r="KWX153" s="1058"/>
      <c r="KWY153" s="1059"/>
      <c r="KWZ153" s="1058"/>
      <c r="KXA153" s="1059"/>
      <c r="KXB153" s="1058"/>
      <c r="KXC153" s="1059"/>
      <c r="KXD153" s="1058"/>
      <c r="KXE153" s="1059"/>
      <c r="KXF153" s="1058"/>
      <c r="KXG153" s="1059"/>
      <c r="KXH153" s="1058"/>
      <c r="KXI153" s="1059"/>
      <c r="KXJ153" s="1058"/>
      <c r="KXK153" s="1059"/>
      <c r="KXL153" s="1058"/>
      <c r="KXM153" s="1059"/>
      <c r="KXN153" s="1058"/>
      <c r="KXO153" s="1059"/>
      <c r="KXP153" s="1058"/>
      <c r="KXQ153" s="1059"/>
      <c r="KXR153" s="1058"/>
      <c r="KXS153" s="1059"/>
      <c r="KXT153" s="1058"/>
      <c r="KXU153" s="1059"/>
      <c r="KXV153" s="1058"/>
      <c r="KXW153" s="1059"/>
      <c r="KXX153" s="1058"/>
      <c r="KXY153" s="1059"/>
      <c r="KXZ153" s="1058"/>
      <c r="KYA153" s="1059"/>
      <c r="KYB153" s="1058"/>
      <c r="KYC153" s="1059"/>
      <c r="KYD153" s="1058"/>
      <c r="KYE153" s="1059"/>
      <c r="KYF153" s="1058"/>
      <c r="KYG153" s="1059"/>
      <c r="KYH153" s="1058"/>
      <c r="KYI153" s="1059"/>
      <c r="KYJ153" s="1058"/>
      <c r="KYK153" s="1059"/>
      <c r="KYL153" s="1058"/>
      <c r="KYM153" s="1059"/>
      <c r="KYN153" s="1058"/>
      <c r="KYO153" s="1059"/>
      <c r="KYP153" s="1058"/>
      <c r="KYQ153" s="1059"/>
      <c r="KYR153" s="1058"/>
      <c r="KYS153" s="1059"/>
      <c r="KYT153" s="1058"/>
      <c r="KYU153" s="1059"/>
      <c r="KYV153" s="1058"/>
      <c r="KYW153" s="1059"/>
      <c r="KYX153" s="1058"/>
      <c r="KYY153" s="1059"/>
      <c r="KYZ153" s="1058"/>
      <c r="KZA153" s="1059"/>
      <c r="KZB153" s="1058"/>
      <c r="KZC153" s="1059"/>
      <c r="KZD153" s="1058"/>
      <c r="KZE153" s="1059"/>
      <c r="KZF153" s="1058"/>
      <c r="KZG153" s="1059"/>
      <c r="KZH153" s="1058"/>
      <c r="KZI153" s="1059"/>
      <c r="KZJ153" s="1058"/>
      <c r="KZK153" s="1059"/>
      <c r="KZL153" s="1058"/>
      <c r="KZM153" s="1059"/>
      <c r="KZN153" s="1058"/>
      <c r="KZO153" s="1059"/>
      <c r="KZP153" s="1058"/>
      <c r="KZQ153" s="1059"/>
      <c r="KZR153" s="1058"/>
      <c r="KZS153" s="1059"/>
      <c r="KZT153" s="1058"/>
      <c r="KZU153" s="1059"/>
      <c r="KZV153" s="1058"/>
      <c r="KZW153" s="1059"/>
      <c r="KZX153" s="1058"/>
      <c r="KZY153" s="1059"/>
      <c r="KZZ153" s="1058"/>
      <c r="LAA153" s="1059"/>
      <c r="LAB153" s="1058"/>
      <c r="LAC153" s="1059"/>
      <c r="LAD153" s="1058"/>
      <c r="LAE153" s="1059"/>
      <c r="LAF153" s="1058"/>
      <c r="LAG153" s="1059"/>
      <c r="LAH153" s="1058"/>
      <c r="LAI153" s="1059"/>
      <c r="LAJ153" s="1058"/>
      <c r="LAK153" s="1059"/>
      <c r="LAL153" s="1058"/>
      <c r="LAM153" s="1059"/>
      <c r="LAN153" s="1058"/>
      <c r="LAO153" s="1059"/>
      <c r="LAP153" s="1058"/>
      <c r="LAQ153" s="1059"/>
      <c r="LAR153" s="1058"/>
      <c r="LAS153" s="1059"/>
      <c r="LAT153" s="1058"/>
      <c r="LAU153" s="1059"/>
      <c r="LAV153" s="1058"/>
      <c r="LAW153" s="1059"/>
      <c r="LAX153" s="1058"/>
      <c r="LAY153" s="1059"/>
      <c r="LAZ153" s="1058"/>
      <c r="LBA153" s="1059"/>
      <c r="LBB153" s="1058"/>
      <c r="LBC153" s="1059"/>
      <c r="LBD153" s="1058"/>
      <c r="LBE153" s="1059"/>
      <c r="LBF153" s="1058"/>
      <c r="LBG153" s="1059"/>
      <c r="LBH153" s="1058"/>
      <c r="LBI153" s="1059"/>
      <c r="LBJ153" s="1058"/>
      <c r="LBK153" s="1059"/>
      <c r="LBL153" s="1058"/>
      <c r="LBM153" s="1059"/>
      <c r="LBN153" s="1058"/>
      <c r="LBO153" s="1059"/>
      <c r="LBP153" s="1058"/>
      <c r="LBQ153" s="1059"/>
      <c r="LBR153" s="1058"/>
      <c r="LBS153" s="1059"/>
      <c r="LBT153" s="1058"/>
      <c r="LBU153" s="1059"/>
      <c r="LBV153" s="1058"/>
      <c r="LBW153" s="1059"/>
      <c r="LBX153" s="1058"/>
      <c r="LBY153" s="1059"/>
      <c r="LBZ153" s="1058"/>
      <c r="LCA153" s="1059"/>
      <c r="LCB153" s="1058"/>
      <c r="LCC153" s="1059"/>
      <c r="LCD153" s="1058"/>
      <c r="LCE153" s="1059"/>
      <c r="LCF153" s="1058"/>
      <c r="LCG153" s="1059"/>
      <c r="LCH153" s="1058"/>
      <c r="LCI153" s="1059"/>
      <c r="LCJ153" s="1058"/>
      <c r="LCK153" s="1059"/>
      <c r="LCL153" s="1058"/>
      <c r="LCM153" s="1059"/>
      <c r="LCN153" s="1058"/>
      <c r="LCO153" s="1059"/>
      <c r="LCP153" s="1058"/>
      <c r="LCQ153" s="1059"/>
      <c r="LCR153" s="1058"/>
      <c r="LCS153" s="1059"/>
      <c r="LCT153" s="1058"/>
      <c r="LCU153" s="1059"/>
      <c r="LCV153" s="1058"/>
      <c r="LCW153" s="1059"/>
      <c r="LCX153" s="1058"/>
      <c r="LCY153" s="1059"/>
      <c r="LCZ153" s="1058"/>
      <c r="LDA153" s="1059"/>
      <c r="LDB153" s="1058"/>
      <c r="LDC153" s="1059"/>
      <c r="LDD153" s="1058"/>
      <c r="LDE153" s="1059"/>
      <c r="LDF153" s="1058"/>
      <c r="LDG153" s="1059"/>
      <c r="LDH153" s="1058"/>
      <c r="LDI153" s="1059"/>
      <c r="LDJ153" s="1058"/>
      <c r="LDK153" s="1059"/>
      <c r="LDL153" s="1058"/>
      <c r="LDM153" s="1059"/>
      <c r="LDN153" s="1058"/>
      <c r="LDO153" s="1059"/>
      <c r="LDP153" s="1058"/>
      <c r="LDQ153" s="1059"/>
      <c r="LDR153" s="1058"/>
      <c r="LDS153" s="1059"/>
      <c r="LDT153" s="1058"/>
      <c r="LDU153" s="1059"/>
      <c r="LDV153" s="1058"/>
      <c r="LDW153" s="1059"/>
      <c r="LDX153" s="1058"/>
      <c r="LDY153" s="1059"/>
      <c r="LDZ153" s="1058"/>
      <c r="LEA153" s="1059"/>
      <c r="LEB153" s="1058"/>
      <c r="LEC153" s="1059"/>
      <c r="LED153" s="1058"/>
      <c r="LEE153" s="1059"/>
      <c r="LEF153" s="1058"/>
      <c r="LEG153" s="1059"/>
      <c r="LEH153" s="1058"/>
      <c r="LEI153" s="1059"/>
      <c r="LEJ153" s="1058"/>
      <c r="LEK153" s="1059"/>
      <c r="LEL153" s="1058"/>
      <c r="LEM153" s="1059"/>
      <c r="LEN153" s="1058"/>
      <c r="LEO153" s="1059"/>
      <c r="LEP153" s="1058"/>
      <c r="LEQ153" s="1059"/>
      <c r="LER153" s="1058"/>
      <c r="LES153" s="1059"/>
      <c r="LET153" s="1058"/>
      <c r="LEU153" s="1059"/>
      <c r="LEV153" s="1058"/>
      <c r="LEW153" s="1059"/>
      <c r="LEX153" s="1058"/>
      <c r="LEY153" s="1059"/>
      <c r="LEZ153" s="1058"/>
      <c r="LFA153" s="1059"/>
      <c r="LFB153" s="1058"/>
      <c r="LFC153" s="1059"/>
      <c r="LFD153" s="1058"/>
      <c r="LFE153" s="1059"/>
      <c r="LFF153" s="1058"/>
      <c r="LFG153" s="1059"/>
      <c r="LFH153" s="1058"/>
      <c r="LFI153" s="1059"/>
      <c r="LFJ153" s="1058"/>
      <c r="LFK153" s="1059"/>
      <c r="LFL153" s="1058"/>
      <c r="LFM153" s="1059"/>
      <c r="LFN153" s="1058"/>
      <c r="LFO153" s="1059"/>
      <c r="LFP153" s="1058"/>
      <c r="LFQ153" s="1059"/>
      <c r="LFR153" s="1058"/>
      <c r="LFS153" s="1059"/>
      <c r="LFT153" s="1058"/>
      <c r="LFU153" s="1059"/>
      <c r="LFV153" s="1058"/>
      <c r="LFW153" s="1059"/>
      <c r="LFX153" s="1058"/>
      <c r="LFY153" s="1059"/>
      <c r="LFZ153" s="1058"/>
      <c r="LGA153" s="1059"/>
      <c r="LGB153" s="1058"/>
      <c r="LGC153" s="1059"/>
      <c r="LGD153" s="1058"/>
      <c r="LGE153" s="1059"/>
      <c r="LGF153" s="1058"/>
      <c r="LGG153" s="1059"/>
      <c r="LGH153" s="1058"/>
      <c r="LGI153" s="1059"/>
      <c r="LGJ153" s="1058"/>
      <c r="LGK153" s="1059"/>
      <c r="LGL153" s="1058"/>
      <c r="LGM153" s="1059"/>
      <c r="LGN153" s="1058"/>
      <c r="LGO153" s="1059"/>
      <c r="LGP153" s="1058"/>
      <c r="LGQ153" s="1059"/>
      <c r="LGR153" s="1058"/>
      <c r="LGS153" s="1059"/>
      <c r="LGT153" s="1058"/>
      <c r="LGU153" s="1059"/>
      <c r="LGV153" s="1058"/>
      <c r="LGW153" s="1059"/>
      <c r="LGX153" s="1058"/>
      <c r="LGY153" s="1059"/>
      <c r="LGZ153" s="1058"/>
      <c r="LHA153" s="1059"/>
      <c r="LHB153" s="1058"/>
      <c r="LHC153" s="1059"/>
      <c r="LHD153" s="1058"/>
      <c r="LHE153" s="1059"/>
      <c r="LHF153" s="1058"/>
      <c r="LHG153" s="1059"/>
      <c r="LHH153" s="1058"/>
      <c r="LHI153" s="1059"/>
      <c r="LHJ153" s="1058"/>
      <c r="LHK153" s="1059"/>
      <c r="LHL153" s="1058"/>
      <c r="LHM153" s="1059"/>
      <c r="LHN153" s="1058"/>
      <c r="LHO153" s="1059"/>
      <c r="LHP153" s="1058"/>
      <c r="LHQ153" s="1059"/>
      <c r="LHR153" s="1058"/>
      <c r="LHS153" s="1059"/>
      <c r="LHT153" s="1058"/>
      <c r="LHU153" s="1059"/>
      <c r="LHV153" s="1058"/>
      <c r="LHW153" s="1059"/>
      <c r="LHX153" s="1058"/>
      <c r="LHY153" s="1059"/>
      <c r="LHZ153" s="1058"/>
      <c r="LIA153" s="1059"/>
      <c r="LIB153" s="1058"/>
      <c r="LIC153" s="1059"/>
      <c r="LID153" s="1058"/>
      <c r="LIE153" s="1059"/>
      <c r="LIF153" s="1058"/>
      <c r="LIG153" s="1059"/>
      <c r="LIH153" s="1058"/>
      <c r="LII153" s="1059"/>
      <c r="LIJ153" s="1058"/>
      <c r="LIK153" s="1059"/>
      <c r="LIL153" s="1058"/>
      <c r="LIM153" s="1059"/>
      <c r="LIN153" s="1058"/>
      <c r="LIO153" s="1059"/>
      <c r="LIP153" s="1058"/>
      <c r="LIQ153" s="1059"/>
      <c r="LIR153" s="1058"/>
      <c r="LIS153" s="1059"/>
      <c r="LIT153" s="1058"/>
      <c r="LIU153" s="1059"/>
      <c r="LIV153" s="1058"/>
      <c r="LIW153" s="1059"/>
      <c r="LIX153" s="1058"/>
      <c r="LIY153" s="1059"/>
      <c r="LIZ153" s="1058"/>
      <c r="LJA153" s="1059"/>
      <c r="LJB153" s="1058"/>
      <c r="LJC153" s="1059"/>
      <c r="LJD153" s="1058"/>
      <c r="LJE153" s="1059"/>
      <c r="LJF153" s="1058"/>
      <c r="LJG153" s="1059"/>
      <c r="LJH153" s="1058"/>
      <c r="LJI153" s="1059"/>
      <c r="LJJ153" s="1058"/>
      <c r="LJK153" s="1059"/>
      <c r="LJL153" s="1058"/>
      <c r="LJM153" s="1059"/>
      <c r="LJN153" s="1058"/>
      <c r="LJO153" s="1059"/>
      <c r="LJP153" s="1058"/>
      <c r="LJQ153" s="1059"/>
      <c r="LJR153" s="1058"/>
      <c r="LJS153" s="1059"/>
      <c r="LJT153" s="1058"/>
      <c r="LJU153" s="1059"/>
      <c r="LJV153" s="1058"/>
      <c r="LJW153" s="1059"/>
      <c r="LJX153" s="1058"/>
      <c r="LJY153" s="1059"/>
      <c r="LJZ153" s="1058"/>
      <c r="LKA153" s="1059"/>
      <c r="LKB153" s="1058"/>
      <c r="LKC153" s="1059"/>
      <c r="LKD153" s="1058"/>
      <c r="LKE153" s="1059"/>
      <c r="LKF153" s="1058"/>
      <c r="LKG153" s="1059"/>
      <c r="LKH153" s="1058"/>
      <c r="LKI153" s="1059"/>
      <c r="LKJ153" s="1058"/>
      <c r="LKK153" s="1059"/>
      <c r="LKL153" s="1058"/>
      <c r="LKM153" s="1059"/>
      <c r="LKN153" s="1058"/>
      <c r="LKO153" s="1059"/>
      <c r="LKP153" s="1058"/>
      <c r="LKQ153" s="1059"/>
      <c r="LKR153" s="1058"/>
      <c r="LKS153" s="1059"/>
      <c r="LKT153" s="1058"/>
      <c r="LKU153" s="1059"/>
      <c r="LKV153" s="1058"/>
      <c r="LKW153" s="1059"/>
      <c r="LKX153" s="1058"/>
      <c r="LKY153" s="1059"/>
      <c r="LKZ153" s="1058"/>
      <c r="LLA153" s="1059"/>
      <c r="LLB153" s="1058"/>
      <c r="LLC153" s="1059"/>
      <c r="LLD153" s="1058"/>
      <c r="LLE153" s="1059"/>
      <c r="LLF153" s="1058"/>
      <c r="LLG153" s="1059"/>
      <c r="LLH153" s="1058"/>
      <c r="LLI153" s="1059"/>
      <c r="LLJ153" s="1058"/>
      <c r="LLK153" s="1059"/>
      <c r="LLL153" s="1058"/>
      <c r="LLM153" s="1059"/>
      <c r="LLN153" s="1058"/>
      <c r="LLO153" s="1059"/>
      <c r="LLP153" s="1058"/>
      <c r="LLQ153" s="1059"/>
      <c r="LLR153" s="1058"/>
      <c r="LLS153" s="1059"/>
      <c r="LLT153" s="1058"/>
      <c r="LLU153" s="1059"/>
      <c r="LLV153" s="1058"/>
      <c r="LLW153" s="1059"/>
      <c r="LLX153" s="1058"/>
      <c r="LLY153" s="1059"/>
      <c r="LLZ153" s="1058"/>
      <c r="LMA153" s="1059"/>
      <c r="LMB153" s="1058"/>
      <c r="LMC153" s="1059"/>
      <c r="LMD153" s="1058"/>
      <c r="LME153" s="1059"/>
      <c r="LMF153" s="1058"/>
      <c r="LMG153" s="1059"/>
      <c r="LMH153" s="1058"/>
      <c r="LMI153" s="1059"/>
      <c r="LMJ153" s="1058"/>
      <c r="LMK153" s="1059"/>
      <c r="LML153" s="1058"/>
      <c r="LMM153" s="1059"/>
      <c r="LMN153" s="1058"/>
      <c r="LMO153" s="1059"/>
      <c r="LMP153" s="1058"/>
      <c r="LMQ153" s="1059"/>
      <c r="LMR153" s="1058"/>
      <c r="LMS153" s="1059"/>
      <c r="LMT153" s="1058"/>
      <c r="LMU153" s="1059"/>
      <c r="LMV153" s="1058"/>
      <c r="LMW153" s="1059"/>
      <c r="LMX153" s="1058"/>
      <c r="LMY153" s="1059"/>
      <c r="LMZ153" s="1058"/>
      <c r="LNA153" s="1059"/>
      <c r="LNB153" s="1058"/>
      <c r="LNC153" s="1059"/>
      <c r="LND153" s="1058"/>
      <c r="LNE153" s="1059"/>
      <c r="LNF153" s="1058"/>
      <c r="LNG153" s="1059"/>
      <c r="LNH153" s="1058"/>
      <c r="LNI153" s="1059"/>
      <c r="LNJ153" s="1058"/>
      <c r="LNK153" s="1059"/>
      <c r="LNL153" s="1058"/>
      <c r="LNM153" s="1059"/>
      <c r="LNN153" s="1058"/>
      <c r="LNO153" s="1059"/>
      <c r="LNP153" s="1058"/>
      <c r="LNQ153" s="1059"/>
      <c r="LNR153" s="1058"/>
      <c r="LNS153" s="1059"/>
      <c r="LNT153" s="1058"/>
      <c r="LNU153" s="1059"/>
      <c r="LNV153" s="1058"/>
      <c r="LNW153" s="1059"/>
      <c r="LNX153" s="1058"/>
      <c r="LNY153" s="1059"/>
      <c r="LNZ153" s="1058"/>
      <c r="LOA153" s="1059"/>
      <c r="LOB153" s="1058"/>
      <c r="LOC153" s="1059"/>
      <c r="LOD153" s="1058"/>
      <c r="LOE153" s="1059"/>
      <c r="LOF153" s="1058"/>
      <c r="LOG153" s="1059"/>
      <c r="LOH153" s="1058"/>
      <c r="LOI153" s="1059"/>
      <c r="LOJ153" s="1058"/>
      <c r="LOK153" s="1059"/>
      <c r="LOL153" s="1058"/>
      <c r="LOM153" s="1059"/>
      <c r="LON153" s="1058"/>
      <c r="LOO153" s="1059"/>
      <c r="LOP153" s="1058"/>
      <c r="LOQ153" s="1059"/>
      <c r="LOR153" s="1058"/>
      <c r="LOS153" s="1059"/>
      <c r="LOT153" s="1058"/>
      <c r="LOU153" s="1059"/>
      <c r="LOV153" s="1058"/>
      <c r="LOW153" s="1059"/>
      <c r="LOX153" s="1058"/>
      <c r="LOY153" s="1059"/>
      <c r="LOZ153" s="1058"/>
      <c r="LPA153" s="1059"/>
      <c r="LPB153" s="1058"/>
      <c r="LPC153" s="1059"/>
      <c r="LPD153" s="1058"/>
      <c r="LPE153" s="1059"/>
      <c r="LPF153" s="1058"/>
      <c r="LPG153" s="1059"/>
      <c r="LPH153" s="1058"/>
      <c r="LPI153" s="1059"/>
      <c r="LPJ153" s="1058"/>
      <c r="LPK153" s="1059"/>
      <c r="LPL153" s="1058"/>
      <c r="LPM153" s="1059"/>
      <c r="LPN153" s="1058"/>
      <c r="LPO153" s="1059"/>
      <c r="LPP153" s="1058"/>
      <c r="LPQ153" s="1059"/>
      <c r="LPR153" s="1058"/>
      <c r="LPS153" s="1059"/>
      <c r="LPT153" s="1058"/>
      <c r="LPU153" s="1059"/>
      <c r="LPV153" s="1058"/>
      <c r="LPW153" s="1059"/>
      <c r="LPX153" s="1058"/>
      <c r="LPY153" s="1059"/>
      <c r="LPZ153" s="1058"/>
      <c r="LQA153" s="1059"/>
      <c r="LQB153" s="1058"/>
      <c r="LQC153" s="1059"/>
      <c r="LQD153" s="1058"/>
      <c r="LQE153" s="1059"/>
      <c r="LQF153" s="1058"/>
      <c r="LQG153" s="1059"/>
      <c r="LQH153" s="1058"/>
      <c r="LQI153" s="1059"/>
      <c r="LQJ153" s="1058"/>
      <c r="LQK153" s="1059"/>
      <c r="LQL153" s="1058"/>
      <c r="LQM153" s="1059"/>
      <c r="LQN153" s="1058"/>
      <c r="LQO153" s="1059"/>
      <c r="LQP153" s="1058"/>
      <c r="LQQ153" s="1059"/>
      <c r="LQR153" s="1058"/>
      <c r="LQS153" s="1059"/>
      <c r="LQT153" s="1058"/>
      <c r="LQU153" s="1059"/>
      <c r="LQV153" s="1058"/>
      <c r="LQW153" s="1059"/>
      <c r="LQX153" s="1058"/>
      <c r="LQY153" s="1059"/>
      <c r="LQZ153" s="1058"/>
      <c r="LRA153" s="1059"/>
      <c r="LRB153" s="1058"/>
      <c r="LRC153" s="1059"/>
      <c r="LRD153" s="1058"/>
      <c r="LRE153" s="1059"/>
      <c r="LRF153" s="1058"/>
      <c r="LRG153" s="1059"/>
      <c r="LRH153" s="1058"/>
      <c r="LRI153" s="1059"/>
      <c r="LRJ153" s="1058"/>
      <c r="LRK153" s="1059"/>
      <c r="LRL153" s="1058"/>
      <c r="LRM153" s="1059"/>
      <c r="LRN153" s="1058"/>
      <c r="LRO153" s="1059"/>
      <c r="LRP153" s="1058"/>
      <c r="LRQ153" s="1059"/>
      <c r="LRR153" s="1058"/>
      <c r="LRS153" s="1059"/>
      <c r="LRT153" s="1058"/>
      <c r="LRU153" s="1059"/>
      <c r="LRV153" s="1058"/>
      <c r="LRW153" s="1059"/>
      <c r="LRX153" s="1058"/>
      <c r="LRY153" s="1059"/>
      <c r="LRZ153" s="1058"/>
      <c r="LSA153" s="1059"/>
      <c r="LSB153" s="1058"/>
      <c r="LSC153" s="1059"/>
      <c r="LSD153" s="1058"/>
      <c r="LSE153" s="1059"/>
      <c r="LSF153" s="1058"/>
      <c r="LSG153" s="1059"/>
      <c r="LSH153" s="1058"/>
      <c r="LSI153" s="1059"/>
      <c r="LSJ153" s="1058"/>
      <c r="LSK153" s="1059"/>
      <c r="LSL153" s="1058"/>
      <c r="LSM153" s="1059"/>
      <c r="LSN153" s="1058"/>
      <c r="LSO153" s="1059"/>
      <c r="LSP153" s="1058"/>
      <c r="LSQ153" s="1059"/>
      <c r="LSR153" s="1058"/>
      <c r="LSS153" s="1059"/>
      <c r="LST153" s="1058"/>
      <c r="LSU153" s="1059"/>
      <c r="LSV153" s="1058"/>
      <c r="LSW153" s="1059"/>
      <c r="LSX153" s="1058"/>
      <c r="LSY153" s="1059"/>
      <c r="LSZ153" s="1058"/>
      <c r="LTA153" s="1059"/>
      <c r="LTB153" s="1058"/>
      <c r="LTC153" s="1059"/>
      <c r="LTD153" s="1058"/>
      <c r="LTE153" s="1059"/>
      <c r="LTF153" s="1058"/>
      <c r="LTG153" s="1059"/>
      <c r="LTH153" s="1058"/>
      <c r="LTI153" s="1059"/>
      <c r="LTJ153" s="1058"/>
      <c r="LTK153" s="1059"/>
      <c r="LTL153" s="1058"/>
      <c r="LTM153" s="1059"/>
      <c r="LTN153" s="1058"/>
      <c r="LTO153" s="1059"/>
      <c r="LTP153" s="1058"/>
      <c r="LTQ153" s="1059"/>
      <c r="LTR153" s="1058"/>
      <c r="LTS153" s="1059"/>
      <c r="LTT153" s="1058"/>
      <c r="LTU153" s="1059"/>
      <c r="LTV153" s="1058"/>
      <c r="LTW153" s="1059"/>
      <c r="LTX153" s="1058"/>
      <c r="LTY153" s="1059"/>
      <c r="LTZ153" s="1058"/>
      <c r="LUA153" s="1059"/>
      <c r="LUB153" s="1058"/>
      <c r="LUC153" s="1059"/>
      <c r="LUD153" s="1058"/>
      <c r="LUE153" s="1059"/>
      <c r="LUF153" s="1058"/>
      <c r="LUG153" s="1059"/>
      <c r="LUH153" s="1058"/>
      <c r="LUI153" s="1059"/>
      <c r="LUJ153" s="1058"/>
      <c r="LUK153" s="1059"/>
      <c r="LUL153" s="1058"/>
      <c r="LUM153" s="1059"/>
      <c r="LUN153" s="1058"/>
      <c r="LUO153" s="1059"/>
      <c r="LUP153" s="1058"/>
      <c r="LUQ153" s="1059"/>
      <c r="LUR153" s="1058"/>
      <c r="LUS153" s="1059"/>
      <c r="LUT153" s="1058"/>
      <c r="LUU153" s="1059"/>
      <c r="LUV153" s="1058"/>
      <c r="LUW153" s="1059"/>
      <c r="LUX153" s="1058"/>
      <c r="LUY153" s="1059"/>
      <c r="LUZ153" s="1058"/>
      <c r="LVA153" s="1059"/>
      <c r="LVB153" s="1058"/>
      <c r="LVC153" s="1059"/>
      <c r="LVD153" s="1058"/>
      <c r="LVE153" s="1059"/>
      <c r="LVF153" s="1058"/>
      <c r="LVG153" s="1059"/>
      <c r="LVH153" s="1058"/>
      <c r="LVI153" s="1059"/>
      <c r="LVJ153" s="1058"/>
      <c r="LVK153" s="1059"/>
      <c r="LVL153" s="1058"/>
      <c r="LVM153" s="1059"/>
      <c r="LVN153" s="1058"/>
      <c r="LVO153" s="1059"/>
      <c r="LVP153" s="1058"/>
      <c r="LVQ153" s="1059"/>
      <c r="LVR153" s="1058"/>
      <c r="LVS153" s="1059"/>
      <c r="LVT153" s="1058"/>
      <c r="LVU153" s="1059"/>
      <c r="LVV153" s="1058"/>
      <c r="LVW153" s="1059"/>
      <c r="LVX153" s="1058"/>
      <c r="LVY153" s="1059"/>
      <c r="LVZ153" s="1058"/>
      <c r="LWA153" s="1059"/>
      <c r="LWB153" s="1058"/>
      <c r="LWC153" s="1059"/>
      <c r="LWD153" s="1058"/>
      <c r="LWE153" s="1059"/>
      <c r="LWF153" s="1058"/>
      <c r="LWG153" s="1059"/>
      <c r="LWH153" s="1058"/>
      <c r="LWI153" s="1059"/>
      <c r="LWJ153" s="1058"/>
      <c r="LWK153" s="1059"/>
      <c r="LWL153" s="1058"/>
      <c r="LWM153" s="1059"/>
      <c r="LWN153" s="1058"/>
      <c r="LWO153" s="1059"/>
      <c r="LWP153" s="1058"/>
      <c r="LWQ153" s="1059"/>
      <c r="LWR153" s="1058"/>
      <c r="LWS153" s="1059"/>
      <c r="LWT153" s="1058"/>
      <c r="LWU153" s="1059"/>
      <c r="LWV153" s="1058"/>
      <c r="LWW153" s="1059"/>
      <c r="LWX153" s="1058"/>
      <c r="LWY153" s="1059"/>
      <c r="LWZ153" s="1058"/>
      <c r="LXA153" s="1059"/>
      <c r="LXB153" s="1058"/>
      <c r="LXC153" s="1059"/>
      <c r="LXD153" s="1058"/>
      <c r="LXE153" s="1059"/>
      <c r="LXF153" s="1058"/>
      <c r="LXG153" s="1059"/>
      <c r="LXH153" s="1058"/>
      <c r="LXI153" s="1059"/>
      <c r="LXJ153" s="1058"/>
      <c r="LXK153" s="1059"/>
      <c r="LXL153" s="1058"/>
      <c r="LXM153" s="1059"/>
      <c r="LXN153" s="1058"/>
      <c r="LXO153" s="1059"/>
      <c r="LXP153" s="1058"/>
      <c r="LXQ153" s="1059"/>
      <c r="LXR153" s="1058"/>
      <c r="LXS153" s="1059"/>
      <c r="LXT153" s="1058"/>
      <c r="LXU153" s="1059"/>
      <c r="LXV153" s="1058"/>
      <c r="LXW153" s="1059"/>
      <c r="LXX153" s="1058"/>
      <c r="LXY153" s="1059"/>
      <c r="LXZ153" s="1058"/>
      <c r="LYA153" s="1059"/>
      <c r="LYB153" s="1058"/>
      <c r="LYC153" s="1059"/>
      <c r="LYD153" s="1058"/>
      <c r="LYE153" s="1059"/>
      <c r="LYF153" s="1058"/>
      <c r="LYG153" s="1059"/>
      <c r="LYH153" s="1058"/>
      <c r="LYI153" s="1059"/>
      <c r="LYJ153" s="1058"/>
      <c r="LYK153" s="1059"/>
      <c r="LYL153" s="1058"/>
      <c r="LYM153" s="1059"/>
      <c r="LYN153" s="1058"/>
      <c r="LYO153" s="1059"/>
      <c r="LYP153" s="1058"/>
      <c r="LYQ153" s="1059"/>
      <c r="LYR153" s="1058"/>
      <c r="LYS153" s="1059"/>
      <c r="LYT153" s="1058"/>
      <c r="LYU153" s="1059"/>
      <c r="LYV153" s="1058"/>
      <c r="LYW153" s="1059"/>
      <c r="LYX153" s="1058"/>
      <c r="LYY153" s="1059"/>
      <c r="LYZ153" s="1058"/>
      <c r="LZA153" s="1059"/>
      <c r="LZB153" s="1058"/>
      <c r="LZC153" s="1059"/>
      <c r="LZD153" s="1058"/>
      <c r="LZE153" s="1059"/>
      <c r="LZF153" s="1058"/>
      <c r="LZG153" s="1059"/>
      <c r="LZH153" s="1058"/>
      <c r="LZI153" s="1059"/>
      <c r="LZJ153" s="1058"/>
      <c r="LZK153" s="1059"/>
      <c r="LZL153" s="1058"/>
      <c r="LZM153" s="1059"/>
      <c r="LZN153" s="1058"/>
      <c r="LZO153" s="1059"/>
      <c r="LZP153" s="1058"/>
      <c r="LZQ153" s="1059"/>
      <c r="LZR153" s="1058"/>
      <c r="LZS153" s="1059"/>
      <c r="LZT153" s="1058"/>
      <c r="LZU153" s="1059"/>
      <c r="LZV153" s="1058"/>
      <c r="LZW153" s="1059"/>
      <c r="LZX153" s="1058"/>
      <c r="LZY153" s="1059"/>
      <c r="LZZ153" s="1058"/>
      <c r="MAA153" s="1059"/>
      <c r="MAB153" s="1058"/>
      <c r="MAC153" s="1059"/>
      <c r="MAD153" s="1058"/>
      <c r="MAE153" s="1059"/>
      <c r="MAF153" s="1058"/>
      <c r="MAG153" s="1059"/>
      <c r="MAH153" s="1058"/>
      <c r="MAI153" s="1059"/>
      <c r="MAJ153" s="1058"/>
      <c r="MAK153" s="1059"/>
      <c r="MAL153" s="1058"/>
      <c r="MAM153" s="1059"/>
      <c r="MAN153" s="1058"/>
      <c r="MAO153" s="1059"/>
      <c r="MAP153" s="1058"/>
      <c r="MAQ153" s="1059"/>
      <c r="MAR153" s="1058"/>
      <c r="MAS153" s="1059"/>
      <c r="MAT153" s="1058"/>
      <c r="MAU153" s="1059"/>
      <c r="MAV153" s="1058"/>
      <c r="MAW153" s="1059"/>
      <c r="MAX153" s="1058"/>
      <c r="MAY153" s="1059"/>
      <c r="MAZ153" s="1058"/>
      <c r="MBA153" s="1059"/>
      <c r="MBB153" s="1058"/>
      <c r="MBC153" s="1059"/>
      <c r="MBD153" s="1058"/>
      <c r="MBE153" s="1059"/>
      <c r="MBF153" s="1058"/>
      <c r="MBG153" s="1059"/>
      <c r="MBH153" s="1058"/>
      <c r="MBI153" s="1059"/>
      <c r="MBJ153" s="1058"/>
      <c r="MBK153" s="1059"/>
      <c r="MBL153" s="1058"/>
      <c r="MBM153" s="1059"/>
      <c r="MBN153" s="1058"/>
      <c r="MBO153" s="1059"/>
      <c r="MBP153" s="1058"/>
      <c r="MBQ153" s="1059"/>
      <c r="MBR153" s="1058"/>
      <c r="MBS153" s="1059"/>
      <c r="MBT153" s="1058"/>
      <c r="MBU153" s="1059"/>
      <c r="MBV153" s="1058"/>
      <c r="MBW153" s="1059"/>
      <c r="MBX153" s="1058"/>
      <c r="MBY153" s="1059"/>
      <c r="MBZ153" s="1058"/>
      <c r="MCA153" s="1059"/>
      <c r="MCB153" s="1058"/>
      <c r="MCC153" s="1059"/>
      <c r="MCD153" s="1058"/>
      <c r="MCE153" s="1059"/>
      <c r="MCF153" s="1058"/>
      <c r="MCG153" s="1059"/>
      <c r="MCH153" s="1058"/>
      <c r="MCI153" s="1059"/>
      <c r="MCJ153" s="1058"/>
      <c r="MCK153" s="1059"/>
      <c r="MCL153" s="1058"/>
      <c r="MCM153" s="1059"/>
      <c r="MCN153" s="1058"/>
      <c r="MCO153" s="1059"/>
      <c r="MCP153" s="1058"/>
      <c r="MCQ153" s="1059"/>
      <c r="MCR153" s="1058"/>
      <c r="MCS153" s="1059"/>
      <c r="MCT153" s="1058"/>
      <c r="MCU153" s="1059"/>
      <c r="MCV153" s="1058"/>
      <c r="MCW153" s="1059"/>
      <c r="MCX153" s="1058"/>
      <c r="MCY153" s="1059"/>
      <c r="MCZ153" s="1058"/>
      <c r="MDA153" s="1059"/>
      <c r="MDB153" s="1058"/>
      <c r="MDC153" s="1059"/>
      <c r="MDD153" s="1058"/>
      <c r="MDE153" s="1059"/>
      <c r="MDF153" s="1058"/>
      <c r="MDG153" s="1059"/>
      <c r="MDH153" s="1058"/>
      <c r="MDI153" s="1059"/>
      <c r="MDJ153" s="1058"/>
      <c r="MDK153" s="1059"/>
      <c r="MDL153" s="1058"/>
      <c r="MDM153" s="1059"/>
      <c r="MDN153" s="1058"/>
      <c r="MDO153" s="1059"/>
      <c r="MDP153" s="1058"/>
      <c r="MDQ153" s="1059"/>
      <c r="MDR153" s="1058"/>
      <c r="MDS153" s="1059"/>
      <c r="MDT153" s="1058"/>
      <c r="MDU153" s="1059"/>
      <c r="MDV153" s="1058"/>
      <c r="MDW153" s="1059"/>
      <c r="MDX153" s="1058"/>
      <c r="MDY153" s="1059"/>
      <c r="MDZ153" s="1058"/>
      <c r="MEA153" s="1059"/>
      <c r="MEB153" s="1058"/>
      <c r="MEC153" s="1059"/>
      <c r="MED153" s="1058"/>
      <c r="MEE153" s="1059"/>
      <c r="MEF153" s="1058"/>
      <c r="MEG153" s="1059"/>
      <c r="MEH153" s="1058"/>
      <c r="MEI153" s="1059"/>
      <c r="MEJ153" s="1058"/>
      <c r="MEK153" s="1059"/>
      <c r="MEL153" s="1058"/>
      <c r="MEM153" s="1059"/>
      <c r="MEN153" s="1058"/>
      <c r="MEO153" s="1059"/>
      <c r="MEP153" s="1058"/>
      <c r="MEQ153" s="1059"/>
      <c r="MER153" s="1058"/>
      <c r="MES153" s="1059"/>
      <c r="MET153" s="1058"/>
      <c r="MEU153" s="1059"/>
      <c r="MEV153" s="1058"/>
      <c r="MEW153" s="1059"/>
      <c r="MEX153" s="1058"/>
      <c r="MEY153" s="1059"/>
      <c r="MEZ153" s="1058"/>
      <c r="MFA153" s="1059"/>
      <c r="MFB153" s="1058"/>
      <c r="MFC153" s="1059"/>
      <c r="MFD153" s="1058"/>
      <c r="MFE153" s="1059"/>
      <c r="MFF153" s="1058"/>
      <c r="MFG153" s="1059"/>
      <c r="MFH153" s="1058"/>
      <c r="MFI153" s="1059"/>
      <c r="MFJ153" s="1058"/>
      <c r="MFK153" s="1059"/>
      <c r="MFL153" s="1058"/>
      <c r="MFM153" s="1059"/>
      <c r="MFN153" s="1058"/>
      <c r="MFO153" s="1059"/>
      <c r="MFP153" s="1058"/>
      <c r="MFQ153" s="1059"/>
      <c r="MFR153" s="1058"/>
      <c r="MFS153" s="1059"/>
      <c r="MFT153" s="1058"/>
      <c r="MFU153" s="1059"/>
      <c r="MFV153" s="1058"/>
      <c r="MFW153" s="1059"/>
      <c r="MFX153" s="1058"/>
      <c r="MFY153" s="1059"/>
      <c r="MFZ153" s="1058"/>
      <c r="MGA153" s="1059"/>
      <c r="MGB153" s="1058"/>
      <c r="MGC153" s="1059"/>
      <c r="MGD153" s="1058"/>
      <c r="MGE153" s="1059"/>
      <c r="MGF153" s="1058"/>
      <c r="MGG153" s="1059"/>
      <c r="MGH153" s="1058"/>
      <c r="MGI153" s="1059"/>
      <c r="MGJ153" s="1058"/>
      <c r="MGK153" s="1059"/>
      <c r="MGL153" s="1058"/>
      <c r="MGM153" s="1059"/>
      <c r="MGN153" s="1058"/>
      <c r="MGO153" s="1059"/>
      <c r="MGP153" s="1058"/>
      <c r="MGQ153" s="1059"/>
      <c r="MGR153" s="1058"/>
      <c r="MGS153" s="1059"/>
      <c r="MGT153" s="1058"/>
      <c r="MGU153" s="1059"/>
      <c r="MGV153" s="1058"/>
      <c r="MGW153" s="1059"/>
      <c r="MGX153" s="1058"/>
      <c r="MGY153" s="1059"/>
      <c r="MGZ153" s="1058"/>
      <c r="MHA153" s="1059"/>
      <c r="MHB153" s="1058"/>
      <c r="MHC153" s="1059"/>
      <c r="MHD153" s="1058"/>
      <c r="MHE153" s="1059"/>
      <c r="MHF153" s="1058"/>
      <c r="MHG153" s="1059"/>
      <c r="MHH153" s="1058"/>
      <c r="MHI153" s="1059"/>
      <c r="MHJ153" s="1058"/>
      <c r="MHK153" s="1059"/>
      <c r="MHL153" s="1058"/>
      <c r="MHM153" s="1059"/>
      <c r="MHN153" s="1058"/>
      <c r="MHO153" s="1059"/>
      <c r="MHP153" s="1058"/>
      <c r="MHQ153" s="1059"/>
      <c r="MHR153" s="1058"/>
      <c r="MHS153" s="1059"/>
      <c r="MHT153" s="1058"/>
      <c r="MHU153" s="1059"/>
      <c r="MHV153" s="1058"/>
      <c r="MHW153" s="1059"/>
      <c r="MHX153" s="1058"/>
      <c r="MHY153" s="1059"/>
      <c r="MHZ153" s="1058"/>
      <c r="MIA153" s="1059"/>
      <c r="MIB153" s="1058"/>
      <c r="MIC153" s="1059"/>
      <c r="MID153" s="1058"/>
      <c r="MIE153" s="1059"/>
      <c r="MIF153" s="1058"/>
      <c r="MIG153" s="1059"/>
      <c r="MIH153" s="1058"/>
      <c r="MII153" s="1059"/>
      <c r="MIJ153" s="1058"/>
      <c r="MIK153" s="1059"/>
      <c r="MIL153" s="1058"/>
      <c r="MIM153" s="1059"/>
      <c r="MIN153" s="1058"/>
      <c r="MIO153" s="1059"/>
      <c r="MIP153" s="1058"/>
      <c r="MIQ153" s="1059"/>
      <c r="MIR153" s="1058"/>
      <c r="MIS153" s="1059"/>
      <c r="MIT153" s="1058"/>
      <c r="MIU153" s="1059"/>
      <c r="MIV153" s="1058"/>
      <c r="MIW153" s="1059"/>
      <c r="MIX153" s="1058"/>
      <c r="MIY153" s="1059"/>
      <c r="MIZ153" s="1058"/>
      <c r="MJA153" s="1059"/>
      <c r="MJB153" s="1058"/>
      <c r="MJC153" s="1059"/>
      <c r="MJD153" s="1058"/>
      <c r="MJE153" s="1059"/>
      <c r="MJF153" s="1058"/>
      <c r="MJG153" s="1059"/>
      <c r="MJH153" s="1058"/>
      <c r="MJI153" s="1059"/>
      <c r="MJJ153" s="1058"/>
      <c r="MJK153" s="1059"/>
      <c r="MJL153" s="1058"/>
      <c r="MJM153" s="1059"/>
      <c r="MJN153" s="1058"/>
      <c r="MJO153" s="1059"/>
      <c r="MJP153" s="1058"/>
      <c r="MJQ153" s="1059"/>
      <c r="MJR153" s="1058"/>
      <c r="MJS153" s="1059"/>
      <c r="MJT153" s="1058"/>
      <c r="MJU153" s="1059"/>
      <c r="MJV153" s="1058"/>
      <c r="MJW153" s="1059"/>
      <c r="MJX153" s="1058"/>
      <c r="MJY153" s="1059"/>
      <c r="MJZ153" s="1058"/>
      <c r="MKA153" s="1059"/>
      <c r="MKB153" s="1058"/>
      <c r="MKC153" s="1059"/>
      <c r="MKD153" s="1058"/>
      <c r="MKE153" s="1059"/>
      <c r="MKF153" s="1058"/>
      <c r="MKG153" s="1059"/>
      <c r="MKH153" s="1058"/>
      <c r="MKI153" s="1059"/>
      <c r="MKJ153" s="1058"/>
      <c r="MKK153" s="1059"/>
      <c r="MKL153" s="1058"/>
      <c r="MKM153" s="1059"/>
      <c r="MKN153" s="1058"/>
      <c r="MKO153" s="1059"/>
      <c r="MKP153" s="1058"/>
      <c r="MKQ153" s="1059"/>
      <c r="MKR153" s="1058"/>
      <c r="MKS153" s="1059"/>
      <c r="MKT153" s="1058"/>
      <c r="MKU153" s="1059"/>
      <c r="MKV153" s="1058"/>
      <c r="MKW153" s="1059"/>
      <c r="MKX153" s="1058"/>
      <c r="MKY153" s="1059"/>
      <c r="MKZ153" s="1058"/>
      <c r="MLA153" s="1059"/>
      <c r="MLB153" s="1058"/>
      <c r="MLC153" s="1059"/>
      <c r="MLD153" s="1058"/>
      <c r="MLE153" s="1059"/>
      <c r="MLF153" s="1058"/>
      <c r="MLG153" s="1059"/>
      <c r="MLH153" s="1058"/>
      <c r="MLI153" s="1059"/>
      <c r="MLJ153" s="1058"/>
      <c r="MLK153" s="1059"/>
      <c r="MLL153" s="1058"/>
      <c r="MLM153" s="1059"/>
      <c r="MLN153" s="1058"/>
      <c r="MLO153" s="1059"/>
      <c r="MLP153" s="1058"/>
      <c r="MLQ153" s="1059"/>
      <c r="MLR153" s="1058"/>
      <c r="MLS153" s="1059"/>
      <c r="MLT153" s="1058"/>
      <c r="MLU153" s="1059"/>
      <c r="MLV153" s="1058"/>
      <c r="MLW153" s="1059"/>
      <c r="MLX153" s="1058"/>
      <c r="MLY153" s="1059"/>
      <c r="MLZ153" s="1058"/>
      <c r="MMA153" s="1059"/>
      <c r="MMB153" s="1058"/>
      <c r="MMC153" s="1059"/>
      <c r="MMD153" s="1058"/>
      <c r="MME153" s="1059"/>
      <c r="MMF153" s="1058"/>
      <c r="MMG153" s="1059"/>
      <c r="MMH153" s="1058"/>
      <c r="MMI153" s="1059"/>
      <c r="MMJ153" s="1058"/>
      <c r="MMK153" s="1059"/>
      <c r="MML153" s="1058"/>
      <c r="MMM153" s="1059"/>
      <c r="MMN153" s="1058"/>
      <c r="MMO153" s="1059"/>
      <c r="MMP153" s="1058"/>
      <c r="MMQ153" s="1059"/>
      <c r="MMR153" s="1058"/>
      <c r="MMS153" s="1059"/>
      <c r="MMT153" s="1058"/>
      <c r="MMU153" s="1059"/>
      <c r="MMV153" s="1058"/>
      <c r="MMW153" s="1059"/>
      <c r="MMX153" s="1058"/>
      <c r="MMY153" s="1059"/>
      <c r="MMZ153" s="1058"/>
      <c r="MNA153" s="1059"/>
      <c r="MNB153" s="1058"/>
      <c r="MNC153" s="1059"/>
      <c r="MND153" s="1058"/>
      <c r="MNE153" s="1059"/>
      <c r="MNF153" s="1058"/>
      <c r="MNG153" s="1059"/>
      <c r="MNH153" s="1058"/>
      <c r="MNI153" s="1059"/>
      <c r="MNJ153" s="1058"/>
      <c r="MNK153" s="1059"/>
      <c r="MNL153" s="1058"/>
      <c r="MNM153" s="1059"/>
      <c r="MNN153" s="1058"/>
      <c r="MNO153" s="1059"/>
      <c r="MNP153" s="1058"/>
      <c r="MNQ153" s="1059"/>
      <c r="MNR153" s="1058"/>
      <c r="MNS153" s="1059"/>
      <c r="MNT153" s="1058"/>
      <c r="MNU153" s="1059"/>
      <c r="MNV153" s="1058"/>
      <c r="MNW153" s="1059"/>
      <c r="MNX153" s="1058"/>
      <c r="MNY153" s="1059"/>
      <c r="MNZ153" s="1058"/>
      <c r="MOA153" s="1059"/>
      <c r="MOB153" s="1058"/>
      <c r="MOC153" s="1059"/>
      <c r="MOD153" s="1058"/>
      <c r="MOE153" s="1059"/>
      <c r="MOF153" s="1058"/>
      <c r="MOG153" s="1059"/>
      <c r="MOH153" s="1058"/>
      <c r="MOI153" s="1059"/>
      <c r="MOJ153" s="1058"/>
      <c r="MOK153" s="1059"/>
      <c r="MOL153" s="1058"/>
      <c r="MOM153" s="1059"/>
      <c r="MON153" s="1058"/>
      <c r="MOO153" s="1059"/>
      <c r="MOP153" s="1058"/>
      <c r="MOQ153" s="1059"/>
      <c r="MOR153" s="1058"/>
      <c r="MOS153" s="1059"/>
      <c r="MOT153" s="1058"/>
      <c r="MOU153" s="1059"/>
      <c r="MOV153" s="1058"/>
      <c r="MOW153" s="1059"/>
      <c r="MOX153" s="1058"/>
      <c r="MOY153" s="1059"/>
      <c r="MOZ153" s="1058"/>
      <c r="MPA153" s="1059"/>
      <c r="MPB153" s="1058"/>
      <c r="MPC153" s="1059"/>
      <c r="MPD153" s="1058"/>
      <c r="MPE153" s="1059"/>
      <c r="MPF153" s="1058"/>
      <c r="MPG153" s="1059"/>
      <c r="MPH153" s="1058"/>
      <c r="MPI153" s="1059"/>
      <c r="MPJ153" s="1058"/>
      <c r="MPK153" s="1059"/>
      <c r="MPL153" s="1058"/>
      <c r="MPM153" s="1059"/>
      <c r="MPN153" s="1058"/>
      <c r="MPO153" s="1059"/>
      <c r="MPP153" s="1058"/>
      <c r="MPQ153" s="1059"/>
      <c r="MPR153" s="1058"/>
      <c r="MPS153" s="1059"/>
      <c r="MPT153" s="1058"/>
      <c r="MPU153" s="1059"/>
      <c r="MPV153" s="1058"/>
      <c r="MPW153" s="1059"/>
      <c r="MPX153" s="1058"/>
      <c r="MPY153" s="1059"/>
      <c r="MPZ153" s="1058"/>
      <c r="MQA153" s="1059"/>
      <c r="MQB153" s="1058"/>
      <c r="MQC153" s="1059"/>
      <c r="MQD153" s="1058"/>
      <c r="MQE153" s="1059"/>
      <c r="MQF153" s="1058"/>
      <c r="MQG153" s="1059"/>
      <c r="MQH153" s="1058"/>
      <c r="MQI153" s="1059"/>
      <c r="MQJ153" s="1058"/>
      <c r="MQK153" s="1059"/>
      <c r="MQL153" s="1058"/>
      <c r="MQM153" s="1059"/>
      <c r="MQN153" s="1058"/>
      <c r="MQO153" s="1059"/>
      <c r="MQP153" s="1058"/>
      <c r="MQQ153" s="1059"/>
      <c r="MQR153" s="1058"/>
      <c r="MQS153" s="1059"/>
      <c r="MQT153" s="1058"/>
      <c r="MQU153" s="1059"/>
      <c r="MQV153" s="1058"/>
      <c r="MQW153" s="1059"/>
      <c r="MQX153" s="1058"/>
      <c r="MQY153" s="1059"/>
      <c r="MQZ153" s="1058"/>
      <c r="MRA153" s="1059"/>
      <c r="MRB153" s="1058"/>
      <c r="MRC153" s="1059"/>
      <c r="MRD153" s="1058"/>
      <c r="MRE153" s="1059"/>
      <c r="MRF153" s="1058"/>
      <c r="MRG153" s="1059"/>
      <c r="MRH153" s="1058"/>
      <c r="MRI153" s="1059"/>
      <c r="MRJ153" s="1058"/>
      <c r="MRK153" s="1059"/>
      <c r="MRL153" s="1058"/>
      <c r="MRM153" s="1059"/>
      <c r="MRN153" s="1058"/>
      <c r="MRO153" s="1059"/>
      <c r="MRP153" s="1058"/>
      <c r="MRQ153" s="1059"/>
      <c r="MRR153" s="1058"/>
      <c r="MRS153" s="1059"/>
      <c r="MRT153" s="1058"/>
      <c r="MRU153" s="1059"/>
      <c r="MRV153" s="1058"/>
      <c r="MRW153" s="1059"/>
      <c r="MRX153" s="1058"/>
      <c r="MRY153" s="1059"/>
      <c r="MRZ153" s="1058"/>
      <c r="MSA153" s="1059"/>
      <c r="MSB153" s="1058"/>
      <c r="MSC153" s="1059"/>
      <c r="MSD153" s="1058"/>
      <c r="MSE153" s="1059"/>
      <c r="MSF153" s="1058"/>
      <c r="MSG153" s="1059"/>
      <c r="MSH153" s="1058"/>
      <c r="MSI153" s="1059"/>
      <c r="MSJ153" s="1058"/>
      <c r="MSK153" s="1059"/>
      <c r="MSL153" s="1058"/>
      <c r="MSM153" s="1059"/>
      <c r="MSN153" s="1058"/>
      <c r="MSO153" s="1059"/>
      <c r="MSP153" s="1058"/>
      <c r="MSQ153" s="1059"/>
      <c r="MSR153" s="1058"/>
      <c r="MSS153" s="1059"/>
      <c r="MST153" s="1058"/>
      <c r="MSU153" s="1059"/>
      <c r="MSV153" s="1058"/>
      <c r="MSW153" s="1059"/>
      <c r="MSX153" s="1058"/>
      <c r="MSY153" s="1059"/>
      <c r="MSZ153" s="1058"/>
      <c r="MTA153" s="1059"/>
      <c r="MTB153" s="1058"/>
      <c r="MTC153" s="1059"/>
      <c r="MTD153" s="1058"/>
      <c r="MTE153" s="1059"/>
      <c r="MTF153" s="1058"/>
      <c r="MTG153" s="1059"/>
      <c r="MTH153" s="1058"/>
      <c r="MTI153" s="1059"/>
      <c r="MTJ153" s="1058"/>
      <c r="MTK153" s="1059"/>
      <c r="MTL153" s="1058"/>
      <c r="MTM153" s="1059"/>
      <c r="MTN153" s="1058"/>
      <c r="MTO153" s="1059"/>
      <c r="MTP153" s="1058"/>
      <c r="MTQ153" s="1059"/>
      <c r="MTR153" s="1058"/>
      <c r="MTS153" s="1059"/>
      <c r="MTT153" s="1058"/>
      <c r="MTU153" s="1059"/>
      <c r="MTV153" s="1058"/>
      <c r="MTW153" s="1059"/>
      <c r="MTX153" s="1058"/>
      <c r="MTY153" s="1059"/>
      <c r="MTZ153" s="1058"/>
      <c r="MUA153" s="1059"/>
      <c r="MUB153" s="1058"/>
      <c r="MUC153" s="1059"/>
      <c r="MUD153" s="1058"/>
      <c r="MUE153" s="1059"/>
      <c r="MUF153" s="1058"/>
      <c r="MUG153" s="1059"/>
      <c r="MUH153" s="1058"/>
      <c r="MUI153" s="1059"/>
      <c r="MUJ153" s="1058"/>
      <c r="MUK153" s="1059"/>
      <c r="MUL153" s="1058"/>
      <c r="MUM153" s="1059"/>
      <c r="MUN153" s="1058"/>
      <c r="MUO153" s="1059"/>
      <c r="MUP153" s="1058"/>
      <c r="MUQ153" s="1059"/>
      <c r="MUR153" s="1058"/>
      <c r="MUS153" s="1059"/>
      <c r="MUT153" s="1058"/>
      <c r="MUU153" s="1059"/>
      <c r="MUV153" s="1058"/>
      <c r="MUW153" s="1059"/>
      <c r="MUX153" s="1058"/>
      <c r="MUY153" s="1059"/>
      <c r="MUZ153" s="1058"/>
      <c r="MVA153" s="1059"/>
      <c r="MVB153" s="1058"/>
      <c r="MVC153" s="1059"/>
      <c r="MVD153" s="1058"/>
      <c r="MVE153" s="1059"/>
      <c r="MVF153" s="1058"/>
      <c r="MVG153" s="1059"/>
      <c r="MVH153" s="1058"/>
      <c r="MVI153" s="1059"/>
      <c r="MVJ153" s="1058"/>
      <c r="MVK153" s="1059"/>
      <c r="MVL153" s="1058"/>
      <c r="MVM153" s="1059"/>
      <c r="MVN153" s="1058"/>
      <c r="MVO153" s="1059"/>
      <c r="MVP153" s="1058"/>
      <c r="MVQ153" s="1059"/>
      <c r="MVR153" s="1058"/>
      <c r="MVS153" s="1059"/>
      <c r="MVT153" s="1058"/>
      <c r="MVU153" s="1059"/>
      <c r="MVV153" s="1058"/>
      <c r="MVW153" s="1059"/>
      <c r="MVX153" s="1058"/>
      <c r="MVY153" s="1059"/>
      <c r="MVZ153" s="1058"/>
      <c r="MWA153" s="1059"/>
      <c r="MWB153" s="1058"/>
      <c r="MWC153" s="1059"/>
      <c r="MWD153" s="1058"/>
      <c r="MWE153" s="1059"/>
      <c r="MWF153" s="1058"/>
      <c r="MWG153" s="1059"/>
      <c r="MWH153" s="1058"/>
      <c r="MWI153" s="1059"/>
      <c r="MWJ153" s="1058"/>
      <c r="MWK153" s="1059"/>
      <c r="MWL153" s="1058"/>
      <c r="MWM153" s="1059"/>
      <c r="MWN153" s="1058"/>
      <c r="MWO153" s="1059"/>
      <c r="MWP153" s="1058"/>
      <c r="MWQ153" s="1059"/>
      <c r="MWR153" s="1058"/>
      <c r="MWS153" s="1059"/>
      <c r="MWT153" s="1058"/>
      <c r="MWU153" s="1059"/>
      <c r="MWV153" s="1058"/>
      <c r="MWW153" s="1059"/>
      <c r="MWX153" s="1058"/>
      <c r="MWY153" s="1059"/>
      <c r="MWZ153" s="1058"/>
      <c r="MXA153" s="1059"/>
      <c r="MXB153" s="1058"/>
      <c r="MXC153" s="1059"/>
      <c r="MXD153" s="1058"/>
      <c r="MXE153" s="1059"/>
      <c r="MXF153" s="1058"/>
      <c r="MXG153" s="1059"/>
      <c r="MXH153" s="1058"/>
      <c r="MXI153" s="1059"/>
      <c r="MXJ153" s="1058"/>
      <c r="MXK153" s="1059"/>
      <c r="MXL153" s="1058"/>
      <c r="MXM153" s="1059"/>
      <c r="MXN153" s="1058"/>
      <c r="MXO153" s="1059"/>
      <c r="MXP153" s="1058"/>
      <c r="MXQ153" s="1059"/>
      <c r="MXR153" s="1058"/>
      <c r="MXS153" s="1059"/>
      <c r="MXT153" s="1058"/>
      <c r="MXU153" s="1059"/>
      <c r="MXV153" s="1058"/>
      <c r="MXW153" s="1059"/>
      <c r="MXX153" s="1058"/>
      <c r="MXY153" s="1059"/>
      <c r="MXZ153" s="1058"/>
      <c r="MYA153" s="1059"/>
      <c r="MYB153" s="1058"/>
      <c r="MYC153" s="1059"/>
      <c r="MYD153" s="1058"/>
      <c r="MYE153" s="1059"/>
      <c r="MYF153" s="1058"/>
      <c r="MYG153" s="1059"/>
      <c r="MYH153" s="1058"/>
      <c r="MYI153" s="1059"/>
      <c r="MYJ153" s="1058"/>
      <c r="MYK153" s="1059"/>
      <c r="MYL153" s="1058"/>
      <c r="MYM153" s="1059"/>
      <c r="MYN153" s="1058"/>
      <c r="MYO153" s="1059"/>
      <c r="MYP153" s="1058"/>
      <c r="MYQ153" s="1059"/>
      <c r="MYR153" s="1058"/>
      <c r="MYS153" s="1059"/>
      <c r="MYT153" s="1058"/>
      <c r="MYU153" s="1059"/>
      <c r="MYV153" s="1058"/>
      <c r="MYW153" s="1059"/>
      <c r="MYX153" s="1058"/>
      <c r="MYY153" s="1059"/>
      <c r="MYZ153" s="1058"/>
      <c r="MZA153" s="1059"/>
      <c r="MZB153" s="1058"/>
      <c r="MZC153" s="1059"/>
      <c r="MZD153" s="1058"/>
      <c r="MZE153" s="1059"/>
      <c r="MZF153" s="1058"/>
      <c r="MZG153" s="1059"/>
      <c r="MZH153" s="1058"/>
      <c r="MZI153" s="1059"/>
      <c r="MZJ153" s="1058"/>
      <c r="MZK153" s="1059"/>
      <c r="MZL153" s="1058"/>
      <c r="MZM153" s="1059"/>
      <c r="MZN153" s="1058"/>
      <c r="MZO153" s="1059"/>
      <c r="MZP153" s="1058"/>
      <c r="MZQ153" s="1059"/>
      <c r="MZR153" s="1058"/>
      <c r="MZS153" s="1059"/>
      <c r="MZT153" s="1058"/>
      <c r="MZU153" s="1059"/>
      <c r="MZV153" s="1058"/>
      <c r="MZW153" s="1059"/>
      <c r="MZX153" s="1058"/>
      <c r="MZY153" s="1059"/>
      <c r="MZZ153" s="1058"/>
      <c r="NAA153" s="1059"/>
      <c r="NAB153" s="1058"/>
      <c r="NAC153" s="1059"/>
      <c r="NAD153" s="1058"/>
      <c r="NAE153" s="1059"/>
      <c r="NAF153" s="1058"/>
      <c r="NAG153" s="1059"/>
      <c r="NAH153" s="1058"/>
      <c r="NAI153" s="1059"/>
      <c r="NAJ153" s="1058"/>
      <c r="NAK153" s="1059"/>
      <c r="NAL153" s="1058"/>
      <c r="NAM153" s="1059"/>
      <c r="NAN153" s="1058"/>
      <c r="NAO153" s="1059"/>
      <c r="NAP153" s="1058"/>
      <c r="NAQ153" s="1059"/>
      <c r="NAR153" s="1058"/>
      <c r="NAS153" s="1059"/>
      <c r="NAT153" s="1058"/>
      <c r="NAU153" s="1059"/>
      <c r="NAV153" s="1058"/>
      <c r="NAW153" s="1059"/>
      <c r="NAX153" s="1058"/>
      <c r="NAY153" s="1059"/>
      <c r="NAZ153" s="1058"/>
      <c r="NBA153" s="1059"/>
      <c r="NBB153" s="1058"/>
      <c r="NBC153" s="1059"/>
      <c r="NBD153" s="1058"/>
      <c r="NBE153" s="1059"/>
      <c r="NBF153" s="1058"/>
      <c r="NBG153" s="1059"/>
      <c r="NBH153" s="1058"/>
      <c r="NBI153" s="1059"/>
      <c r="NBJ153" s="1058"/>
      <c r="NBK153" s="1059"/>
      <c r="NBL153" s="1058"/>
      <c r="NBM153" s="1059"/>
      <c r="NBN153" s="1058"/>
      <c r="NBO153" s="1059"/>
      <c r="NBP153" s="1058"/>
      <c r="NBQ153" s="1059"/>
      <c r="NBR153" s="1058"/>
      <c r="NBS153" s="1059"/>
      <c r="NBT153" s="1058"/>
      <c r="NBU153" s="1059"/>
      <c r="NBV153" s="1058"/>
      <c r="NBW153" s="1059"/>
      <c r="NBX153" s="1058"/>
      <c r="NBY153" s="1059"/>
      <c r="NBZ153" s="1058"/>
      <c r="NCA153" s="1059"/>
      <c r="NCB153" s="1058"/>
      <c r="NCC153" s="1059"/>
      <c r="NCD153" s="1058"/>
      <c r="NCE153" s="1059"/>
      <c r="NCF153" s="1058"/>
      <c r="NCG153" s="1059"/>
      <c r="NCH153" s="1058"/>
      <c r="NCI153" s="1059"/>
      <c r="NCJ153" s="1058"/>
      <c r="NCK153" s="1059"/>
      <c r="NCL153" s="1058"/>
      <c r="NCM153" s="1059"/>
      <c r="NCN153" s="1058"/>
      <c r="NCO153" s="1059"/>
      <c r="NCP153" s="1058"/>
      <c r="NCQ153" s="1059"/>
      <c r="NCR153" s="1058"/>
      <c r="NCS153" s="1059"/>
      <c r="NCT153" s="1058"/>
      <c r="NCU153" s="1059"/>
      <c r="NCV153" s="1058"/>
      <c r="NCW153" s="1059"/>
      <c r="NCX153" s="1058"/>
      <c r="NCY153" s="1059"/>
      <c r="NCZ153" s="1058"/>
      <c r="NDA153" s="1059"/>
      <c r="NDB153" s="1058"/>
      <c r="NDC153" s="1059"/>
      <c r="NDD153" s="1058"/>
      <c r="NDE153" s="1059"/>
      <c r="NDF153" s="1058"/>
      <c r="NDG153" s="1059"/>
      <c r="NDH153" s="1058"/>
      <c r="NDI153" s="1059"/>
      <c r="NDJ153" s="1058"/>
      <c r="NDK153" s="1059"/>
      <c r="NDL153" s="1058"/>
      <c r="NDM153" s="1059"/>
      <c r="NDN153" s="1058"/>
      <c r="NDO153" s="1059"/>
      <c r="NDP153" s="1058"/>
      <c r="NDQ153" s="1059"/>
      <c r="NDR153" s="1058"/>
      <c r="NDS153" s="1059"/>
      <c r="NDT153" s="1058"/>
      <c r="NDU153" s="1059"/>
      <c r="NDV153" s="1058"/>
      <c r="NDW153" s="1059"/>
      <c r="NDX153" s="1058"/>
      <c r="NDY153" s="1059"/>
      <c r="NDZ153" s="1058"/>
      <c r="NEA153" s="1059"/>
      <c r="NEB153" s="1058"/>
      <c r="NEC153" s="1059"/>
      <c r="NED153" s="1058"/>
      <c r="NEE153" s="1059"/>
      <c r="NEF153" s="1058"/>
      <c r="NEG153" s="1059"/>
      <c r="NEH153" s="1058"/>
      <c r="NEI153" s="1059"/>
      <c r="NEJ153" s="1058"/>
      <c r="NEK153" s="1059"/>
      <c r="NEL153" s="1058"/>
      <c r="NEM153" s="1059"/>
      <c r="NEN153" s="1058"/>
      <c r="NEO153" s="1059"/>
      <c r="NEP153" s="1058"/>
      <c r="NEQ153" s="1059"/>
      <c r="NER153" s="1058"/>
      <c r="NES153" s="1059"/>
      <c r="NET153" s="1058"/>
      <c r="NEU153" s="1059"/>
      <c r="NEV153" s="1058"/>
      <c r="NEW153" s="1059"/>
      <c r="NEX153" s="1058"/>
      <c r="NEY153" s="1059"/>
      <c r="NEZ153" s="1058"/>
      <c r="NFA153" s="1059"/>
      <c r="NFB153" s="1058"/>
      <c r="NFC153" s="1059"/>
      <c r="NFD153" s="1058"/>
      <c r="NFE153" s="1059"/>
      <c r="NFF153" s="1058"/>
      <c r="NFG153" s="1059"/>
      <c r="NFH153" s="1058"/>
      <c r="NFI153" s="1059"/>
      <c r="NFJ153" s="1058"/>
      <c r="NFK153" s="1059"/>
      <c r="NFL153" s="1058"/>
      <c r="NFM153" s="1059"/>
      <c r="NFN153" s="1058"/>
      <c r="NFO153" s="1059"/>
      <c r="NFP153" s="1058"/>
      <c r="NFQ153" s="1059"/>
      <c r="NFR153" s="1058"/>
      <c r="NFS153" s="1059"/>
      <c r="NFT153" s="1058"/>
      <c r="NFU153" s="1059"/>
      <c r="NFV153" s="1058"/>
      <c r="NFW153" s="1059"/>
      <c r="NFX153" s="1058"/>
      <c r="NFY153" s="1059"/>
      <c r="NFZ153" s="1058"/>
      <c r="NGA153" s="1059"/>
      <c r="NGB153" s="1058"/>
      <c r="NGC153" s="1059"/>
      <c r="NGD153" s="1058"/>
      <c r="NGE153" s="1059"/>
      <c r="NGF153" s="1058"/>
      <c r="NGG153" s="1059"/>
      <c r="NGH153" s="1058"/>
      <c r="NGI153" s="1059"/>
      <c r="NGJ153" s="1058"/>
      <c r="NGK153" s="1059"/>
      <c r="NGL153" s="1058"/>
      <c r="NGM153" s="1059"/>
      <c r="NGN153" s="1058"/>
      <c r="NGO153" s="1059"/>
      <c r="NGP153" s="1058"/>
      <c r="NGQ153" s="1059"/>
      <c r="NGR153" s="1058"/>
      <c r="NGS153" s="1059"/>
      <c r="NGT153" s="1058"/>
      <c r="NGU153" s="1059"/>
      <c r="NGV153" s="1058"/>
      <c r="NGW153" s="1059"/>
      <c r="NGX153" s="1058"/>
      <c r="NGY153" s="1059"/>
      <c r="NGZ153" s="1058"/>
      <c r="NHA153" s="1059"/>
      <c r="NHB153" s="1058"/>
      <c r="NHC153" s="1059"/>
      <c r="NHD153" s="1058"/>
      <c r="NHE153" s="1059"/>
      <c r="NHF153" s="1058"/>
      <c r="NHG153" s="1059"/>
      <c r="NHH153" s="1058"/>
      <c r="NHI153" s="1059"/>
      <c r="NHJ153" s="1058"/>
      <c r="NHK153" s="1059"/>
      <c r="NHL153" s="1058"/>
      <c r="NHM153" s="1059"/>
      <c r="NHN153" s="1058"/>
      <c r="NHO153" s="1059"/>
      <c r="NHP153" s="1058"/>
      <c r="NHQ153" s="1059"/>
      <c r="NHR153" s="1058"/>
      <c r="NHS153" s="1059"/>
      <c r="NHT153" s="1058"/>
      <c r="NHU153" s="1059"/>
      <c r="NHV153" s="1058"/>
      <c r="NHW153" s="1059"/>
      <c r="NHX153" s="1058"/>
      <c r="NHY153" s="1059"/>
      <c r="NHZ153" s="1058"/>
      <c r="NIA153" s="1059"/>
      <c r="NIB153" s="1058"/>
      <c r="NIC153" s="1059"/>
      <c r="NID153" s="1058"/>
      <c r="NIE153" s="1059"/>
      <c r="NIF153" s="1058"/>
      <c r="NIG153" s="1059"/>
      <c r="NIH153" s="1058"/>
      <c r="NII153" s="1059"/>
      <c r="NIJ153" s="1058"/>
      <c r="NIK153" s="1059"/>
      <c r="NIL153" s="1058"/>
      <c r="NIM153" s="1059"/>
      <c r="NIN153" s="1058"/>
      <c r="NIO153" s="1059"/>
      <c r="NIP153" s="1058"/>
      <c r="NIQ153" s="1059"/>
      <c r="NIR153" s="1058"/>
      <c r="NIS153" s="1059"/>
      <c r="NIT153" s="1058"/>
      <c r="NIU153" s="1059"/>
      <c r="NIV153" s="1058"/>
      <c r="NIW153" s="1059"/>
      <c r="NIX153" s="1058"/>
      <c r="NIY153" s="1059"/>
      <c r="NIZ153" s="1058"/>
      <c r="NJA153" s="1059"/>
      <c r="NJB153" s="1058"/>
      <c r="NJC153" s="1059"/>
      <c r="NJD153" s="1058"/>
      <c r="NJE153" s="1059"/>
      <c r="NJF153" s="1058"/>
      <c r="NJG153" s="1059"/>
      <c r="NJH153" s="1058"/>
      <c r="NJI153" s="1059"/>
      <c r="NJJ153" s="1058"/>
      <c r="NJK153" s="1059"/>
      <c r="NJL153" s="1058"/>
      <c r="NJM153" s="1059"/>
      <c r="NJN153" s="1058"/>
      <c r="NJO153" s="1059"/>
      <c r="NJP153" s="1058"/>
      <c r="NJQ153" s="1059"/>
      <c r="NJR153" s="1058"/>
      <c r="NJS153" s="1059"/>
      <c r="NJT153" s="1058"/>
      <c r="NJU153" s="1059"/>
      <c r="NJV153" s="1058"/>
      <c r="NJW153" s="1059"/>
      <c r="NJX153" s="1058"/>
      <c r="NJY153" s="1059"/>
      <c r="NJZ153" s="1058"/>
      <c r="NKA153" s="1059"/>
      <c r="NKB153" s="1058"/>
      <c r="NKC153" s="1059"/>
      <c r="NKD153" s="1058"/>
      <c r="NKE153" s="1059"/>
      <c r="NKF153" s="1058"/>
      <c r="NKG153" s="1059"/>
      <c r="NKH153" s="1058"/>
      <c r="NKI153" s="1059"/>
      <c r="NKJ153" s="1058"/>
      <c r="NKK153" s="1059"/>
      <c r="NKL153" s="1058"/>
      <c r="NKM153" s="1059"/>
      <c r="NKN153" s="1058"/>
      <c r="NKO153" s="1059"/>
      <c r="NKP153" s="1058"/>
      <c r="NKQ153" s="1059"/>
      <c r="NKR153" s="1058"/>
      <c r="NKS153" s="1059"/>
      <c r="NKT153" s="1058"/>
      <c r="NKU153" s="1059"/>
      <c r="NKV153" s="1058"/>
      <c r="NKW153" s="1059"/>
      <c r="NKX153" s="1058"/>
      <c r="NKY153" s="1059"/>
      <c r="NKZ153" s="1058"/>
      <c r="NLA153" s="1059"/>
      <c r="NLB153" s="1058"/>
      <c r="NLC153" s="1059"/>
      <c r="NLD153" s="1058"/>
      <c r="NLE153" s="1059"/>
      <c r="NLF153" s="1058"/>
      <c r="NLG153" s="1059"/>
      <c r="NLH153" s="1058"/>
      <c r="NLI153" s="1059"/>
      <c r="NLJ153" s="1058"/>
      <c r="NLK153" s="1059"/>
      <c r="NLL153" s="1058"/>
      <c r="NLM153" s="1059"/>
      <c r="NLN153" s="1058"/>
      <c r="NLO153" s="1059"/>
      <c r="NLP153" s="1058"/>
      <c r="NLQ153" s="1059"/>
      <c r="NLR153" s="1058"/>
      <c r="NLS153" s="1059"/>
      <c r="NLT153" s="1058"/>
      <c r="NLU153" s="1059"/>
      <c r="NLV153" s="1058"/>
      <c r="NLW153" s="1059"/>
      <c r="NLX153" s="1058"/>
      <c r="NLY153" s="1059"/>
      <c r="NLZ153" s="1058"/>
      <c r="NMA153" s="1059"/>
      <c r="NMB153" s="1058"/>
      <c r="NMC153" s="1059"/>
      <c r="NMD153" s="1058"/>
      <c r="NME153" s="1059"/>
      <c r="NMF153" s="1058"/>
      <c r="NMG153" s="1059"/>
      <c r="NMH153" s="1058"/>
      <c r="NMI153" s="1059"/>
      <c r="NMJ153" s="1058"/>
      <c r="NMK153" s="1059"/>
      <c r="NML153" s="1058"/>
      <c r="NMM153" s="1059"/>
      <c r="NMN153" s="1058"/>
      <c r="NMO153" s="1059"/>
      <c r="NMP153" s="1058"/>
      <c r="NMQ153" s="1059"/>
      <c r="NMR153" s="1058"/>
      <c r="NMS153" s="1059"/>
      <c r="NMT153" s="1058"/>
      <c r="NMU153" s="1059"/>
      <c r="NMV153" s="1058"/>
      <c r="NMW153" s="1059"/>
      <c r="NMX153" s="1058"/>
      <c r="NMY153" s="1059"/>
      <c r="NMZ153" s="1058"/>
      <c r="NNA153" s="1059"/>
      <c r="NNB153" s="1058"/>
      <c r="NNC153" s="1059"/>
      <c r="NND153" s="1058"/>
      <c r="NNE153" s="1059"/>
      <c r="NNF153" s="1058"/>
      <c r="NNG153" s="1059"/>
      <c r="NNH153" s="1058"/>
      <c r="NNI153" s="1059"/>
      <c r="NNJ153" s="1058"/>
      <c r="NNK153" s="1059"/>
      <c r="NNL153" s="1058"/>
      <c r="NNM153" s="1059"/>
      <c r="NNN153" s="1058"/>
      <c r="NNO153" s="1059"/>
      <c r="NNP153" s="1058"/>
      <c r="NNQ153" s="1059"/>
      <c r="NNR153" s="1058"/>
      <c r="NNS153" s="1059"/>
      <c r="NNT153" s="1058"/>
      <c r="NNU153" s="1059"/>
      <c r="NNV153" s="1058"/>
      <c r="NNW153" s="1059"/>
      <c r="NNX153" s="1058"/>
      <c r="NNY153" s="1059"/>
      <c r="NNZ153" s="1058"/>
      <c r="NOA153" s="1059"/>
      <c r="NOB153" s="1058"/>
      <c r="NOC153" s="1059"/>
      <c r="NOD153" s="1058"/>
      <c r="NOE153" s="1059"/>
      <c r="NOF153" s="1058"/>
      <c r="NOG153" s="1059"/>
      <c r="NOH153" s="1058"/>
      <c r="NOI153" s="1059"/>
      <c r="NOJ153" s="1058"/>
      <c r="NOK153" s="1059"/>
      <c r="NOL153" s="1058"/>
      <c r="NOM153" s="1059"/>
      <c r="NON153" s="1058"/>
      <c r="NOO153" s="1059"/>
      <c r="NOP153" s="1058"/>
      <c r="NOQ153" s="1059"/>
      <c r="NOR153" s="1058"/>
      <c r="NOS153" s="1059"/>
      <c r="NOT153" s="1058"/>
      <c r="NOU153" s="1059"/>
      <c r="NOV153" s="1058"/>
      <c r="NOW153" s="1059"/>
      <c r="NOX153" s="1058"/>
      <c r="NOY153" s="1059"/>
      <c r="NOZ153" s="1058"/>
      <c r="NPA153" s="1059"/>
      <c r="NPB153" s="1058"/>
      <c r="NPC153" s="1059"/>
      <c r="NPD153" s="1058"/>
      <c r="NPE153" s="1059"/>
      <c r="NPF153" s="1058"/>
      <c r="NPG153" s="1059"/>
      <c r="NPH153" s="1058"/>
      <c r="NPI153" s="1059"/>
      <c r="NPJ153" s="1058"/>
      <c r="NPK153" s="1059"/>
      <c r="NPL153" s="1058"/>
      <c r="NPM153" s="1059"/>
      <c r="NPN153" s="1058"/>
      <c r="NPO153" s="1059"/>
      <c r="NPP153" s="1058"/>
      <c r="NPQ153" s="1059"/>
      <c r="NPR153" s="1058"/>
      <c r="NPS153" s="1059"/>
      <c r="NPT153" s="1058"/>
      <c r="NPU153" s="1059"/>
      <c r="NPV153" s="1058"/>
      <c r="NPW153" s="1059"/>
      <c r="NPX153" s="1058"/>
      <c r="NPY153" s="1059"/>
      <c r="NPZ153" s="1058"/>
      <c r="NQA153" s="1059"/>
      <c r="NQB153" s="1058"/>
      <c r="NQC153" s="1059"/>
      <c r="NQD153" s="1058"/>
      <c r="NQE153" s="1059"/>
      <c r="NQF153" s="1058"/>
      <c r="NQG153" s="1059"/>
      <c r="NQH153" s="1058"/>
      <c r="NQI153" s="1059"/>
      <c r="NQJ153" s="1058"/>
      <c r="NQK153" s="1059"/>
      <c r="NQL153" s="1058"/>
      <c r="NQM153" s="1059"/>
      <c r="NQN153" s="1058"/>
      <c r="NQO153" s="1059"/>
      <c r="NQP153" s="1058"/>
      <c r="NQQ153" s="1059"/>
      <c r="NQR153" s="1058"/>
      <c r="NQS153" s="1059"/>
      <c r="NQT153" s="1058"/>
      <c r="NQU153" s="1059"/>
      <c r="NQV153" s="1058"/>
      <c r="NQW153" s="1059"/>
      <c r="NQX153" s="1058"/>
      <c r="NQY153" s="1059"/>
      <c r="NQZ153" s="1058"/>
      <c r="NRA153" s="1059"/>
      <c r="NRB153" s="1058"/>
      <c r="NRC153" s="1059"/>
      <c r="NRD153" s="1058"/>
      <c r="NRE153" s="1059"/>
      <c r="NRF153" s="1058"/>
      <c r="NRG153" s="1059"/>
      <c r="NRH153" s="1058"/>
      <c r="NRI153" s="1059"/>
      <c r="NRJ153" s="1058"/>
      <c r="NRK153" s="1059"/>
      <c r="NRL153" s="1058"/>
      <c r="NRM153" s="1059"/>
      <c r="NRN153" s="1058"/>
      <c r="NRO153" s="1059"/>
      <c r="NRP153" s="1058"/>
      <c r="NRQ153" s="1059"/>
      <c r="NRR153" s="1058"/>
      <c r="NRS153" s="1059"/>
      <c r="NRT153" s="1058"/>
      <c r="NRU153" s="1059"/>
      <c r="NRV153" s="1058"/>
      <c r="NRW153" s="1059"/>
      <c r="NRX153" s="1058"/>
      <c r="NRY153" s="1059"/>
      <c r="NRZ153" s="1058"/>
      <c r="NSA153" s="1059"/>
      <c r="NSB153" s="1058"/>
      <c r="NSC153" s="1059"/>
      <c r="NSD153" s="1058"/>
      <c r="NSE153" s="1059"/>
      <c r="NSF153" s="1058"/>
      <c r="NSG153" s="1059"/>
      <c r="NSH153" s="1058"/>
      <c r="NSI153" s="1059"/>
      <c r="NSJ153" s="1058"/>
      <c r="NSK153" s="1059"/>
      <c r="NSL153" s="1058"/>
      <c r="NSM153" s="1059"/>
      <c r="NSN153" s="1058"/>
      <c r="NSO153" s="1059"/>
      <c r="NSP153" s="1058"/>
      <c r="NSQ153" s="1059"/>
      <c r="NSR153" s="1058"/>
      <c r="NSS153" s="1059"/>
      <c r="NST153" s="1058"/>
      <c r="NSU153" s="1059"/>
      <c r="NSV153" s="1058"/>
      <c r="NSW153" s="1059"/>
      <c r="NSX153" s="1058"/>
      <c r="NSY153" s="1059"/>
      <c r="NSZ153" s="1058"/>
      <c r="NTA153" s="1059"/>
      <c r="NTB153" s="1058"/>
      <c r="NTC153" s="1059"/>
      <c r="NTD153" s="1058"/>
      <c r="NTE153" s="1059"/>
      <c r="NTF153" s="1058"/>
      <c r="NTG153" s="1059"/>
      <c r="NTH153" s="1058"/>
      <c r="NTI153" s="1059"/>
      <c r="NTJ153" s="1058"/>
      <c r="NTK153" s="1059"/>
      <c r="NTL153" s="1058"/>
      <c r="NTM153" s="1059"/>
      <c r="NTN153" s="1058"/>
      <c r="NTO153" s="1059"/>
      <c r="NTP153" s="1058"/>
      <c r="NTQ153" s="1059"/>
      <c r="NTR153" s="1058"/>
      <c r="NTS153" s="1059"/>
      <c r="NTT153" s="1058"/>
      <c r="NTU153" s="1059"/>
      <c r="NTV153" s="1058"/>
      <c r="NTW153" s="1059"/>
      <c r="NTX153" s="1058"/>
      <c r="NTY153" s="1059"/>
      <c r="NTZ153" s="1058"/>
      <c r="NUA153" s="1059"/>
      <c r="NUB153" s="1058"/>
      <c r="NUC153" s="1059"/>
      <c r="NUD153" s="1058"/>
      <c r="NUE153" s="1059"/>
      <c r="NUF153" s="1058"/>
      <c r="NUG153" s="1059"/>
      <c r="NUH153" s="1058"/>
      <c r="NUI153" s="1059"/>
      <c r="NUJ153" s="1058"/>
      <c r="NUK153" s="1059"/>
      <c r="NUL153" s="1058"/>
      <c r="NUM153" s="1059"/>
      <c r="NUN153" s="1058"/>
      <c r="NUO153" s="1059"/>
      <c r="NUP153" s="1058"/>
      <c r="NUQ153" s="1059"/>
      <c r="NUR153" s="1058"/>
      <c r="NUS153" s="1059"/>
      <c r="NUT153" s="1058"/>
      <c r="NUU153" s="1059"/>
      <c r="NUV153" s="1058"/>
      <c r="NUW153" s="1059"/>
      <c r="NUX153" s="1058"/>
      <c r="NUY153" s="1059"/>
      <c r="NUZ153" s="1058"/>
      <c r="NVA153" s="1059"/>
      <c r="NVB153" s="1058"/>
      <c r="NVC153" s="1059"/>
      <c r="NVD153" s="1058"/>
      <c r="NVE153" s="1059"/>
      <c r="NVF153" s="1058"/>
      <c r="NVG153" s="1059"/>
      <c r="NVH153" s="1058"/>
      <c r="NVI153" s="1059"/>
      <c r="NVJ153" s="1058"/>
      <c r="NVK153" s="1059"/>
      <c r="NVL153" s="1058"/>
      <c r="NVM153" s="1059"/>
      <c r="NVN153" s="1058"/>
      <c r="NVO153" s="1059"/>
      <c r="NVP153" s="1058"/>
      <c r="NVQ153" s="1059"/>
      <c r="NVR153" s="1058"/>
      <c r="NVS153" s="1059"/>
      <c r="NVT153" s="1058"/>
      <c r="NVU153" s="1059"/>
      <c r="NVV153" s="1058"/>
      <c r="NVW153" s="1059"/>
      <c r="NVX153" s="1058"/>
      <c r="NVY153" s="1059"/>
      <c r="NVZ153" s="1058"/>
      <c r="NWA153" s="1059"/>
      <c r="NWB153" s="1058"/>
      <c r="NWC153" s="1059"/>
      <c r="NWD153" s="1058"/>
      <c r="NWE153" s="1059"/>
      <c r="NWF153" s="1058"/>
      <c r="NWG153" s="1059"/>
      <c r="NWH153" s="1058"/>
      <c r="NWI153" s="1059"/>
      <c r="NWJ153" s="1058"/>
      <c r="NWK153" s="1059"/>
      <c r="NWL153" s="1058"/>
      <c r="NWM153" s="1059"/>
      <c r="NWN153" s="1058"/>
      <c r="NWO153" s="1059"/>
      <c r="NWP153" s="1058"/>
      <c r="NWQ153" s="1059"/>
      <c r="NWR153" s="1058"/>
      <c r="NWS153" s="1059"/>
      <c r="NWT153" s="1058"/>
      <c r="NWU153" s="1059"/>
      <c r="NWV153" s="1058"/>
      <c r="NWW153" s="1059"/>
      <c r="NWX153" s="1058"/>
      <c r="NWY153" s="1059"/>
      <c r="NWZ153" s="1058"/>
      <c r="NXA153" s="1059"/>
      <c r="NXB153" s="1058"/>
      <c r="NXC153" s="1059"/>
      <c r="NXD153" s="1058"/>
      <c r="NXE153" s="1059"/>
      <c r="NXF153" s="1058"/>
      <c r="NXG153" s="1059"/>
      <c r="NXH153" s="1058"/>
      <c r="NXI153" s="1059"/>
      <c r="NXJ153" s="1058"/>
      <c r="NXK153" s="1059"/>
      <c r="NXL153" s="1058"/>
      <c r="NXM153" s="1059"/>
      <c r="NXN153" s="1058"/>
      <c r="NXO153" s="1059"/>
      <c r="NXP153" s="1058"/>
      <c r="NXQ153" s="1059"/>
      <c r="NXR153" s="1058"/>
      <c r="NXS153" s="1059"/>
      <c r="NXT153" s="1058"/>
      <c r="NXU153" s="1059"/>
      <c r="NXV153" s="1058"/>
      <c r="NXW153" s="1059"/>
      <c r="NXX153" s="1058"/>
      <c r="NXY153" s="1059"/>
      <c r="NXZ153" s="1058"/>
      <c r="NYA153" s="1059"/>
      <c r="NYB153" s="1058"/>
      <c r="NYC153" s="1059"/>
      <c r="NYD153" s="1058"/>
      <c r="NYE153" s="1059"/>
      <c r="NYF153" s="1058"/>
      <c r="NYG153" s="1059"/>
      <c r="NYH153" s="1058"/>
      <c r="NYI153" s="1059"/>
      <c r="NYJ153" s="1058"/>
      <c r="NYK153" s="1059"/>
      <c r="NYL153" s="1058"/>
      <c r="NYM153" s="1059"/>
      <c r="NYN153" s="1058"/>
      <c r="NYO153" s="1059"/>
      <c r="NYP153" s="1058"/>
      <c r="NYQ153" s="1059"/>
      <c r="NYR153" s="1058"/>
      <c r="NYS153" s="1059"/>
      <c r="NYT153" s="1058"/>
      <c r="NYU153" s="1059"/>
      <c r="NYV153" s="1058"/>
      <c r="NYW153" s="1059"/>
      <c r="NYX153" s="1058"/>
      <c r="NYY153" s="1059"/>
      <c r="NYZ153" s="1058"/>
      <c r="NZA153" s="1059"/>
      <c r="NZB153" s="1058"/>
      <c r="NZC153" s="1059"/>
      <c r="NZD153" s="1058"/>
      <c r="NZE153" s="1059"/>
      <c r="NZF153" s="1058"/>
      <c r="NZG153" s="1059"/>
      <c r="NZH153" s="1058"/>
      <c r="NZI153" s="1059"/>
      <c r="NZJ153" s="1058"/>
      <c r="NZK153" s="1059"/>
      <c r="NZL153" s="1058"/>
      <c r="NZM153" s="1059"/>
      <c r="NZN153" s="1058"/>
      <c r="NZO153" s="1059"/>
      <c r="NZP153" s="1058"/>
      <c r="NZQ153" s="1059"/>
      <c r="NZR153" s="1058"/>
      <c r="NZS153" s="1059"/>
      <c r="NZT153" s="1058"/>
      <c r="NZU153" s="1059"/>
      <c r="NZV153" s="1058"/>
      <c r="NZW153" s="1059"/>
      <c r="NZX153" s="1058"/>
      <c r="NZY153" s="1059"/>
      <c r="NZZ153" s="1058"/>
      <c r="OAA153" s="1059"/>
      <c r="OAB153" s="1058"/>
      <c r="OAC153" s="1059"/>
      <c r="OAD153" s="1058"/>
      <c r="OAE153" s="1059"/>
      <c r="OAF153" s="1058"/>
      <c r="OAG153" s="1059"/>
      <c r="OAH153" s="1058"/>
      <c r="OAI153" s="1059"/>
      <c r="OAJ153" s="1058"/>
      <c r="OAK153" s="1059"/>
      <c r="OAL153" s="1058"/>
      <c r="OAM153" s="1059"/>
      <c r="OAN153" s="1058"/>
      <c r="OAO153" s="1059"/>
      <c r="OAP153" s="1058"/>
      <c r="OAQ153" s="1059"/>
      <c r="OAR153" s="1058"/>
      <c r="OAS153" s="1059"/>
      <c r="OAT153" s="1058"/>
      <c r="OAU153" s="1059"/>
      <c r="OAV153" s="1058"/>
      <c r="OAW153" s="1059"/>
      <c r="OAX153" s="1058"/>
      <c r="OAY153" s="1059"/>
      <c r="OAZ153" s="1058"/>
      <c r="OBA153" s="1059"/>
      <c r="OBB153" s="1058"/>
      <c r="OBC153" s="1059"/>
      <c r="OBD153" s="1058"/>
      <c r="OBE153" s="1059"/>
      <c r="OBF153" s="1058"/>
      <c r="OBG153" s="1059"/>
      <c r="OBH153" s="1058"/>
      <c r="OBI153" s="1059"/>
      <c r="OBJ153" s="1058"/>
      <c r="OBK153" s="1059"/>
      <c r="OBL153" s="1058"/>
      <c r="OBM153" s="1059"/>
      <c r="OBN153" s="1058"/>
      <c r="OBO153" s="1059"/>
      <c r="OBP153" s="1058"/>
      <c r="OBQ153" s="1059"/>
      <c r="OBR153" s="1058"/>
      <c r="OBS153" s="1059"/>
      <c r="OBT153" s="1058"/>
      <c r="OBU153" s="1059"/>
      <c r="OBV153" s="1058"/>
      <c r="OBW153" s="1059"/>
      <c r="OBX153" s="1058"/>
      <c r="OBY153" s="1059"/>
      <c r="OBZ153" s="1058"/>
      <c r="OCA153" s="1059"/>
      <c r="OCB153" s="1058"/>
      <c r="OCC153" s="1059"/>
      <c r="OCD153" s="1058"/>
      <c r="OCE153" s="1059"/>
      <c r="OCF153" s="1058"/>
      <c r="OCG153" s="1059"/>
      <c r="OCH153" s="1058"/>
      <c r="OCI153" s="1059"/>
      <c r="OCJ153" s="1058"/>
      <c r="OCK153" s="1059"/>
      <c r="OCL153" s="1058"/>
      <c r="OCM153" s="1059"/>
      <c r="OCN153" s="1058"/>
      <c r="OCO153" s="1059"/>
      <c r="OCP153" s="1058"/>
      <c r="OCQ153" s="1059"/>
      <c r="OCR153" s="1058"/>
      <c r="OCS153" s="1059"/>
      <c r="OCT153" s="1058"/>
      <c r="OCU153" s="1059"/>
      <c r="OCV153" s="1058"/>
      <c r="OCW153" s="1059"/>
      <c r="OCX153" s="1058"/>
      <c r="OCY153" s="1059"/>
      <c r="OCZ153" s="1058"/>
      <c r="ODA153" s="1059"/>
      <c r="ODB153" s="1058"/>
      <c r="ODC153" s="1059"/>
      <c r="ODD153" s="1058"/>
      <c r="ODE153" s="1059"/>
      <c r="ODF153" s="1058"/>
      <c r="ODG153" s="1059"/>
      <c r="ODH153" s="1058"/>
      <c r="ODI153" s="1059"/>
      <c r="ODJ153" s="1058"/>
      <c r="ODK153" s="1059"/>
      <c r="ODL153" s="1058"/>
      <c r="ODM153" s="1059"/>
      <c r="ODN153" s="1058"/>
      <c r="ODO153" s="1059"/>
      <c r="ODP153" s="1058"/>
      <c r="ODQ153" s="1059"/>
      <c r="ODR153" s="1058"/>
      <c r="ODS153" s="1059"/>
      <c r="ODT153" s="1058"/>
      <c r="ODU153" s="1059"/>
      <c r="ODV153" s="1058"/>
      <c r="ODW153" s="1059"/>
      <c r="ODX153" s="1058"/>
      <c r="ODY153" s="1059"/>
      <c r="ODZ153" s="1058"/>
      <c r="OEA153" s="1059"/>
      <c r="OEB153" s="1058"/>
      <c r="OEC153" s="1059"/>
      <c r="OED153" s="1058"/>
      <c r="OEE153" s="1059"/>
      <c r="OEF153" s="1058"/>
      <c r="OEG153" s="1059"/>
      <c r="OEH153" s="1058"/>
      <c r="OEI153" s="1059"/>
      <c r="OEJ153" s="1058"/>
      <c r="OEK153" s="1059"/>
      <c r="OEL153" s="1058"/>
      <c r="OEM153" s="1059"/>
      <c r="OEN153" s="1058"/>
      <c r="OEO153" s="1059"/>
      <c r="OEP153" s="1058"/>
      <c r="OEQ153" s="1059"/>
      <c r="OER153" s="1058"/>
      <c r="OES153" s="1059"/>
      <c r="OET153" s="1058"/>
      <c r="OEU153" s="1059"/>
      <c r="OEV153" s="1058"/>
      <c r="OEW153" s="1059"/>
      <c r="OEX153" s="1058"/>
      <c r="OEY153" s="1059"/>
      <c r="OEZ153" s="1058"/>
      <c r="OFA153" s="1059"/>
      <c r="OFB153" s="1058"/>
      <c r="OFC153" s="1059"/>
      <c r="OFD153" s="1058"/>
      <c r="OFE153" s="1059"/>
      <c r="OFF153" s="1058"/>
      <c r="OFG153" s="1059"/>
      <c r="OFH153" s="1058"/>
      <c r="OFI153" s="1059"/>
      <c r="OFJ153" s="1058"/>
      <c r="OFK153" s="1059"/>
      <c r="OFL153" s="1058"/>
      <c r="OFM153" s="1059"/>
      <c r="OFN153" s="1058"/>
      <c r="OFO153" s="1059"/>
      <c r="OFP153" s="1058"/>
      <c r="OFQ153" s="1059"/>
      <c r="OFR153" s="1058"/>
      <c r="OFS153" s="1059"/>
      <c r="OFT153" s="1058"/>
      <c r="OFU153" s="1059"/>
      <c r="OFV153" s="1058"/>
      <c r="OFW153" s="1059"/>
      <c r="OFX153" s="1058"/>
      <c r="OFY153" s="1059"/>
      <c r="OFZ153" s="1058"/>
      <c r="OGA153" s="1059"/>
      <c r="OGB153" s="1058"/>
      <c r="OGC153" s="1059"/>
      <c r="OGD153" s="1058"/>
      <c r="OGE153" s="1059"/>
      <c r="OGF153" s="1058"/>
      <c r="OGG153" s="1059"/>
      <c r="OGH153" s="1058"/>
      <c r="OGI153" s="1059"/>
      <c r="OGJ153" s="1058"/>
      <c r="OGK153" s="1059"/>
      <c r="OGL153" s="1058"/>
      <c r="OGM153" s="1059"/>
      <c r="OGN153" s="1058"/>
      <c r="OGO153" s="1059"/>
      <c r="OGP153" s="1058"/>
      <c r="OGQ153" s="1059"/>
      <c r="OGR153" s="1058"/>
      <c r="OGS153" s="1059"/>
      <c r="OGT153" s="1058"/>
      <c r="OGU153" s="1059"/>
      <c r="OGV153" s="1058"/>
      <c r="OGW153" s="1059"/>
      <c r="OGX153" s="1058"/>
      <c r="OGY153" s="1059"/>
      <c r="OGZ153" s="1058"/>
      <c r="OHA153" s="1059"/>
      <c r="OHB153" s="1058"/>
      <c r="OHC153" s="1059"/>
      <c r="OHD153" s="1058"/>
      <c r="OHE153" s="1059"/>
      <c r="OHF153" s="1058"/>
      <c r="OHG153" s="1059"/>
      <c r="OHH153" s="1058"/>
      <c r="OHI153" s="1059"/>
      <c r="OHJ153" s="1058"/>
      <c r="OHK153" s="1059"/>
      <c r="OHL153" s="1058"/>
      <c r="OHM153" s="1059"/>
      <c r="OHN153" s="1058"/>
      <c r="OHO153" s="1059"/>
      <c r="OHP153" s="1058"/>
      <c r="OHQ153" s="1059"/>
      <c r="OHR153" s="1058"/>
      <c r="OHS153" s="1059"/>
      <c r="OHT153" s="1058"/>
      <c r="OHU153" s="1059"/>
      <c r="OHV153" s="1058"/>
      <c r="OHW153" s="1059"/>
      <c r="OHX153" s="1058"/>
      <c r="OHY153" s="1059"/>
      <c r="OHZ153" s="1058"/>
      <c r="OIA153" s="1059"/>
      <c r="OIB153" s="1058"/>
      <c r="OIC153" s="1059"/>
      <c r="OID153" s="1058"/>
      <c r="OIE153" s="1059"/>
      <c r="OIF153" s="1058"/>
      <c r="OIG153" s="1059"/>
      <c r="OIH153" s="1058"/>
      <c r="OII153" s="1059"/>
      <c r="OIJ153" s="1058"/>
      <c r="OIK153" s="1059"/>
      <c r="OIL153" s="1058"/>
      <c r="OIM153" s="1059"/>
      <c r="OIN153" s="1058"/>
      <c r="OIO153" s="1059"/>
      <c r="OIP153" s="1058"/>
      <c r="OIQ153" s="1059"/>
      <c r="OIR153" s="1058"/>
      <c r="OIS153" s="1059"/>
      <c r="OIT153" s="1058"/>
      <c r="OIU153" s="1059"/>
      <c r="OIV153" s="1058"/>
      <c r="OIW153" s="1059"/>
      <c r="OIX153" s="1058"/>
      <c r="OIY153" s="1059"/>
      <c r="OIZ153" s="1058"/>
      <c r="OJA153" s="1059"/>
      <c r="OJB153" s="1058"/>
      <c r="OJC153" s="1059"/>
      <c r="OJD153" s="1058"/>
      <c r="OJE153" s="1059"/>
      <c r="OJF153" s="1058"/>
      <c r="OJG153" s="1059"/>
      <c r="OJH153" s="1058"/>
      <c r="OJI153" s="1059"/>
      <c r="OJJ153" s="1058"/>
      <c r="OJK153" s="1059"/>
      <c r="OJL153" s="1058"/>
      <c r="OJM153" s="1059"/>
      <c r="OJN153" s="1058"/>
      <c r="OJO153" s="1059"/>
      <c r="OJP153" s="1058"/>
      <c r="OJQ153" s="1059"/>
      <c r="OJR153" s="1058"/>
      <c r="OJS153" s="1059"/>
      <c r="OJT153" s="1058"/>
      <c r="OJU153" s="1059"/>
      <c r="OJV153" s="1058"/>
      <c r="OJW153" s="1059"/>
      <c r="OJX153" s="1058"/>
      <c r="OJY153" s="1059"/>
      <c r="OJZ153" s="1058"/>
      <c r="OKA153" s="1059"/>
      <c r="OKB153" s="1058"/>
      <c r="OKC153" s="1059"/>
      <c r="OKD153" s="1058"/>
      <c r="OKE153" s="1059"/>
      <c r="OKF153" s="1058"/>
      <c r="OKG153" s="1059"/>
      <c r="OKH153" s="1058"/>
      <c r="OKI153" s="1059"/>
      <c r="OKJ153" s="1058"/>
      <c r="OKK153" s="1059"/>
      <c r="OKL153" s="1058"/>
      <c r="OKM153" s="1059"/>
      <c r="OKN153" s="1058"/>
      <c r="OKO153" s="1059"/>
      <c r="OKP153" s="1058"/>
      <c r="OKQ153" s="1059"/>
      <c r="OKR153" s="1058"/>
      <c r="OKS153" s="1059"/>
      <c r="OKT153" s="1058"/>
      <c r="OKU153" s="1059"/>
      <c r="OKV153" s="1058"/>
      <c r="OKW153" s="1059"/>
      <c r="OKX153" s="1058"/>
      <c r="OKY153" s="1059"/>
      <c r="OKZ153" s="1058"/>
      <c r="OLA153" s="1059"/>
      <c r="OLB153" s="1058"/>
      <c r="OLC153" s="1059"/>
      <c r="OLD153" s="1058"/>
      <c r="OLE153" s="1059"/>
      <c r="OLF153" s="1058"/>
      <c r="OLG153" s="1059"/>
      <c r="OLH153" s="1058"/>
      <c r="OLI153" s="1059"/>
      <c r="OLJ153" s="1058"/>
      <c r="OLK153" s="1059"/>
      <c r="OLL153" s="1058"/>
      <c r="OLM153" s="1059"/>
      <c r="OLN153" s="1058"/>
      <c r="OLO153" s="1059"/>
      <c r="OLP153" s="1058"/>
      <c r="OLQ153" s="1059"/>
      <c r="OLR153" s="1058"/>
      <c r="OLS153" s="1059"/>
      <c r="OLT153" s="1058"/>
      <c r="OLU153" s="1059"/>
      <c r="OLV153" s="1058"/>
      <c r="OLW153" s="1059"/>
      <c r="OLX153" s="1058"/>
      <c r="OLY153" s="1059"/>
      <c r="OLZ153" s="1058"/>
      <c r="OMA153" s="1059"/>
      <c r="OMB153" s="1058"/>
      <c r="OMC153" s="1059"/>
      <c r="OMD153" s="1058"/>
      <c r="OME153" s="1059"/>
      <c r="OMF153" s="1058"/>
      <c r="OMG153" s="1059"/>
      <c r="OMH153" s="1058"/>
      <c r="OMI153" s="1059"/>
      <c r="OMJ153" s="1058"/>
      <c r="OMK153" s="1059"/>
      <c r="OML153" s="1058"/>
      <c r="OMM153" s="1059"/>
      <c r="OMN153" s="1058"/>
      <c r="OMO153" s="1059"/>
      <c r="OMP153" s="1058"/>
      <c r="OMQ153" s="1059"/>
      <c r="OMR153" s="1058"/>
      <c r="OMS153" s="1059"/>
      <c r="OMT153" s="1058"/>
      <c r="OMU153" s="1059"/>
      <c r="OMV153" s="1058"/>
      <c r="OMW153" s="1059"/>
      <c r="OMX153" s="1058"/>
      <c r="OMY153" s="1059"/>
      <c r="OMZ153" s="1058"/>
      <c r="ONA153" s="1059"/>
      <c r="ONB153" s="1058"/>
      <c r="ONC153" s="1059"/>
      <c r="OND153" s="1058"/>
      <c r="ONE153" s="1059"/>
      <c r="ONF153" s="1058"/>
      <c r="ONG153" s="1059"/>
      <c r="ONH153" s="1058"/>
      <c r="ONI153" s="1059"/>
      <c r="ONJ153" s="1058"/>
      <c r="ONK153" s="1059"/>
      <c r="ONL153" s="1058"/>
      <c r="ONM153" s="1059"/>
      <c r="ONN153" s="1058"/>
      <c r="ONO153" s="1059"/>
      <c r="ONP153" s="1058"/>
      <c r="ONQ153" s="1059"/>
      <c r="ONR153" s="1058"/>
      <c r="ONS153" s="1059"/>
      <c r="ONT153" s="1058"/>
      <c r="ONU153" s="1059"/>
      <c r="ONV153" s="1058"/>
      <c r="ONW153" s="1059"/>
      <c r="ONX153" s="1058"/>
      <c r="ONY153" s="1059"/>
      <c r="ONZ153" s="1058"/>
      <c r="OOA153" s="1059"/>
      <c r="OOB153" s="1058"/>
      <c r="OOC153" s="1059"/>
      <c r="OOD153" s="1058"/>
      <c r="OOE153" s="1059"/>
      <c r="OOF153" s="1058"/>
      <c r="OOG153" s="1059"/>
      <c r="OOH153" s="1058"/>
      <c r="OOI153" s="1059"/>
      <c r="OOJ153" s="1058"/>
      <c r="OOK153" s="1059"/>
      <c r="OOL153" s="1058"/>
      <c r="OOM153" s="1059"/>
      <c r="OON153" s="1058"/>
      <c r="OOO153" s="1059"/>
      <c r="OOP153" s="1058"/>
      <c r="OOQ153" s="1059"/>
      <c r="OOR153" s="1058"/>
      <c r="OOS153" s="1059"/>
      <c r="OOT153" s="1058"/>
      <c r="OOU153" s="1059"/>
      <c r="OOV153" s="1058"/>
      <c r="OOW153" s="1059"/>
      <c r="OOX153" s="1058"/>
      <c r="OOY153" s="1059"/>
      <c r="OOZ153" s="1058"/>
      <c r="OPA153" s="1059"/>
      <c r="OPB153" s="1058"/>
      <c r="OPC153" s="1059"/>
      <c r="OPD153" s="1058"/>
      <c r="OPE153" s="1059"/>
      <c r="OPF153" s="1058"/>
      <c r="OPG153" s="1059"/>
      <c r="OPH153" s="1058"/>
      <c r="OPI153" s="1059"/>
      <c r="OPJ153" s="1058"/>
      <c r="OPK153" s="1059"/>
      <c r="OPL153" s="1058"/>
      <c r="OPM153" s="1059"/>
      <c r="OPN153" s="1058"/>
      <c r="OPO153" s="1059"/>
      <c r="OPP153" s="1058"/>
      <c r="OPQ153" s="1059"/>
      <c r="OPR153" s="1058"/>
      <c r="OPS153" s="1059"/>
      <c r="OPT153" s="1058"/>
      <c r="OPU153" s="1059"/>
      <c r="OPV153" s="1058"/>
      <c r="OPW153" s="1059"/>
      <c r="OPX153" s="1058"/>
      <c r="OPY153" s="1059"/>
      <c r="OPZ153" s="1058"/>
      <c r="OQA153" s="1059"/>
      <c r="OQB153" s="1058"/>
      <c r="OQC153" s="1059"/>
      <c r="OQD153" s="1058"/>
      <c r="OQE153" s="1059"/>
      <c r="OQF153" s="1058"/>
      <c r="OQG153" s="1059"/>
      <c r="OQH153" s="1058"/>
      <c r="OQI153" s="1059"/>
      <c r="OQJ153" s="1058"/>
      <c r="OQK153" s="1059"/>
      <c r="OQL153" s="1058"/>
      <c r="OQM153" s="1059"/>
      <c r="OQN153" s="1058"/>
      <c r="OQO153" s="1059"/>
      <c r="OQP153" s="1058"/>
      <c r="OQQ153" s="1059"/>
      <c r="OQR153" s="1058"/>
      <c r="OQS153" s="1059"/>
      <c r="OQT153" s="1058"/>
      <c r="OQU153" s="1059"/>
      <c r="OQV153" s="1058"/>
      <c r="OQW153" s="1059"/>
      <c r="OQX153" s="1058"/>
      <c r="OQY153" s="1059"/>
      <c r="OQZ153" s="1058"/>
      <c r="ORA153" s="1059"/>
      <c r="ORB153" s="1058"/>
      <c r="ORC153" s="1059"/>
      <c r="ORD153" s="1058"/>
      <c r="ORE153" s="1059"/>
      <c r="ORF153" s="1058"/>
      <c r="ORG153" s="1059"/>
      <c r="ORH153" s="1058"/>
      <c r="ORI153" s="1059"/>
      <c r="ORJ153" s="1058"/>
      <c r="ORK153" s="1059"/>
      <c r="ORL153" s="1058"/>
      <c r="ORM153" s="1059"/>
      <c r="ORN153" s="1058"/>
      <c r="ORO153" s="1059"/>
      <c r="ORP153" s="1058"/>
      <c r="ORQ153" s="1059"/>
      <c r="ORR153" s="1058"/>
      <c r="ORS153" s="1059"/>
      <c r="ORT153" s="1058"/>
      <c r="ORU153" s="1059"/>
      <c r="ORV153" s="1058"/>
      <c r="ORW153" s="1059"/>
      <c r="ORX153" s="1058"/>
      <c r="ORY153" s="1059"/>
      <c r="ORZ153" s="1058"/>
      <c r="OSA153" s="1059"/>
      <c r="OSB153" s="1058"/>
      <c r="OSC153" s="1059"/>
      <c r="OSD153" s="1058"/>
      <c r="OSE153" s="1059"/>
      <c r="OSF153" s="1058"/>
      <c r="OSG153" s="1059"/>
      <c r="OSH153" s="1058"/>
      <c r="OSI153" s="1059"/>
      <c r="OSJ153" s="1058"/>
      <c r="OSK153" s="1059"/>
      <c r="OSL153" s="1058"/>
      <c r="OSM153" s="1059"/>
      <c r="OSN153" s="1058"/>
      <c r="OSO153" s="1059"/>
      <c r="OSP153" s="1058"/>
      <c r="OSQ153" s="1059"/>
      <c r="OSR153" s="1058"/>
      <c r="OSS153" s="1059"/>
      <c r="OST153" s="1058"/>
      <c r="OSU153" s="1059"/>
      <c r="OSV153" s="1058"/>
      <c r="OSW153" s="1059"/>
      <c r="OSX153" s="1058"/>
      <c r="OSY153" s="1059"/>
      <c r="OSZ153" s="1058"/>
      <c r="OTA153" s="1059"/>
      <c r="OTB153" s="1058"/>
      <c r="OTC153" s="1059"/>
      <c r="OTD153" s="1058"/>
      <c r="OTE153" s="1059"/>
      <c r="OTF153" s="1058"/>
      <c r="OTG153" s="1059"/>
      <c r="OTH153" s="1058"/>
      <c r="OTI153" s="1059"/>
      <c r="OTJ153" s="1058"/>
      <c r="OTK153" s="1059"/>
      <c r="OTL153" s="1058"/>
      <c r="OTM153" s="1059"/>
      <c r="OTN153" s="1058"/>
      <c r="OTO153" s="1059"/>
      <c r="OTP153" s="1058"/>
      <c r="OTQ153" s="1059"/>
      <c r="OTR153" s="1058"/>
      <c r="OTS153" s="1059"/>
      <c r="OTT153" s="1058"/>
      <c r="OTU153" s="1059"/>
      <c r="OTV153" s="1058"/>
      <c r="OTW153" s="1059"/>
      <c r="OTX153" s="1058"/>
      <c r="OTY153" s="1059"/>
      <c r="OTZ153" s="1058"/>
      <c r="OUA153" s="1059"/>
      <c r="OUB153" s="1058"/>
      <c r="OUC153" s="1059"/>
      <c r="OUD153" s="1058"/>
      <c r="OUE153" s="1059"/>
      <c r="OUF153" s="1058"/>
      <c r="OUG153" s="1059"/>
      <c r="OUH153" s="1058"/>
      <c r="OUI153" s="1059"/>
      <c r="OUJ153" s="1058"/>
      <c r="OUK153" s="1059"/>
      <c r="OUL153" s="1058"/>
      <c r="OUM153" s="1059"/>
      <c r="OUN153" s="1058"/>
      <c r="OUO153" s="1059"/>
      <c r="OUP153" s="1058"/>
      <c r="OUQ153" s="1059"/>
      <c r="OUR153" s="1058"/>
      <c r="OUS153" s="1059"/>
      <c r="OUT153" s="1058"/>
      <c r="OUU153" s="1059"/>
      <c r="OUV153" s="1058"/>
      <c r="OUW153" s="1059"/>
      <c r="OUX153" s="1058"/>
      <c r="OUY153" s="1059"/>
      <c r="OUZ153" s="1058"/>
      <c r="OVA153" s="1059"/>
      <c r="OVB153" s="1058"/>
      <c r="OVC153" s="1059"/>
      <c r="OVD153" s="1058"/>
      <c r="OVE153" s="1059"/>
      <c r="OVF153" s="1058"/>
      <c r="OVG153" s="1059"/>
      <c r="OVH153" s="1058"/>
      <c r="OVI153" s="1059"/>
      <c r="OVJ153" s="1058"/>
      <c r="OVK153" s="1059"/>
      <c r="OVL153" s="1058"/>
      <c r="OVM153" s="1059"/>
      <c r="OVN153" s="1058"/>
      <c r="OVO153" s="1059"/>
      <c r="OVP153" s="1058"/>
      <c r="OVQ153" s="1059"/>
      <c r="OVR153" s="1058"/>
      <c r="OVS153" s="1059"/>
      <c r="OVT153" s="1058"/>
      <c r="OVU153" s="1059"/>
      <c r="OVV153" s="1058"/>
      <c r="OVW153" s="1059"/>
      <c r="OVX153" s="1058"/>
      <c r="OVY153" s="1059"/>
      <c r="OVZ153" s="1058"/>
      <c r="OWA153" s="1059"/>
      <c r="OWB153" s="1058"/>
      <c r="OWC153" s="1059"/>
      <c r="OWD153" s="1058"/>
      <c r="OWE153" s="1059"/>
      <c r="OWF153" s="1058"/>
      <c r="OWG153" s="1059"/>
      <c r="OWH153" s="1058"/>
      <c r="OWI153" s="1059"/>
      <c r="OWJ153" s="1058"/>
      <c r="OWK153" s="1059"/>
      <c r="OWL153" s="1058"/>
      <c r="OWM153" s="1059"/>
      <c r="OWN153" s="1058"/>
      <c r="OWO153" s="1059"/>
      <c r="OWP153" s="1058"/>
      <c r="OWQ153" s="1059"/>
      <c r="OWR153" s="1058"/>
      <c r="OWS153" s="1059"/>
      <c r="OWT153" s="1058"/>
      <c r="OWU153" s="1059"/>
      <c r="OWV153" s="1058"/>
      <c r="OWW153" s="1059"/>
      <c r="OWX153" s="1058"/>
      <c r="OWY153" s="1059"/>
      <c r="OWZ153" s="1058"/>
      <c r="OXA153" s="1059"/>
      <c r="OXB153" s="1058"/>
      <c r="OXC153" s="1059"/>
      <c r="OXD153" s="1058"/>
      <c r="OXE153" s="1059"/>
      <c r="OXF153" s="1058"/>
      <c r="OXG153" s="1059"/>
      <c r="OXH153" s="1058"/>
      <c r="OXI153" s="1059"/>
      <c r="OXJ153" s="1058"/>
      <c r="OXK153" s="1059"/>
      <c r="OXL153" s="1058"/>
      <c r="OXM153" s="1059"/>
      <c r="OXN153" s="1058"/>
      <c r="OXO153" s="1059"/>
      <c r="OXP153" s="1058"/>
      <c r="OXQ153" s="1059"/>
      <c r="OXR153" s="1058"/>
      <c r="OXS153" s="1059"/>
      <c r="OXT153" s="1058"/>
      <c r="OXU153" s="1059"/>
      <c r="OXV153" s="1058"/>
      <c r="OXW153" s="1059"/>
      <c r="OXX153" s="1058"/>
      <c r="OXY153" s="1059"/>
      <c r="OXZ153" s="1058"/>
      <c r="OYA153" s="1059"/>
      <c r="OYB153" s="1058"/>
      <c r="OYC153" s="1059"/>
      <c r="OYD153" s="1058"/>
      <c r="OYE153" s="1059"/>
      <c r="OYF153" s="1058"/>
      <c r="OYG153" s="1059"/>
      <c r="OYH153" s="1058"/>
      <c r="OYI153" s="1059"/>
      <c r="OYJ153" s="1058"/>
      <c r="OYK153" s="1059"/>
      <c r="OYL153" s="1058"/>
      <c r="OYM153" s="1059"/>
      <c r="OYN153" s="1058"/>
      <c r="OYO153" s="1059"/>
      <c r="OYP153" s="1058"/>
      <c r="OYQ153" s="1059"/>
      <c r="OYR153" s="1058"/>
      <c r="OYS153" s="1059"/>
      <c r="OYT153" s="1058"/>
      <c r="OYU153" s="1059"/>
      <c r="OYV153" s="1058"/>
      <c r="OYW153" s="1059"/>
      <c r="OYX153" s="1058"/>
      <c r="OYY153" s="1059"/>
      <c r="OYZ153" s="1058"/>
      <c r="OZA153" s="1059"/>
      <c r="OZB153" s="1058"/>
      <c r="OZC153" s="1059"/>
      <c r="OZD153" s="1058"/>
      <c r="OZE153" s="1059"/>
      <c r="OZF153" s="1058"/>
      <c r="OZG153" s="1059"/>
      <c r="OZH153" s="1058"/>
      <c r="OZI153" s="1059"/>
      <c r="OZJ153" s="1058"/>
      <c r="OZK153" s="1059"/>
      <c r="OZL153" s="1058"/>
      <c r="OZM153" s="1059"/>
      <c r="OZN153" s="1058"/>
      <c r="OZO153" s="1059"/>
      <c r="OZP153" s="1058"/>
      <c r="OZQ153" s="1059"/>
      <c r="OZR153" s="1058"/>
      <c r="OZS153" s="1059"/>
      <c r="OZT153" s="1058"/>
      <c r="OZU153" s="1059"/>
      <c r="OZV153" s="1058"/>
      <c r="OZW153" s="1059"/>
      <c r="OZX153" s="1058"/>
      <c r="OZY153" s="1059"/>
      <c r="OZZ153" s="1058"/>
      <c r="PAA153" s="1059"/>
      <c r="PAB153" s="1058"/>
      <c r="PAC153" s="1059"/>
      <c r="PAD153" s="1058"/>
      <c r="PAE153" s="1059"/>
      <c r="PAF153" s="1058"/>
      <c r="PAG153" s="1059"/>
      <c r="PAH153" s="1058"/>
      <c r="PAI153" s="1059"/>
      <c r="PAJ153" s="1058"/>
      <c r="PAK153" s="1059"/>
      <c r="PAL153" s="1058"/>
      <c r="PAM153" s="1059"/>
      <c r="PAN153" s="1058"/>
      <c r="PAO153" s="1059"/>
      <c r="PAP153" s="1058"/>
      <c r="PAQ153" s="1059"/>
      <c r="PAR153" s="1058"/>
      <c r="PAS153" s="1059"/>
      <c r="PAT153" s="1058"/>
      <c r="PAU153" s="1059"/>
      <c r="PAV153" s="1058"/>
      <c r="PAW153" s="1059"/>
      <c r="PAX153" s="1058"/>
      <c r="PAY153" s="1059"/>
      <c r="PAZ153" s="1058"/>
      <c r="PBA153" s="1059"/>
      <c r="PBB153" s="1058"/>
      <c r="PBC153" s="1059"/>
      <c r="PBD153" s="1058"/>
      <c r="PBE153" s="1059"/>
      <c r="PBF153" s="1058"/>
      <c r="PBG153" s="1059"/>
      <c r="PBH153" s="1058"/>
      <c r="PBI153" s="1059"/>
      <c r="PBJ153" s="1058"/>
      <c r="PBK153" s="1059"/>
      <c r="PBL153" s="1058"/>
      <c r="PBM153" s="1059"/>
      <c r="PBN153" s="1058"/>
      <c r="PBO153" s="1059"/>
      <c r="PBP153" s="1058"/>
      <c r="PBQ153" s="1059"/>
      <c r="PBR153" s="1058"/>
      <c r="PBS153" s="1059"/>
      <c r="PBT153" s="1058"/>
      <c r="PBU153" s="1059"/>
      <c r="PBV153" s="1058"/>
      <c r="PBW153" s="1059"/>
      <c r="PBX153" s="1058"/>
      <c r="PBY153" s="1059"/>
      <c r="PBZ153" s="1058"/>
      <c r="PCA153" s="1059"/>
      <c r="PCB153" s="1058"/>
      <c r="PCC153" s="1059"/>
      <c r="PCD153" s="1058"/>
      <c r="PCE153" s="1059"/>
      <c r="PCF153" s="1058"/>
      <c r="PCG153" s="1059"/>
      <c r="PCH153" s="1058"/>
      <c r="PCI153" s="1059"/>
      <c r="PCJ153" s="1058"/>
      <c r="PCK153" s="1059"/>
      <c r="PCL153" s="1058"/>
      <c r="PCM153" s="1059"/>
      <c r="PCN153" s="1058"/>
      <c r="PCO153" s="1059"/>
      <c r="PCP153" s="1058"/>
      <c r="PCQ153" s="1059"/>
      <c r="PCR153" s="1058"/>
      <c r="PCS153" s="1059"/>
      <c r="PCT153" s="1058"/>
      <c r="PCU153" s="1059"/>
      <c r="PCV153" s="1058"/>
      <c r="PCW153" s="1059"/>
      <c r="PCX153" s="1058"/>
      <c r="PCY153" s="1059"/>
      <c r="PCZ153" s="1058"/>
      <c r="PDA153" s="1059"/>
      <c r="PDB153" s="1058"/>
      <c r="PDC153" s="1059"/>
      <c r="PDD153" s="1058"/>
      <c r="PDE153" s="1059"/>
      <c r="PDF153" s="1058"/>
      <c r="PDG153" s="1059"/>
      <c r="PDH153" s="1058"/>
      <c r="PDI153" s="1059"/>
      <c r="PDJ153" s="1058"/>
      <c r="PDK153" s="1059"/>
      <c r="PDL153" s="1058"/>
      <c r="PDM153" s="1059"/>
      <c r="PDN153" s="1058"/>
      <c r="PDO153" s="1059"/>
      <c r="PDP153" s="1058"/>
      <c r="PDQ153" s="1059"/>
      <c r="PDR153" s="1058"/>
      <c r="PDS153" s="1059"/>
      <c r="PDT153" s="1058"/>
      <c r="PDU153" s="1059"/>
      <c r="PDV153" s="1058"/>
      <c r="PDW153" s="1059"/>
      <c r="PDX153" s="1058"/>
      <c r="PDY153" s="1059"/>
      <c r="PDZ153" s="1058"/>
      <c r="PEA153" s="1059"/>
      <c r="PEB153" s="1058"/>
      <c r="PEC153" s="1059"/>
      <c r="PED153" s="1058"/>
      <c r="PEE153" s="1059"/>
      <c r="PEF153" s="1058"/>
      <c r="PEG153" s="1059"/>
      <c r="PEH153" s="1058"/>
      <c r="PEI153" s="1059"/>
      <c r="PEJ153" s="1058"/>
      <c r="PEK153" s="1059"/>
      <c r="PEL153" s="1058"/>
      <c r="PEM153" s="1059"/>
      <c r="PEN153" s="1058"/>
      <c r="PEO153" s="1059"/>
      <c r="PEP153" s="1058"/>
      <c r="PEQ153" s="1059"/>
      <c r="PER153" s="1058"/>
      <c r="PES153" s="1059"/>
      <c r="PET153" s="1058"/>
      <c r="PEU153" s="1059"/>
      <c r="PEV153" s="1058"/>
      <c r="PEW153" s="1059"/>
      <c r="PEX153" s="1058"/>
      <c r="PEY153" s="1059"/>
      <c r="PEZ153" s="1058"/>
      <c r="PFA153" s="1059"/>
      <c r="PFB153" s="1058"/>
      <c r="PFC153" s="1059"/>
      <c r="PFD153" s="1058"/>
      <c r="PFE153" s="1059"/>
      <c r="PFF153" s="1058"/>
      <c r="PFG153" s="1059"/>
      <c r="PFH153" s="1058"/>
      <c r="PFI153" s="1059"/>
      <c r="PFJ153" s="1058"/>
      <c r="PFK153" s="1059"/>
      <c r="PFL153" s="1058"/>
      <c r="PFM153" s="1059"/>
      <c r="PFN153" s="1058"/>
      <c r="PFO153" s="1059"/>
      <c r="PFP153" s="1058"/>
      <c r="PFQ153" s="1059"/>
      <c r="PFR153" s="1058"/>
      <c r="PFS153" s="1059"/>
      <c r="PFT153" s="1058"/>
      <c r="PFU153" s="1059"/>
      <c r="PFV153" s="1058"/>
      <c r="PFW153" s="1059"/>
      <c r="PFX153" s="1058"/>
      <c r="PFY153" s="1059"/>
      <c r="PFZ153" s="1058"/>
      <c r="PGA153" s="1059"/>
      <c r="PGB153" s="1058"/>
      <c r="PGC153" s="1059"/>
      <c r="PGD153" s="1058"/>
      <c r="PGE153" s="1059"/>
      <c r="PGF153" s="1058"/>
      <c r="PGG153" s="1059"/>
      <c r="PGH153" s="1058"/>
      <c r="PGI153" s="1059"/>
      <c r="PGJ153" s="1058"/>
      <c r="PGK153" s="1059"/>
      <c r="PGL153" s="1058"/>
      <c r="PGM153" s="1059"/>
      <c r="PGN153" s="1058"/>
      <c r="PGO153" s="1059"/>
      <c r="PGP153" s="1058"/>
      <c r="PGQ153" s="1059"/>
      <c r="PGR153" s="1058"/>
      <c r="PGS153" s="1059"/>
      <c r="PGT153" s="1058"/>
      <c r="PGU153" s="1059"/>
      <c r="PGV153" s="1058"/>
      <c r="PGW153" s="1059"/>
      <c r="PGX153" s="1058"/>
      <c r="PGY153" s="1059"/>
      <c r="PGZ153" s="1058"/>
      <c r="PHA153" s="1059"/>
      <c r="PHB153" s="1058"/>
      <c r="PHC153" s="1059"/>
      <c r="PHD153" s="1058"/>
      <c r="PHE153" s="1059"/>
      <c r="PHF153" s="1058"/>
      <c r="PHG153" s="1059"/>
      <c r="PHH153" s="1058"/>
      <c r="PHI153" s="1059"/>
      <c r="PHJ153" s="1058"/>
      <c r="PHK153" s="1059"/>
      <c r="PHL153" s="1058"/>
      <c r="PHM153" s="1059"/>
      <c r="PHN153" s="1058"/>
      <c r="PHO153" s="1059"/>
      <c r="PHP153" s="1058"/>
      <c r="PHQ153" s="1059"/>
      <c r="PHR153" s="1058"/>
      <c r="PHS153" s="1059"/>
      <c r="PHT153" s="1058"/>
      <c r="PHU153" s="1059"/>
      <c r="PHV153" s="1058"/>
      <c r="PHW153" s="1059"/>
      <c r="PHX153" s="1058"/>
      <c r="PHY153" s="1059"/>
      <c r="PHZ153" s="1058"/>
      <c r="PIA153" s="1059"/>
      <c r="PIB153" s="1058"/>
      <c r="PIC153" s="1059"/>
      <c r="PID153" s="1058"/>
      <c r="PIE153" s="1059"/>
      <c r="PIF153" s="1058"/>
      <c r="PIG153" s="1059"/>
      <c r="PIH153" s="1058"/>
      <c r="PII153" s="1059"/>
      <c r="PIJ153" s="1058"/>
      <c r="PIK153" s="1059"/>
      <c r="PIL153" s="1058"/>
      <c r="PIM153" s="1059"/>
      <c r="PIN153" s="1058"/>
      <c r="PIO153" s="1059"/>
      <c r="PIP153" s="1058"/>
      <c r="PIQ153" s="1059"/>
      <c r="PIR153" s="1058"/>
      <c r="PIS153" s="1059"/>
      <c r="PIT153" s="1058"/>
      <c r="PIU153" s="1059"/>
      <c r="PIV153" s="1058"/>
      <c r="PIW153" s="1059"/>
      <c r="PIX153" s="1058"/>
      <c r="PIY153" s="1059"/>
      <c r="PIZ153" s="1058"/>
      <c r="PJA153" s="1059"/>
      <c r="PJB153" s="1058"/>
      <c r="PJC153" s="1059"/>
      <c r="PJD153" s="1058"/>
      <c r="PJE153" s="1059"/>
      <c r="PJF153" s="1058"/>
      <c r="PJG153" s="1059"/>
      <c r="PJH153" s="1058"/>
      <c r="PJI153" s="1059"/>
      <c r="PJJ153" s="1058"/>
      <c r="PJK153" s="1059"/>
      <c r="PJL153" s="1058"/>
      <c r="PJM153" s="1059"/>
      <c r="PJN153" s="1058"/>
      <c r="PJO153" s="1059"/>
      <c r="PJP153" s="1058"/>
      <c r="PJQ153" s="1059"/>
      <c r="PJR153" s="1058"/>
      <c r="PJS153" s="1059"/>
      <c r="PJT153" s="1058"/>
      <c r="PJU153" s="1059"/>
      <c r="PJV153" s="1058"/>
      <c r="PJW153" s="1059"/>
      <c r="PJX153" s="1058"/>
      <c r="PJY153" s="1059"/>
      <c r="PJZ153" s="1058"/>
      <c r="PKA153" s="1059"/>
      <c r="PKB153" s="1058"/>
      <c r="PKC153" s="1059"/>
      <c r="PKD153" s="1058"/>
      <c r="PKE153" s="1059"/>
      <c r="PKF153" s="1058"/>
      <c r="PKG153" s="1059"/>
      <c r="PKH153" s="1058"/>
      <c r="PKI153" s="1059"/>
      <c r="PKJ153" s="1058"/>
      <c r="PKK153" s="1059"/>
      <c r="PKL153" s="1058"/>
      <c r="PKM153" s="1059"/>
      <c r="PKN153" s="1058"/>
      <c r="PKO153" s="1059"/>
      <c r="PKP153" s="1058"/>
      <c r="PKQ153" s="1059"/>
      <c r="PKR153" s="1058"/>
      <c r="PKS153" s="1059"/>
      <c r="PKT153" s="1058"/>
      <c r="PKU153" s="1059"/>
      <c r="PKV153" s="1058"/>
      <c r="PKW153" s="1059"/>
      <c r="PKX153" s="1058"/>
      <c r="PKY153" s="1059"/>
      <c r="PKZ153" s="1058"/>
      <c r="PLA153" s="1059"/>
      <c r="PLB153" s="1058"/>
      <c r="PLC153" s="1059"/>
      <c r="PLD153" s="1058"/>
      <c r="PLE153" s="1059"/>
      <c r="PLF153" s="1058"/>
      <c r="PLG153" s="1059"/>
      <c r="PLH153" s="1058"/>
      <c r="PLI153" s="1059"/>
      <c r="PLJ153" s="1058"/>
      <c r="PLK153" s="1059"/>
      <c r="PLL153" s="1058"/>
      <c r="PLM153" s="1059"/>
      <c r="PLN153" s="1058"/>
      <c r="PLO153" s="1059"/>
      <c r="PLP153" s="1058"/>
      <c r="PLQ153" s="1059"/>
      <c r="PLR153" s="1058"/>
      <c r="PLS153" s="1059"/>
      <c r="PLT153" s="1058"/>
      <c r="PLU153" s="1059"/>
      <c r="PLV153" s="1058"/>
      <c r="PLW153" s="1059"/>
      <c r="PLX153" s="1058"/>
      <c r="PLY153" s="1059"/>
      <c r="PLZ153" s="1058"/>
      <c r="PMA153" s="1059"/>
      <c r="PMB153" s="1058"/>
      <c r="PMC153" s="1059"/>
      <c r="PMD153" s="1058"/>
      <c r="PME153" s="1059"/>
      <c r="PMF153" s="1058"/>
      <c r="PMG153" s="1059"/>
      <c r="PMH153" s="1058"/>
      <c r="PMI153" s="1059"/>
      <c r="PMJ153" s="1058"/>
      <c r="PMK153" s="1059"/>
      <c r="PML153" s="1058"/>
      <c r="PMM153" s="1059"/>
      <c r="PMN153" s="1058"/>
      <c r="PMO153" s="1059"/>
      <c r="PMP153" s="1058"/>
      <c r="PMQ153" s="1059"/>
      <c r="PMR153" s="1058"/>
      <c r="PMS153" s="1059"/>
      <c r="PMT153" s="1058"/>
      <c r="PMU153" s="1059"/>
      <c r="PMV153" s="1058"/>
      <c r="PMW153" s="1059"/>
      <c r="PMX153" s="1058"/>
      <c r="PMY153" s="1059"/>
      <c r="PMZ153" s="1058"/>
      <c r="PNA153" s="1059"/>
      <c r="PNB153" s="1058"/>
      <c r="PNC153" s="1059"/>
      <c r="PND153" s="1058"/>
      <c r="PNE153" s="1059"/>
      <c r="PNF153" s="1058"/>
      <c r="PNG153" s="1059"/>
      <c r="PNH153" s="1058"/>
      <c r="PNI153" s="1059"/>
      <c r="PNJ153" s="1058"/>
      <c r="PNK153" s="1059"/>
      <c r="PNL153" s="1058"/>
      <c r="PNM153" s="1059"/>
      <c r="PNN153" s="1058"/>
      <c r="PNO153" s="1059"/>
      <c r="PNP153" s="1058"/>
      <c r="PNQ153" s="1059"/>
      <c r="PNR153" s="1058"/>
      <c r="PNS153" s="1059"/>
      <c r="PNT153" s="1058"/>
      <c r="PNU153" s="1059"/>
      <c r="PNV153" s="1058"/>
      <c r="PNW153" s="1059"/>
      <c r="PNX153" s="1058"/>
      <c r="PNY153" s="1059"/>
      <c r="PNZ153" s="1058"/>
      <c r="POA153" s="1059"/>
      <c r="POB153" s="1058"/>
      <c r="POC153" s="1059"/>
      <c r="POD153" s="1058"/>
      <c r="POE153" s="1059"/>
      <c r="POF153" s="1058"/>
      <c r="POG153" s="1059"/>
      <c r="POH153" s="1058"/>
      <c r="POI153" s="1059"/>
      <c r="POJ153" s="1058"/>
      <c r="POK153" s="1059"/>
      <c r="POL153" s="1058"/>
      <c r="POM153" s="1059"/>
      <c r="PON153" s="1058"/>
      <c r="POO153" s="1059"/>
      <c r="POP153" s="1058"/>
      <c r="POQ153" s="1059"/>
      <c r="POR153" s="1058"/>
      <c r="POS153" s="1059"/>
      <c r="POT153" s="1058"/>
      <c r="POU153" s="1059"/>
      <c r="POV153" s="1058"/>
      <c r="POW153" s="1059"/>
      <c r="POX153" s="1058"/>
      <c r="POY153" s="1059"/>
      <c r="POZ153" s="1058"/>
      <c r="PPA153" s="1059"/>
      <c r="PPB153" s="1058"/>
      <c r="PPC153" s="1059"/>
      <c r="PPD153" s="1058"/>
      <c r="PPE153" s="1059"/>
      <c r="PPF153" s="1058"/>
      <c r="PPG153" s="1059"/>
      <c r="PPH153" s="1058"/>
      <c r="PPI153" s="1059"/>
      <c r="PPJ153" s="1058"/>
      <c r="PPK153" s="1059"/>
      <c r="PPL153" s="1058"/>
      <c r="PPM153" s="1059"/>
      <c r="PPN153" s="1058"/>
      <c r="PPO153" s="1059"/>
      <c r="PPP153" s="1058"/>
      <c r="PPQ153" s="1059"/>
      <c r="PPR153" s="1058"/>
      <c r="PPS153" s="1059"/>
      <c r="PPT153" s="1058"/>
      <c r="PPU153" s="1059"/>
      <c r="PPV153" s="1058"/>
      <c r="PPW153" s="1059"/>
      <c r="PPX153" s="1058"/>
      <c r="PPY153" s="1059"/>
      <c r="PPZ153" s="1058"/>
      <c r="PQA153" s="1059"/>
      <c r="PQB153" s="1058"/>
      <c r="PQC153" s="1059"/>
      <c r="PQD153" s="1058"/>
      <c r="PQE153" s="1059"/>
      <c r="PQF153" s="1058"/>
      <c r="PQG153" s="1059"/>
      <c r="PQH153" s="1058"/>
      <c r="PQI153" s="1059"/>
      <c r="PQJ153" s="1058"/>
      <c r="PQK153" s="1059"/>
      <c r="PQL153" s="1058"/>
      <c r="PQM153" s="1059"/>
      <c r="PQN153" s="1058"/>
      <c r="PQO153" s="1059"/>
      <c r="PQP153" s="1058"/>
      <c r="PQQ153" s="1059"/>
      <c r="PQR153" s="1058"/>
      <c r="PQS153" s="1059"/>
      <c r="PQT153" s="1058"/>
      <c r="PQU153" s="1059"/>
      <c r="PQV153" s="1058"/>
      <c r="PQW153" s="1059"/>
      <c r="PQX153" s="1058"/>
      <c r="PQY153" s="1059"/>
      <c r="PQZ153" s="1058"/>
      <c r="PRA153" s="1059"/>
      <c r="PRB153" s="1058"/>
      <c r="PRC153" s="1059"/>
      <c r="PRD153" s="1058"/>
      <c r="PRE153" s="1059"/>
      <c r="PRF153" s="1058"/>
      <c r="PRG153" s="1059"/>
      <c r="PRH153" s="1058"/>
      <c r="PRI153" s="1059"/>
      <c r="PRJ153" s="1058"/>
      <c r="PRK153" s="1059"/>
      <c r="PRL153" s="1058"/>
      <c r="PRM153" s="1059"/>
      <c r="PRN153" s="1058"/>
      <c r="PRO153" s="1059"/>
      <c r="PRP153" s="1058"/>
      <c r="PRQ153" s="1059"/>
      <c r="PRR153" s="1058"/>
      <c r="PRS153" s="1059"/>
      <c r="PRT153" s="1058"/>
      <c r="PRU153" s="1059"/>
      <c r="PRV153" s="1058"/>
      <c r="PRW153" s="1059"/>
      <c r="PRX153" s="1058"/>
      <c r="PRY153" s="1059"/>
      <c r="PRZ153" s="1058"/>
      <c r="PSA153" s="1059"/>
      <c r="PSB153" s="1058"/>
      <c r="PSC153" s="1059"/>
      <c r="PSD153" s="1058"/>
      <c r="PSE153" s="1059"/>
      <c r="PSF153" s="1058"/>
      <c r="PSG153" s="1059"/>
      <c r="PSH153" s="1058"/>
      <c r="PSI153" s="1059"/>
      <c r="PSJ153" s="1058"/>
      <c r="PSK153" s="1059"/>
      <c r="PSL153" s="1058"/>
      <c r="PSM153" s="1059"/>
      <c r="PSN153" s="1058"/>
      <c r="PSO153" s="1059"/>
      <c r="PSP153" s="1058"/>
      <c r="PSQ153" s="1059"/>
      <c r="PSR153" s="1058"/>
      <c r="PSS153" s="1059"/>
      <c r="PST153" s="1058"/>
      <c r="PSU153" s="1059"/>
      <c r="PSV153" s="1058"/>
      <c r="PSW153" s="1059"/>
      <c r="PSX153" s="1058"/>
      <c r="PSY153" s="1059"/>
      <c r="PSZ153" s="1058"/>
      <c r="PTA153" s="1059"/>
      <c r="PTB153" s="1058"/>
      <c r="PTC153" s="1059"/>
      <c r="PTD153" s="1058"/>
      <c r="PTE153" s="1059"/>
      <c r="PTF153" s="1058"/>
      <c r="PTG153" s="1059"/>
      <c r="PTH153" s="1058"/>
      <c r="PTI153" s="1059"/>
      <c r="PTJ153" s="1058"/>
      <c r="PTK153" s="1059"/>
      <c r="PTL153" s="1058"/>
      <c r="PTM153" s="1059"/>
      <c r="PTN153" s="1058"/>
      <c r="PTO153" s="1059"/>
      <c r="PTP153" s="1058"/>
      <c r="PTQ153" s="1059"/>
      <c r="PTR153" s="1058"/>
      <c r="PTS153" s="1059"/>
      <c r="PTT153" s="1058"/>
      <c r="PTU153" s="1059"/>
      <c r="PTV153" s="1058"/>
      <c r="PTW153" s="1059"/>
      <c r="PTX153" s="1058"/>
      <c r="PTY153" s="1059"/>
      <c r="PTZ153" s="1058"/>
      <c r="PUA153" s="1059"/>
      <c r="PUB153" s="1058"/>
      <c r="PUC153" s="1059"/>
      <c r="PUD153" s="1058"/>
      <c r="PUE153" s="1059"/>
      <c r="PUF153" s="1058"/>
      <c r="PUG153" s="1059"/>
      <c r="PUH153" s="1058"/>
      <c r="PUI153" s="1059"/>
      <c r="PUJ153" s="1058"/>
      <c r="PUK153" s="1059"/>
      <c r="PUL153" s="1058"/>
      <c r="PUM153" s="1059"/>
      <c r="PUN153" s="1058"/>
      <c r="PUO153" s="1059"/>
      <c r="PUP153" s="1058"/>
      <c r="PUQ153" s="1059"/>
      <c r="PUR153" s="1058"/>
      <c r="PUS153" s="1059"/>
      <c r="PUT153" s="1058"/>
      <c r="PUU153" s="1059"/>
      <c r="PUV153" s="1058"/>
      <c r="PUW153" s="1059"/>
      <c r="PUX153" s="1058"/>
      <c r="PUY153" s="1059"/>
      <c r="PUZ153" s="1058"/>
      <c r="PVA153" s="1059"/>
      <c r="PVB153" s="1058"/>
      <c r="PVC153" s="1059"/>
      <c r="PVD153" s="1058"/>
      <c r="PVE153" s="1059"/>
      <c r="PVF153" s="1058"/>
      <c r="PVG153" s="1059"/>
      <c r="PVH153" s="1058"/>
      <c r="PVI153" s="1059"/>
      <c r="PVJ153" s="1058"/>
      <c r="PVK153" s="1059"/>
      <c r="PVL153" s="1058"/>
      <c r="PVM153" s="1059"/>
      <c r="PVN153" s="1058"/>
      <c r="PVO153" s="1059"/>
      <c r="PVP153" s="1058"/>
      <c r="PVQ153" s="1059"/>
      <c r="PVR153" s="1058"/>
      <c r="PVS153" s="1059"/>
      <c r="PVT153" s="1058"/>
      <c r="PVU153" s="1059"/>
      <c r="PVV153" s="1058"/>
      <c r="PVW153" s="1059"/>
      <c r="PVX153" s="1058"/>
      <c r="PVY153" s="1059"/>
      <c r="PVZ153" s="1058"/>
      <c r="PWA153" s="1059"/>
      <c r="PWB153" s="1058"/>
      <c r="PWC153" s="1059"/>
      <c r="PWD153" s="1058"/>
      <c r="PWE153" s="1059"/>
      <c r="PWF153" s="1058"/>
      <c r="PWG153" s="1059"/>
      <c r="PWH153" s="1058"/>
      <c r="PWI153" s="1059"/>
      <c r="PWJ153" s="1058"/>
      <c r="PWK153" s="1059"/>
      <c r="PWL153" s="1058"/>
      <c r="PWM153" s="1059"/>
      <c r="PWN153" s="1058"/>
      <c r="PWO153" s="1059"/>
      <c r="PWP153" s="1058"/>
      <c r="PWQ153" s="1059"/>
      <c r="PWR153" s="1058"/>
      <c r="PWS153" s="1059"/>
      <c r="PWT153" s="1058"/>
      <c r="PWU153" s="1059"/>
      <c r="PWV153" s="1058"/>
      <c r="PWW153" s="1059"/>
      <c r="PWX153" s="1058"/>
      <c r="PWY153" s="1059"/>
      <c r="PWZ153" s="1058"/>
      <c r="PXA153" s="1059"/>
      <c r="PXB153" s="1058"/>
      <c r="PXC153" s="1059"/>
      <c r="PXD153" s="1058"/>
      <c r="PXE153" s="1059"/>
      <c r="PXF153" s="1058"/>
      <c r="PXG153" s="1059"/>
      <c r="PXH153" s="1058"/>
      <c r="PXI153" s="1059"/>
      <c r="PXJ153" s="1058"/>
      <c r="PXK153" s="1059"/>
      <c r="PXL153" s="1058"/>
      <c r="PXM153" s="1059"/>
      <c r="PXN153" s="1058"/>
      <c r="PXO153" s="1059"/>
      <c r="PXP153" s="1058"/>
      <c r="PXQ153" s="1059"/>
      <c r="PXR153" s="1058"/>
      <c r="PXS153" s="1059"/>
      <c r="PXT153" s="1058"/>
      <c r="PXU153" s="1059"/>
      <c r="PXV153" s="1058"/>
      <c r="PXW153" s="1059"/>
      <c r="PXX153" s="1058"/>
      <c r="PXY153" s="1059"/>
      <c r="PXZ153" s="1058"/>
      <c r="PYA153" s="1059"/>
      <c r="PYB153" s="1058"/>
      <c r="PYC153" s="1059"/>
      <c r="PYD153" s="1058"/>
      <c r="PYE153" s="1059"/>
      <c r="PYF153" s="1058"/>
      <c r="PYG153" s="1059"/>
      <c r="PYH153" s="1058"/>
      <c r="PYI153" s="1059"/>
      <c r="PYJ153" s="1058"/>
      <c r="PYK153" s="1059"/>
      <c r="PYL153" s="1058"/>
      <c r="PYM153" s="1059"/>
      <c r="PYN153" s="1058"/>
      <c r="PYO153" s="1059"/>
      <c r="PYP153" s="1058"/>
      <c r="PYQ153" s="1059"/>
      <c r="PYR153" s="1058"/>
      <c r="PYS153" s="1059"/>
      <c r="PYT153" s="1058"/>
      <c r="PYU153" s="1059"/>
      <c r="PYV153" s="1058"/>
      <c r="PYW153" s="1059"/>
      <c r="PYX153" s="1058"/>
      <c r="PYY153" s="1059"/>
      <c r="PYZ153" s="1058"/>
      <c r="PZA153" s="1059"/>
      <c r="PZB153" s="1058"/>
      <c r="PZC153" s="1059"/>
      <c r="PZD153" s="1058"/>
      <c r="PZE153" s="1059"/>
      <c r="PZF153" s="1058"/>
      <c r="PZG153" s="1059"/>
      <c r="PZH153" s="1058"/>
      <c r="PZI153" s="1059"/>
      <c r="PZJ153" s="1058"/>
      <c r="PZK153" s="1059"/>
      <c r="PZL153" s="1058"/>
      <c r="PZM153" s="1059"/>
      <c r="PZN153" s="1058"/>
      <c r="PZO153" s="1059"/>
      <c r="PZP153" s="1058"/>
      <c r="PZQ153" s="1059"/>
      <c r="PZR153" s="1058"/>
      <c r="PZS153" s="1059"/>
      <c r="PZT153" s="1058"/>
      <c r="PZU153" s="1059"/>
      <c r="PZV153" s="1058"/>
      <c r="PZW153" s="1059"/>
      <c r="PZX153" s="1058"/>
      <c r="PZY153" s="1059"/>
      <c r="PZZ153" s="1058"/>
      <c r="QAA153" s="1059"/>
      <c r="QAB153" s="1058"/>
      <c r="QAC153" s="1059"/>
      <c r="QAD153" s="1058"/>
      <c r="QAE153" s="1059"/>
      <c r="QAF153" s="1058"/>
      <c r="QAG153" s="1059"/>
      <c r="QAH153" s="1058"/>
      <c r="QAI153" s="1059"/>
      <c r="QAJ153" s="1058"/>
      <c r="QAK153" s="1059"/>
      <c r="QAL153" s="1058"/>
      <c r="QAM153" s="1059"/>
      <c r="QAN153" s="1058"/>
      <c r="QAO153" s="1059"/>
      <c r="QAP153" s="1058"/>
      <c r="QAQ153" s="1059"/>
      <c r="QAR153" s="1058"/>
      <c r="QAS153" s="1059"/>
      <c r="QAT153" s="1058"/>
      <c r="QAU153" s="1059"/>
      <c r="QAV153" s="1058"/>
      <c r="QAW153" s="1059"/>
      <c r="QAX153" s="1058"/>
      <c r="QAY153" s="1059"/>
      <c r="QAZ153" s="1058"/>
      <c r="QBA153" s="1059"/>
      <c r="QBB153" s="1058"/>
      <c r="QBC153" s="1059"/>
      <c r="QBD153" s="1058"/>
      <c r="QBE153" s="1059"/>
      <c r="QBF153" s="1058"/>
      <c r="QBG153" s="1059"/>
      <c r="QBH153" s="1058"/>
      <c r="QBI153" s="1059"/>
      <c r="QBJ153" s="1058"/>
      <c r="QBK153" s="1059"/>
      <c r="QBL153" s="1058"/>
      <c r="QBM153" s="1059"/>
      <c r="QBN153" s="1058"/>
      <c r="QBO153" s="1059"/>
      <c r="QBP153" s="1058"/>
      <c r="QBQ153" s="1059"/>
      <c r="QBR153" s="1058"/>
      <c r="QBS153" s="1059"/>
      <c r="QBT153" s="1058"/>
      <c r="QBU153" s="1059"/>
      <c r="QBV153" s="1058"/>
      <c r="QBW153" s="1059"/>
      <c r="QBX153" s="1058"/>
      <c r="QBY153" s="1059"/>
      <c r="QBZ153" s="1058"/>
      <c r="QCA153" s="1059"/>
      <c r="QCB153" s="1058"/>
      <c r="QCC153" s="1059"/>
      <c r="QCD153" s="1058"/>
      <c r="QCE153" s="1059"/>
      <c r="QCF153" s="1058"/>
      <c r="QCG153" s="1059"/>
      <c r="QCH153" s="1058"/>
      <c r="QCI153" s="1059"/>
      <c r="QCJ153" s="1058"/>
      <c r="QCK153" s="1059"/>
      <c r="QCL153" s="1058"/>
      <c r="QCM153" s="1059"/>
      <c r="QCN153" s="1058"/>
      <c r="QCO153" s="1059"/>
      <c r="QCP153" s="1058"/>
      <c r="QCQ153" s="1059"/>
      <c r="QCR153" s="1058"/>
      <c r="QCS153" s="1059"/>
      <c r="QCT153" s="1058"/>
      <c r="QCU153" s="1059"/>
      <c r="QCV153" s="1058"/>
      <c r="QCW153" s="1059"/>
      <c r="QCX153" s="1058"/>
      <c r="QCY153" s="1059"/>
      <c r="QCZ153" s="1058"/>
      <c r="QDA153" s="1059"/>
      <c r="QDB153" s="1058"/>
      <c r="QDC153" s="1059"/>
      <c r="QDD153" s="1058"/>
      <c r="QDE153" s="1059"/>
      <c r="QDF153" s="1058"/>
      <c r="QDG153" s="1059"/>
      <c r="QDH153" s="1058"/>
      <c r="QDI153" s="1059"/>
      <c r="QDJ153" s="1058"/>
      <c r="QDK153" s="1059"/>
      <c r="QDL153" s="1058"/>
      <c r="QDM153" s="1059"/>
      <c r="QDN153" s="1058"/>
      <c r="QDO153" s="1059"/>
      <c r="QDP153" s="1058"/>
      <c r="QDQ153" s="1059"/>
      <c r="QDR153" s="1058"/>
      <c r="QDS153" s="1059"/>
      <c r="QDT153" s="1058"/>
      <c r="QDU153" s="1059"/>
      <c r="QDV153" s="1058"/>
      <c r="QDW153" s="1059"/>
      <c r="QDX153" s="1058"/>
      <c r="QDY153" s="1059"/>
      <c r="QDZ153" s="1058"/>
      <c r="QEA153" s="1059"/>
      <c r="QEB153" s="1058"/>
      <c r="QEC153" s="1059"/>
      <c r="QED153" s="1058"/>
      <c r="QEE153" s="1059"/>
      <c r="QEF153" s="1058"/>
      <c r="QEG153" s="1059"/>
      <c r="QEH153" s="1058"/>
      <c r="QEI153" s="1059"/>
      <c r="QEJ153" s="1058"/>
      <c r="QEK153" s="1059"/>
      <c r="QEL153" s="1058"/>
      <c r="QEM153" s="1059"/>
      <c r="QEN153" s="1058"/>
      <c r="QEO153" s="1059"/>
      <c r="QEP153" s="1058"/>
      <c r="QEQ153" s="1059"/>
      <c r="QER153" s="1058"/>
      <c r="QES153" s="1059"/>
      <c r="QET153" s="1058"/>
      <c r="QEU153" s="1059"/>
      <c r="QEV153" s="1058"/>
      <c r="QEW153" s="1059"/>
      <c r="QEX153" s="1058"/>
      <c r="QEY153" s="1059"/>
      <c r="QEZ153" s="1058"/>
      <c r="QFA153" s="1059"/>
      <c r="QFB153" s="1058"/>
      <c r="QFC153" s="1059"/>
      <c r="QFD153" s="1058"/>
      <c r="QFE153" s="1059"/>
      <c r="QFF153" s="1058"/>
      <c r="QFG153" s="1059"/>
      <c r="QFH153" s="1058"/>
      <c r="QFI153" s="1059"/>
      <c r="QFJ153" s="1058"/>
      <c r="QFK153" s="1059"/>
      <c r="QFL153" s="1058"/>
      <c r="QFM153" s="1059"/>
      <c r="QFN153" s="1058"/>
      <c r="QFO153" s="1059"/>
      <c r="QFP153" s="1058"/>
      <c r="QFQ153" s="1059"/>
      <c r="QFR153" s="1058"/>
      <c r="QFS153" s="1059"/>
      <c r="QFT153" s="1058"/>
      <c r="QFU153" s="1059"/>
      <c r="QFV153" s="1058"/>
      <c r="QFW153" s="1059"/>
      <c r="QFX153" s="1058"/>
      <c r="QFY153" s="1059"/>
      <c r="QFZ153" s="1058"/>
      <c r="QGA153" s="1059"/>
      <c r="QGB153" s="1058"/>
      <c r="QGC153" s="1059"/>
      <c r="QGD153" s="1058"/>
      <c r="QGE153" s="1059"/>
      <c r="QGF153" s="1058"/>
      <c r="QGG153" s="1059"/>
      <c r="QGH153" s="1058"/>
      <c r="QGI153" s="1059"/>
      <c r="QGJ153" s="1058"/>
      <c r="QGK153" s="1059"/>
      <c r="QGL153" s="1058"/>
      <c r="QGM153" s="1059"/>
      <c r="QGN153" s="1058"/>
      <c r="QGO153" s="1059"/>
      <c r="QGP153" s="1058"/>
      <c r="QGQ153" s="1059"/>
      <c r="QGR153" s="1058"/>
      <c r="QGS153" s="1059"/>
      <c r="QGT153" s="1058"/>
      <c r="QGU153" s="1059"/>
      <c r="QGV153" s="1058"/>
      <c r="QGW153" s="1059"/>
      <c r="QGX153" s="1058"/>
      <c r="QGY153" s="1059"/>
      <c r="QGZ153" s="1058"/>
      <c r="QHA153" s="1059"/>
      <c r="QHB153" s="1058"/>
      <c r="QHC153" s="1059"/>
      <c r="QHD153" s="1058"/>
      <c r="QHE153" s="1059"/>
      <c r="QHF153" s="1058"/>
      <c r="QHG153" s="1059"/>
      <c r="QHH153" s="1058"/>
      <c r="QHI153" s="1059"/>
      <c r="QHJ153" s="1058"/>
      <c r="QHK153" s="1059"/>
      <c r="QHL153" s="1058"/>
      <c r="QHM153" s="1059"/>
      <c r="QHN153" s="1058"/>
      <c r="QHO153" s="1059"/>
      <c r="QHP153" s="1058"/>
      <c r="QHQ153" s="1059"/>
      <c r="QHR153" s="1058"/>
      <c r="QHS153" s="1059"/>
      <c r="QHT153" s="1058"/>
      <c r="QHU153" s="1059"/>
      <c r="QHV153" s="1058"/>
      <c r="QHW153" s="1059"/>
      <c r="QHX153" s="1058"/>
      <c r="QHY153" s="1059"/>
      <c r="QHZ153" s="1058"/>
      <c r="QIA153" s="1059"/>
      <c r="QIB153" s="1058"/>
      <c r="QIC153" s="1059"/>
      <c r="QID153" s="1058"/>
      <c r="QIE153" s="1059"/>
      <c r="QIF153" s="1058"/>
      <c r="QIG153" s="1059"/>
      <c r="QIH153" s="1058"/>
      <c r="QII153" s="1059"/>
      <c r="QIJ153" s="1058"/>
      <c r="QIK153" s="1059"/>
      <c r="QIL153" s="1058"/>
      <c r="QIM153" s="1059"/>
      <c r="QIN153" s="1058"/>
      <c r="QIO153" s="1059"/>
      <c r="QIP153" s="1058"/>
      <c r="QIQ153" s="1059"/>
      <c r="QIR153" s="1058"/>
      <c r="QIS153" s="1059"/>
      <c r="QIT153" s="1058"/>
      <c r="QIU153" s="1059"/>
      <c r="QIV153" s="1058"/>
      <c r="QIW153" s="1059"/>
      <c r="QIX153" s="1058"/>
      <c r="QIY153" s="1059"/>
      <c r="QIZ153" s="1058"/>
      <c r="QJA153" s="1059"/>
      <c r="QJB153" s="1058"/>
      <c r="QJC153" s="1059"/>
      <c r="QJD153" s="1058"/>
      <c r="QJE153" s="1059"/>
      <c r="QJF153" s="1058"/>
      <c r="QJG153" s="1059"/>
      <c r="QJH153" s="1058"/>
      <c r="QJI153" s="1059"/>
      <c r="QJJ153" s="1058"/>
      <c r="QJK153" s="1059"/>
      <c r="QJL153" s="1058"/>
      <c r="QJM153" s="1059"/>
      <c r="QJN153" s="1058"/>
      <c r="QJO153" s="1059"/>
      <c r="QJP153" s="1058"/>
      <c r="QJQ153" s="1059"/>
      <c r="QJR153" s="1058"/>
      <c r="QJS153" s="1059"/>
      <c r="QJT153" s="1058"/>
      <c r="QJU153" s="1059"/>
      <c r="QJV153" s="1058"/>
      <c r="QJW153" s="1059"/>
      <c r="QJX153" s="1058"/>
      <c r="QJY153" s="1059"/>
      <c r="QJZ153" s="1058"/>
      <c r="QKA153" s="1059"/>
      <c r="QKB153" s="1058"/>
      <c r="QKC153" s="1059"/>
      <c r="QKD153" s="1058"/>
      <c r="QKE153" s="1059"/>
      <c r="QKF153" s="1058"/>
      <c r="QKG153" s="1059"/>
      <c r="QKH153" s="1058"/>
      <c r="QKI153" s="1059"/>
      <c r="QKJ153" s="1058"/>
      <c r="QKK153" s="1059"/>
      <c r="QKL153" s="1058"/>
      <c r="QKM153" s="1059"/>
      <c r="QKN153" s="1058"/>
      <c r="QKO153" s="1059"/>
      <c r="QKP153" s="1058"/>
      <c r="QKQ153" s="1059"/>
      <c r="QKR153" s="1058"/>
      <c r="QKS153" s="1059"/>
      <c r="QKT153" s="1058"/>
      <c r="QKU153" s="1059"/>
      <c r="QKV153" s="1058"/>
      <c r="QKW153" s="1059"/>
      <c r="QKX153" s="1058"/>
      <c r="QKY153" s="1059"/>
      <c r="QKZ153" s="1058"/>
      <c r="QLA153" s="1059"/>
      <c r="QLB153" s="1058"/>
      <c r="QLC153" s="1059"/>
      <c r="QLD153" s="1058"/>
      <c r="QLE153" s="1059"/>
      <c r="QLF153" s="1058"/>
      <c r="QLG153" s="1059"/>
      <c r="QLH153" s="1058"/>
      <c r="QLI153" s="1059"/>
      <c r="QLJ153" s="1058"/>
      <c r="QLK153" s="1059"/>
      <c r="QLL153" s="1058"/>
      <c r="QLM153" s="1059"/>
      <c r="QLN153" s="1058"/>
      <c r="QLO153" s="1059"/>
      <c r="QLP153" s="1058"/>
      <c r="QLQ153" s="1059"/>
      <c r="QLR153" s="1058"/>
      <c r="QLS153" s="1059"/>
      <c r="QLT153" s="1058"/>
      <c r="QLU153" s="1059"/>
      <c r="QLV153" s="1058"/>
      <c r="QLW153" s="1059"/>
      <c r="QLX153" s="1058"/>
      <c r="QLY153" s="1059"/>
      <c r="QLZ153" s="1058"/>
      <c r="QMA153" s="1059"/>
      <c r="QMB153" s="1058"/>
      <c r="QMC153" s="1059"/>
      <c r="QMD153" s="1058"/>
      <c r="QME153" s="1059"/>
      <c r="QMF153" s="1058"/>
      <c r="QMG153" s="1059"/>
      <c r="QMH153" s="1058"/>
      <c r="QMI153" s="1059"/>
      <c r="QMJ153" s="1058"/>
      <c r="QMK153" s="1059"/>
      <c r="QML153" s="1058"/>
      <c r="QMM153" s="1059"/>
      <c r="QMN153" s="1058"/>
      <c r="QMO153" s="1059"/>
      <c r="QMP153" s="1058"/>
      <c r="QMQ153" s="1059"/>
      <c r="QMR153" s="1058"/>
      <c r="QMS153" s="1059"/>
      <c r="QMT153" s="1058"/>
      <c r="QMU153" s="1059"/>
      <c r="QMV153" s="1058"/>
      <c r="QMW153" s="1059"/>
      <c r="QMX153" s="1058"/>
      <c r="QMY153" s="1059"/>
      <c r="QMZ153" s="1058"/>
      <c r="QNA153" s="1059"/>
      <c r="QNB153" s="1058"/>
      <c r="QNC153" s="1059"/>
      <c r="QND153" s="1058"/>
      <c r="QNE153" s="1059"/>
      <c r="QNF153" s="1058"/>
      <c r="QNG153" s="1059"/>
      <c r="QNH153" s="1058"/>
      <c r="QNI153" s="1059"/>
      <c r="QNJ153" s="1058"/>
      <c r="QNK153" s="1059"/>
      <c r="QNL153" s="1058"/>
      <c r="QNM153" s="1059"/>
      <c r="QNN153" s="1058"/>
      <c r="QNO153" s="1059"/>
      <c r="QNP153" s="1058"/>
      <c r="QNQ153" s="1059"/>
      <c r="QNR153" s="1058"/>
      <c r="QNS153" s="1059"/>
      <c r="QNT153" s="1058"/>
      <c r="QNU153" s="1059"/>
      <c r="QNV153" s="1058"/>
      <c r="QNW153" s="1059"/>
      <c r="QNX153" s="1058"/>
      <c r="QNY153" s="1059"/>
      <c r="QNZ153" s="1058"/>
      <c r="QOA153" s="1059"/>
      <c r="QOB153" s="1058"/>
      <c r="QOC153" s="1059"/>
      <c r="QOD153" s="1058"/>
      <c r="QOE153" s="1059"/>
      <c r="QOF153" s="1058"/>
      <c r="QOG153" s="1059"/>
      <c r="QOH153" s="1058"/>
      <c r="QOI153" s="1059"/>
      <c r="QOJ153" s="1058"/>
      <c r="QOK153" s="1059"/>
      <c r="QOL153" s="1058"/>
      <c r="QOM153" s="1059"/>
      <c r="QON153" s="1058"/>
      <c r="QOO153" s="1059"/>
      <c r="QOP153" s="1058"/>
      <c r="QOQ153" s="1059"/>
      <c r="QOR153" s="1058"/>
      <c r="QOS153" s="1059"/>
      <c r="QOT153" s="1058"/>
      <c r="QOU153" s="1059"/>
      <c r="QOV153" s="1058"/>
      <c r="QOW153" s="1059"/>
      <c r="QOX153" s="1058"/>
      <c r="QOY153" s="1059"/>
      <c r="QOZ153" s="1058"/>
      <c r="QPA153" s="1059"/>
      <c r="QPB153" s="1058"/>
      <c r="QPC153" s="1059"/>
      <c r="QPD153" s="1058"/>
      <c r="QPE153" s="1059"/>
      <c r="QPF153" s="1058"/>
      <c r="QPG153" s="1059"/>
      <c r="QPH153" s="1058"/>
      <c r="QPI153" s="1059"/>
      <c r="QPJ153" s="1058"/>
      <c r="QPK153" s="1059"/>
      <c r="QPL153" s="1058"/>
      <c r="QPM153" s="1059"/>
      <c r="QPN153" s="1058"/>
      <c r="QPO153" s="1059"/>
      <c r="QPP153" s="1058"/>
      <c r="QPQ153" s="1059"/>
      <c r="QPR153" s="1058"/>
      <c r="QPS153" s="1059"/>
      <c r="QPT153" s="1058"/>
      <c r="QPU153" s="1059"/>
      <c r="QPV153" s="1058"/>
      <c r="QPW153" s="1059"/>
      <c r="QPX153" s="1058"/>
      <c r="QPY153" s="1059"/>
      <c r="QPZ153" s="1058"/>
      <c r="QQA153" s="1059"/>
      <c r="QQB153" s="1058"/>
      <c r="QQC153" s="1059"/>
      <c r="QQD153" s="1058"/>
      <c r="QQE153" s="1059"/>
      <c r="QQF153" s="1058"/>
      <c r="QQG153" s="1059"/>
      <c r="QQH153" s="1058"/>
      <c r="QQI153" s="1059"/>
      <c r="QQJ153" s="1058"/>
      <c r="QQK153" s="1059"/>
      <c r="QQL153" s="1058"/>
      <c r="QQM153" s="1059"/>
      <c r="QQN153" s="1058"/>
      <c r="QQO153" s="1059"/>
      <c r="QQP153" s="1058"/>
      <c r="QQQ153" s="1059"/>
      <c r="QQR153" s="1058"/>
      <c r="QQS153" s="1059"/>
      <c r="QQT153" s="1058"/>
      <c r="QQU153" s="1059"/>
      <c r="QQV153" s="1058"/>
      <c r="QQW153" s="1059"/>
      <c r="QQX153" s="1058"/>
      <c r="QQY153" s="1059"/>
      <c r="QQZ153" s="1058"/>
      <c r="QRA153" s="1059"/>
      <c r="QRB153" s="1058"/>
      <c r="QRC153" s="1059"/>
      <c r="QRD153" s="1058"/>
      <c r="QRE153" s="1059"/>
      <c r="QRF153" s="1058"/>
      <c r="QRG153" s="1059"/>
      <c r="QRH153" s="1058"/>
      <c r="QRI153" s="1059"/>
      <c r="QRJ153" s="1058"/>
      <c r="QRK153" s="1059"/>
      <c r="QRL153" s="1058"/>
      <c r="QRM153" s="1059"/>
      <c r="QRN153" s="1058"/>
      <c r="QRO153" s="1059"/>
      <c r="QRP153" s="1058"/>
      <c r="QRQ153" s="1059"/>
      <c r="QRR153" s="1058"/>
      <c r="QRS153" s="1059"/>
      <c r="QRT153" s="1058"/>
      <c r="QRU153" s="1059"/>
      <c r="QRV153" s="1058"/>
      <c r="QRW153" s="1059"/>
      <c r="QRX153" s="1058"/>
      <c r="QRY153" s="1059"/>
      <c r="QRZ153" s="1058"/>
      <c r="QSA153" s="1059"/>
      <c r="QSB153" s="1058"/>
      <c r="QSC153" s="1059"/>
      <c r="QSD153" s="1058"/>
      <c r="QSE153" s="1059"/>
      <c r="QSF153" s="1058"/>
      <c r="QSG153" s="1059"/>
      <c r="QSH153" s="1058"/>
      <c r="QSI153" s="1059"/>
      <c r="QSJ153" s="1058"/>
      <c r="QSK153" s="1059"/>
      <c r="QSL153" s="1058"/>
      <c r="QSM153" s="1059"/>
      <c r="QSN153" s="1058"/>
      <c r="QSO153" s="1059"/>
      <c r="QSP153" s="1058"/>
      <c r="QSQ153" s="1059"/>
      <c r="QSR153" s="1058"/>
      <c r="QSS153" s="1059"/>
      <c r="QST153" s="1058"/>
      <c r="QSU153" s="1059"/>
      <c r="QSV153" s="1058"/>
      <c r="QSW153" s="1059"/>
      <c r="QSX153" s="1058"/>
      <c r="QSY153" s="1059"/>
      <c r="QSZ153" s="1058"/>
      <c r="QTA153" s="1059"/>
      <c r="QTB153" s="1058"/>
      <c r="QTC153" s="1059"/>
      <c r="QTD153" s="1058"/>
      <c r="QTE153" s="1059"/>
      <c r="QTF153" s="1058"/>
      <c r="QTG153" s="1059"/>
      <c r="QTH153" s="1058"/>
      <c r="QTI153" s="1059"/>
      <c r="QTJ153" s="1058"/>
      <c r="QTK153" s="1059"/>
      <c r="QTL153" s="1058"/>
      <c r="QTM153" s="1059"/>
      <c r="QTN153" s="1058"/>
      <c r="QTO153" s="1059"/>
      <c r="QTP153" s="1058"/>
      <c r="QTQ153" s="1059"/>
      <c r="QTR153" s="1058"/>
      <c r="QTS153" s="1059"/>
      <c r="QTT153" s="1058"/>
      <c r="QTU153" s="1059"/>
      <c r="QTV153" s="1058"/>
      <c r="QTW153" s="1059"/>
      <c r="QTX153" s="1058"/>
      <c r="QTY153" s="1059"/>
      <c r="QTZ153" s="1058"/>
      <c r="QUA153" s="1059"/>
      <c r="QUB153" s="1058"/>
      <c r="QUC153" s="1059"/>
      <c r="QUD153" s="1058"/>
      <c r="QUE153" s="1059"/>
      <c r="QUF153" s="1058"/>
      <c r="QUG153" s="1059"/>
      <c r="QUH153" s="1058"/>
      <c r="QUI153" s="1059"/>
      <c r="QUJ153" s="1058"/>
      <c r="QUK153" s="1059"/>
      <c r="QUL153" s="1058"/>
      <c r="QUM153" s="1059"/>
      <c r="QUN153" s="1058"/>
      <c r="QUO153" s="1059"/>
      <c r="QUP153" s="1058"/>
      <c r="QUQ153" s="1059"/>
      <c r="QUR153" s="1058"/>
      <c r="QUS153" s="1059"/>
      <c r="QUT153" s="1058"/>
      <c r="QUU153" s="1059"/>
      <c r="QUV153" s="1058"/>
      <c r="QUW153" s="1059"/>
      <c r="QUX153" s="1058"/>
      <c r="QUY153" s="1059"/>
      <c r="QUZ153" s="1058"/>
      <c r="QVA153" s="1059"/>
      <c r="QVB153" s="1058"/>
      <c r="QVC153" s="1059"/>
      <c r="QVD153" s="1058"/>
      <c r="QVE153" s="1059"/>
      <c r="QVF153" s="1058"/>
      <c r="QVG153" s="1059"/>
      <c r="QVH153" s="1058"/>
      <c r="QVI153" s="1059"/>
      <c r="QVJ153" s="1058"/>
      <c r="QVK153" s="1059"/>
      <c r="QVL153" s="1058"/>
      <c r="QVM153" s="1059"/>
      <c r="QVN153" s="1058"/>
      <c r="QVO153" s="1059"/>
      <c r="QVP153" s="1058"/>
      <c r="QVQ153" s="1059"/>
      <c r="QVR153" s="1058"/>
      <c r="QVS153" s="1059"/>
      <c r="QVT153" s="1058"/>
      <c r="QVU153" s="1059"/>
      <c r="QVV153" s="1058"/>
      <c r="QVW153" s="1059"/>
      <c r="QVX153" s="1058"/>
      <c r="QVY153" s="1059"/>
      <c r="QVZ153" s="1058"/>
      <c r="QWA153" s="1059"/>
      <c r="QWB153" s="1058"/>
      <c r="QWC153" s="1059"/>
      <c r="QWD153" s="1058"/>
      <c r="QWE153" s="1059"/>
      <c r="QWF153" s="1058"/>
      <c r="QWG153" s="1059"/>
      <c r="QWH153" s="1058"/>
      <c r="QWI153" s="1059"/>
      <c r="QWJ153" s="1058"/>
      <c r="QWK153" s="1059"/>
      <c r="QWL153" s="1058"/>
      <c r="QWM153" s="1059"/>
      <c r="QWN153" s="1058"/>
      <c r="QWO153" s="1059"/>
      <c r="QWP153" s="1058"/>
      <c r="QWQ153" s="1059"/>
      <c r="QWR153" s="1058"/>
      <c r="QWS153" s="1059"/>
      <c r="QWT153" s="1058"/>
      <c r="QWU153" s="1059"/>
      <c r="QWV153" s="1058"/>
      <c r="QWW153" s="1059"/>
      <c r="QWX153" s="1058"/>
      <c r="QWY153" s="1059"/>
      <c r="QWZ153" s="1058"/>
      <c r="QXA153" s="1059"/>
      <c r="QXB153" s="1058"/>
      <c r="QXC153" s="1059"/>
      <c r="QXD153" s="1058"/>
      <c r="QXE153" s="1059"/>
      <c r="QXF153" s="1058"/>
      <c r="QXG153" s="1059"/>
      <c r="QXH153" s="1058"/>
      <c r="QXI153" s="1059"/>
      <c r="QXJ153" s="1058"/>
      <c r="QXK153" s="1059"/>
      <c r="QXL153" s="1058"/>
      <c r="QXM153" s="1059"/>
      <c r="QXN153" s="1058"/>
      <c r="QXO153" s="1059"/>
      <c r="QXP153" s="1058"/>
      <c r="QXQ153" s="1059"/>
      <c r="QXR153" s="1058"/>
      <c r="QXS153" s="1059"/>
      <c r="QXT153" s="1058"/>
      <c r="QXU153" s="1059"/>
      <c r="QXV153" s="1058"/>
      <c r="QXW153" s="1059"/>
      <c r="QXX153" s="1058"/>
      <c r="QXY153" s="1059"/>
      <c r="QXZ153" s="1058"/>
      <c r="QYA153" s="1059"/>
      <c r="QYB153" s="1058"/>
      <c r="QYC153" s="1059"/>
      <c r="QYD153" s="1058"/>
      <c r="QYE153" s="1059"/>
      <c r="QYF153" s="1058"/>
      <c r="QYG153" s="1059"/>
      <c r="QYH153" s="1058"/>
      <c r="QYI153" s="1059"/>
      <c r="QYJ153" s="1058"/>
      <c r="QYK153" s="1059"/>
      <c r="QYL153" s="1058"/>
      <c r="QYM153" s="1059"/>
      <c r="QYN153" s="1058"/>
      <c r="QYO153" s="1059"/>
      <c r="QYP153" s="1058"/>
      <c r="QYQ153" s="1059"/>
      <c r="QYR153" s="1058"/>
      <c r="QYS153" s="1059"/>
      <c r="QYT153" s="1058"/>
      <c r="QYU153" s="1059"/>
      <c r="QYV153" s="1058"/>
      <c r="QYW153" s="1059"/>
      <c r="QYX153" s="1058"/>
      <c r="QYY153" s="1059"/>
      <c r="QYZ153" s="1058"/>
      <c r="QZA153" s="1059"/>
      <c r="QZB153" s="1058"/>
      <c r="QZC153" s="1059"/>
      <c r="QZD153" s="1058"/>
      <c r="QZE153" s="1059"/>
      <c r="QZF153" s="1058"/>
      <c r="QZG153" s="1059"/>
      <c r="QZH153" s="1058"/>
      <c r="QZI153" s="1059"/>
      <c r="QZJ153" s="1058"/>
      <c r="QZK153" s="1059"/>
      <c r="QZL153" s="1058"/>
      <c r="QZM153" s="1059"/>
      <c r="QZN153" s="1058"/>
      <c r="QZO153" s="1059"/>
      <c r="QZP153" s="1058"/>
      <c r="QZQ153" s="1059"/>
      <c r="QZR153" s="1058"/>
      <c r="QZS153" s="1059"/>
      <c r="QZT153" s="1058"/>
      <c r="QZU153" s="1059"/>
      <c r="QZV153" s="1058"/>
      <c r="QZW153" s="1059"/>
      <c r="QZX153" s="1058"/>
      <c r="QZY153" s="1059"/>
      <c r="QZZ153" s="1058"/>
      <c r="RAA153" s="1059"/>
      <c r="RAB153" s="1058"/>
      <c r="RAC153" s="1059"/>
      <c r="RAD153" s="1058"/>
      <c r="RAE153" s="1059"/>
      <c r="RAF153" s="1058"/>
      <c r="RAG153" s="1059"/>
      <c r="RAH153" s="1058"/>
      <c r="RAI153" s="1059"/>
      <c r="RAJ153" s="1058"/>
      <c r="RAK153" s="1059"/>
      <c r="RAL153" s="1058"/>
      <c r="RAM153" s="1059"/>
      <c r="RAN153" s="1058"/>
      <c r="RAO153" s="1059"/>
      <c r="RAP153" s="1058"/>
      <c r="RAQ153" s="1059"/>
      <c r="RAR153" s="1058"/>
      <c r="RAS153" s="1059"/>
      <c r="RAT153" s="1058"/>
      <c r="RAU153" s="1059"/>
      <c r="RAV153" s="1058"/>
      <c r="RAW153" s="1059"/>
      <c r="RAX153" s="1058"/>
      <c r="RAY153" s="1059"/>
      <c r="RAZ153" s="1058"/>
      <c r="RBA153" s="1059"/>
      <c r="RBB153" s="1058"/>
      <c r="RBC153" s="1059"/>
      <c r="RBD153" s="1058"/>
      <c r="RBE153" s="1059"/>
      <c r="RBF153" s="1058"/>
      <c r="RBG153" s="1059"/>
      <c r="RBH153" s="1058"/>
      <c r="RBI153" s="1059"/>
      <c r="RBJ153" s="1058"/>
      <c r="RBK153" s="1059"/>
      <c r="RBL153" s="1058"/>
      <c r="RBM153" s="1059"/>
      <c r="RBN153" s="1058"/>
      <c r="RBO153" s="1059"/>
      <c r="RBP153" s="1058"/>
      <c r="RBQ153" s="1059"/>
      <c r="RBR153" s="1058"/>
      <c r="RBS153" s="1059"/>
      <c r="RBT153" s="1058"/>
      <c r="RBU153" s="1059"/>
      <c r="RBV153" s="1058"/>
      <c r="RBW153" s="1059"/>
      <c r="RBX153" s="1058"/>
      <c r="RBY153" s="1059"/>
      <c r="RBZ153" s="1058"/>
      <c r="RCA153" s="1059"/>
      <c r="RCB153" s="1058"/>
      <c r="RCC153" s="1059"/>
      <c r="RCD153" s="1058"/>
      <c r="RCE153" s="1059"/>
      <c r="RCF153" s="1058"/>
      <c r="RCG153" s="1059"/>
      <c r="RCH153" s="1058"/>
      <c r="RCI153" s="1059"/>
      <c r="RCJ153" s="1058"/>
      <c r="RCK153" s="1059"/>
      <c r="RCL153" s="1058"/>
      <c r="RCM153" s="1059"/>
      <c r="RCN153" s="1058"/>
      <c r="RCO153" s="1059"/>
      <c r="RCP153" s="1058"/>
      <c r="RCQ153" s="1059"/>
      <c r="RCR153" s="1058"/>
      <c r="RCS153" s="1059"/>
      <c r="RCT153" s="1058"/>
      <c r="RCU153" s="1059"/>
      <c r="RCV153" s="1058"/>
      <c r="RCW153" s="1059"/>
      <c r="RCX153" s="1058"/>
      <c r="RCY153" s="1059"/>
      <c r="RCZ153" s="1058"/>
      <c r="RDA153" s="1059"/>
      <c r="RDB153" s="1058"/>
      <c r="RDC153" s="1059"/>
      <c r="RDD153" s="1058"/>
      <c r="RDE153" s="1059"/>
      <c r="RDF153" s="1058"/>
      <c r="RDG153" s="1059"/>
      <c r="RDH153" s="1058"/>
      <c r="RDI153" s="1059"/>
      <c r="RDJ153" s="1058"/>
      <c r="RDK153" s="1059"/>
      <c r="RDL153" s="1058"/>
      <c r="RDM153" s="1059"/>
      <c r="RDN153" s="1058"/>
      <c r="RDO153" s="1059"/>
      <c r="RDP153" s="1058"/>
      <c r="RDQ153" s="1059"/>
      <c r="RDR153" s="1058"/>
      <c r="RDS153" s="1059"/>
      <c r="RDT153" s="1058"/>
      <c r="RDU153" s="1059"/>
      <c r="RDV153" s="1058"/>
      <c r="RDW153" s="1059"/>
      <c r="RDX153" s="1058"/>
      <c r="RDY153" s="1059"/>
      <c r="RDZ153" s="1058"/>
      <c r="REA153" s="1059"/>
      <c r="REB153" s="1058"/>
      <c r="REC153" s="1059"/>
      <c r="RED153" s="1058"/>
      <c r="REE153" s="1059"/>
      <c r="REF153" s="1058"/>
      <c r="REG153" s="1059"/>
      <c r="REH153" s="1058"/>
      <c r="REI153" s="1059"/>
      <c r="REJ153" s="1058"/>
      <c r="REK153" s="1059"/>
      <c r="REL153" s="1058"/>
      <c r="REM153" s="1059"/>
      <c r="REN153" s="1058"/>
      <c r="REO153" s="1059"/>
      <c r="REP153" s="1058"/>
      <c r="REQ153" s="1059"/>
      <c r="RER153" s="1058"/>
      <c r="RES153" s="1059"/>
      <c r="RET153" s="1058"/>
      <c r="REU153" s="1059"/>
      <c r="REV153" s="1058"/>
      <c r="REW153" s="1059"/>
      <c r="REX153" s="1058"/>
      <c r="REY153" s="1059"/>
      <c r="REZ153" s="1058"/>
      <c r="RFA153" s="1059"/>
      <c r="RFB153" s="1058"/>
      <c r="RFC153" s="1059"/>
      <c r="RFD153" s="1058"/>
      <c r="RFE153" s="1059"/>
      <c r="RFF153" s="1058"/>
      <c r="RFG153" s="1059"/>
      <c r="RFH153" s="1058"/>
      <c r="RFI153" s="1059"/>
      <c r="RFJ153" s="1058"/>
      <c r="RFK153" s="1059"/>
      <c r="RFL153" s="1058"/>
      <c r="RFM153" s="1059"/>
      <c r="RFN153" s="1058"/>
      <c r="RFO153" s="1059"/>
      <c r="RFP153" s="1058"/>
      <c r="RFQ153" s="1059"/>
      <c r="RFR153" s="1058"/>
      <c r="RFS153" s="1059"/>
      <c r="RFT153" s="1058"/>
      <c r="RFU153" s="1059"/>
      <c r="RFV153" s="1058"/>
      <c r="RFW153" s="1059"/>
      <c r="RFX153" s="1058"/>
      <c r="RFY153" s="1059"/>
      <c r="RFZ153" s="1058"/>
      <c r="RGA153" s="1059"/>
      <c r="RGB153" s="1058"/>
      <c r="RGC153" s="1059"/>
      <c r="RGD153" s="1058"/>
      <c r="RGE153" s="1059"/>
      <c r="RGF153" s="1058"/>
      <c r="RGG153" s="1059"/>
      <c r="RGH153" s="1058"/>
      <c r="RGI153" s="1059"/>
      <c r="RGJ153" s="1058"/>
      <c r="RGK153" s="1059"/>
      <c r="RGL153" s="1058"/>
      <c r="RGM153" s="1059"/>
      <c r="RGN153" s="1058"/>
      <c r="RGO153" s="1059"/>
      <c r="RGP153" s="1058"/>
      <c r="RGQ153" s="1059"/>
      <c r="RGR153" s="1058"/>
      <c r="RGS153" s="1059"/>
      <c r="RGT153" s="1058"/>
      <c r="RGU153" s="1059"/>
      <c r="RGV153" s="1058"/>
      <c r="RGW153" s="1059"/>
      <c r="RGX153" s="1058"/>
      <c r="RGY153" s="1059"/>
      <c r="RGZ153" s="1058"/>
      <c r="RHA153" s="1059"/>
      <c r="RHB153" s="1058"/>
      <c r="RHC153" s="1059"/>
      <c r="RHD153" s="1058"/>
      <c r="RHE153" s="1059"/>
      <c r="RHF153" s="1058"/>
      <c r="RHG153" s="1059"/>
      <c r="RHH153" s="1058"/>
      <c r="RHI153" s="1059"/>
      <c r="RHJ153" s="1058"/>
      <c r="RHK153" s="1059"/>
      <c r="RHL153" s="1058"/>
      <c r="RHM153" s="1059"/>
      <c r="RHN153" s="1058"/>
      <c r="RHO153" s="1059"/>
      <c r="RHP153" s="1058"/>
      <c r="RHQ153" s="1059"/>
      <c r="RHR153" s="1058"/>
      <c r="RHS153" s="1059"/>
      <c r="RHT153" s="1058"/>
      <c r="RHU153" s="1059"/>
      <c r="RHV153" s="1058"/>
      <c r="RHW153" s="1059"/>
      <c r="RHX153" s="1058"/>
      <c r="RHY153" s="1059"/>
      <c r="RHZ153" s="1058"/>
      <c r="RIA153" s="1059"/>
      <c r="RIB153" s="1058"/>
      <c r="RIC153" s="1059"/>
      <c r="RID153" s="1058"/>
      <c r="RIE153" s="1059"/>
      <c r="RIF153" s="1058"/>
      <c r="RIG153" s="1059"/>
      <c r="RIH153" s="1058"/>
      <c r="RII153" s="1059"/>
      <c r="RIJ153" s="1058"/>
      <c r="RIK153" s="1059"/>
      <c r="RIL153" s="1058"/>
      <c r="RIM153" s="1059"/>
      <c r="RIN153" s="1058"/>
      <c r="RIO153" s="1059"/>
      <c r="RIP153" s="1058"/>
      <c r="RIQ153" s="1059"/>
      <c r="RIR153" s="1058"/>
      <c r="RIS153" s="1059"/>
      <c r="RIT153" s="1058"/>
      <c r="RIU153" s="1059"/>
      <c r="RIV153" s="1058"/>
      <c r="RIW153" s="1059"/>
      <c r="RIX153" s="1058"/>
      <c r="RIY153" s="1059"/>
      <c r="RIZ153" s="1058"/>
      <c r="RJA153" s="1059"/>
      <c r="RJB153" s="1058"/>
      <c r="RJC153" s="1059"/>
      <c r="RJD153" s="1058"/>
      <c r="RJE153" s="1059"/>
      <c r="RJF153" s="1058"/>
      <c r="RJG153" s="1059"/>
      <c r="RJH153" s="1058"/>
      <c r="RJI153" s="1059"/>
      <c r="RJJ153" s="1058"/>
      <c r="RJK153" s="1059"/>
      <c r="RJL153" s="1058"/>
      <c r="RJM153" s="1059"/>
      <c r="RJN153" s="1058"/>
      <c r="RJO153" s="1059"/>
      <c r="RJP153" s="1058"/>
      <c r="RJQ153" s="1059"/>
      <c r="RJR153" s="1058"/>
      <c r="RJS153" s="1059"/>
      <c r="RJT153" s="1058"/>
      <c r="RJU153" s="1059"/>
      <c r="RJV153" s="1058"/>
      <c r="RJW153" s="1059"/>
      <c r="RJX153" s="1058"/>
      <c r="RJY153" s="1059"/>
      <c r="RJZ153" s="1058"/>
      <c r="RKA153" s="1059"/>
      <c r="RKB153" s="1058"/>
      <c r="RKC153" s="1059"/>
      <c r="RKD153" s="1058"/>
      <c r="RKE153" s="1059"/>
      <c r="RKF153" s="1058"/>
      <c r="RKG153" s="1059"/>
      <c r="RKH153" s="1058"/>
      <c r="RKI153" s="1059"/>
      <c r="RKJ153" s="1058"/>
      <c r="RKK153" s="1059"/>
      <c r="RKL153" s="1058"/>
      <c r="RKM153" s="1059"/>
      <c r="RKN153" s="1058"/>
      <c r="RKO153" s="1059"/>
      <c r="RKP153" s="1058"/>
      <c r="RKQ153" s="1059"/>
      <c r="RKR153" s="1058"/>
      <c r="RKS153" s="1059"/>
      <c r="RKT153" s="1058"/>
      <c r="RKU153" s="1059"/>
      <c r="RKV153" s="1058"/>
      <c r="RKW153" s="1059"/>
      <c r="RKX153" s="1058"/>
      <c r="RKY153" s="1059"/>
      <c r="RKZ153" s="1058"/>
      <c r="RLA153" s="1059"/>
      <c r="RLB153" s="1058"/>
      <c r="RLC153" s="1059"/>
      <c r="RLD153" s="1058"/>
      <c r="RLE153" s="1059"/>
      <c r="RLF153" s="1058"/>
      <c r="RLG153" s="1059"/>
      <c r="RLH153" s="1058"/>
      <c r="RLI153" s="1059"/>
      <c r="RLJ153" s="1058"/>
      <c r="RLK153" s="1059"/>
      <c r="RLL153" s="1058"/>
      <c r="RLM153" s="1059"/>
      <c r="RLN153" s="1058"/>
      <c r="RLO153" s="1059"/>
      <c r="RLP153" s="1058"/>
      <c r="RLQ153" s="1059"/>
      <c r="RLR153" s="1058"/>
      <c r="RLS153" s="1059"/>
      <c r="RLT153" s="1058"/>
      <c r="RLU153" s="1059"/>
      <c r="RLV153" s="1058"/>
      <c r="RLW153" s="1059"/>
      <c r="RLX153" s="1058"/>
      <c r="RLY153" s="1059"/>
      <c r="RLZ153" s="1058"/>
      <c r="RMA153" s="1059"/>
      <c r="RMB153" s="1058"/>
      <c r="RMC153" s="1059"/>
      <c r="RMD153" s="1058"/>
      <c r="RME153" s="1059"/>
      <c r="RMF153" s="1058"/>
      <c r="RMG153" s="1059"/>
      <c r="RMH153" s="1058"/>
      <c r="RMI153" s="1059"/>
      <c r="RMJ153" s="1058"/>
      <c r="RMK153" s="1059"/>
      <c r="RML153" s="1058"/>
      <c r="RMM153" s="1059"/>
      <c r="RMN153" s="1058"/>
      <c r="RMO153" s="1059"/>
      <c r="RMP153" s="1058"/>
      <c r="RMQ153" s="1059"/>
      <c r="RMR153" s="1058"/>
      <c r="RMS153" s="1059"/>
      <c r="RMT153" s="1058"/>
      <c r="RMU153" s="1059"/>
      <c r="RMV153" s="1058"/>
      <c r="RMW153" s="1059"/>
      <c r="RMX153" s="1058"/>
      <c r="RMY153" s="1059"/>
      <c r="RMZ153" s="1058"/>
      <c r="RNA153" s="1059"/>
      <c r="RNB153" s="1058"/>
      <c r="RNC153" s="1059"/>
      <c r="RND153" s="1058"/>
      <c r="RNE153" s="1059"/>
      <c r="RNF153" s="1058"/>
      <c r="RNG153" s="1059"/>
      <c r="RNH153" s="1058"/>
      <c r="RNI153" s="1059"/>
      <c r="RNJ153" s="1058"/>
      <c r="RNK153" s="1059"/>
      <c r="RNL153" s="1058"/>
      <c r="RNM153" s="1059"/>
      <c r="RNN153" s="1058"/>
      <c r="RNO153" s="1059"/>
      <c r="RNP153" s="1058"/>
      <c r="RNQ153" s="1059"/>
      <c r="RNR153" s="1058"/>
      <c r="RNS153" s="1059"/>
      <c r="RNT153" s="1058"/>
      <c r="RNU153" s="1059"/>
      <c r="RNV153" s="1058"/>
      <c r="RNW153" s="1059"/>
      <c r="RNX153" s="1058"/>
      <c r="RNY153" s="1059"/>
      <c r="RNZ153" s="1058"/>
      <c r="ROA153" s="1059"/>
      <c r="ROB153" s="1058"/>
      <c r="ROC153" s="1059"/>
      <c r="ROD153" s="1058"/>
      <c r="ROE153" s="1059"/>
      <c r="ROF153" s="1058"/>
      <c r="ROG153" s="1059"/>
      <c r="ROH153" s="1058"/>
      <c r="ROI153" s="1059"/>
      <c r="ROJ153" s="1058"/>
      <c r="ROK153" s="1059"/>
      <c r="ROL153" s="1058"/>
      <c r="ROM153" s="1059"/>
      <c r="RON153" s="1058"/>
      <c r="ROO153" s="1059"/>
      <c r="ROP153" s="1058"/>
      <c r="ROQ153" s="1059"/>
      <c r="ROR153" s="1058"/>
      <c r="ROS153" s="1059"/>
      <c r="ROT153" s="1058"/>
      <c r="ROU153" s="1059"/>
      <c r="ROV153" s="1058"/>
      <c r="ROW153" s="1059"/>
      <c r="ROX153" s="1058"/>
      <c r="ROY153" s="1059"/>
      <c r="ROZ153" s="1058"/>
      <c r="RPA153" s="1059"/>
      <c r="RPB153" s="1058"/>
      <c r="RPC153" s="1059"/>
      <c r="RPD153" s="1058"/>
      <c r="RPE153" s="1059"/>
      <c r="RPF153" s="1058"/>
      <c r="RPG153" s="1059"/>
      <c r="RPH153" s="1058"/>
      <c r="RPI153" s="1059"/>
      <c r="RPJ153" s="1058"/>
      <c r="RPK153" s="1059"/>
      <c r="RPL153" s="1058"/>
      <c r="RPM153" s="1059"/>
      <c r="RPN153" s="1058"/>
      <c r="RPO153" s="1059"/>
      <c r="RPP153" s="1058"/>
      <c r="RPQ153" s="1059"/>
      <c r="RPR153" s="1058"/>
      <c r="RPS153" s="1059"/>
      <c r="RPT153" s="1058"/>
      <c r="RPU153" s="1059"/>
      <c r="RPV153" s="1058"/>
      <c r="RPW153" s="1059"/>
      <c r="RPX153" s="1058"/>
      <c r="RPY153" s="1059"/>
      <c r="RPZ153" s="1058"/>
      <c r="RQA153" s="1059"/>
      <c r="RQB153" s="1058"/>
      <c r="RQC153" s="1059"/>
      <c r="RQD153" s="1058"/>
      <c r="RQE153" s="1059"/>
      <c r="RQF153" s="1058"/>
      <c r="RQG153" s="1059"/>
      <c r="RQH153" s="1058"/>
      <c r="RQI153" s="1059"/>
      <c r="RQJ153" s="1058"/>
      <c r="RQK153" s="1059"/>
      <c r="RQL153" s="1058"/>
      <c r="RQM153" s="1059"/>
      <c r="RQN153" s="1058"/>
      <c r="RQO153" s="1059"/>
      <c r="RQP153" s="1058"/>
      <c r="RQQ153" s="1059"/>
      <c r="RQR153" s="1058"/>
      <c r="RQS153" s="1059"/>
      <c r="RQT153" s="1058"/>
      <c r="RQU153" s="1059"/>
      <c r="RQV153" s="1058"/>
      <c r="RQW153" s="1059"/>
      <c r="RQX153" s="1058"/>
      <c r="RQY153" s="1059"/>
      <c r="RQZ153" s="1058"/>
      <c r="RRA153" s="1059"/>
      <c r="RRB153" s="1058"/>
      <c r="RRC153" s="1059"/>
      <c r="RRD153" s="1058"/>
      <c r="RRE153" s="1059"/>
      <c r="RRF153" s="1058"/>
      <c r="RRG153" s="1059"/>
      <c r="RRH153" s="1058"/>
      <c r="RRI153" s="1059"/>
      <c r="RRJ153" s="1058"/>
      <c r="RRK153" s="1059"/>
      <c r="RRL153" s="1058"/>
      <c r="RRM153" s="1059"/>
      <c r="RRN153" s="1058"/>
      <c r="RRO153" s="1059"/>
      <c r="RRP153" s="1058"/>
      <c r="RRQ153" s="1059"/>
      <c r="RRR153" s="1058"/>
      <c r="RRS153" s="1059"/>
      <c r="RRT153" s="1058"/>
      <c r="RRU153" s="1059"/>
      <c r="RRV153" s="1058"/>
      <c r="RRW153" s="1059"/>
      <c r="RRX153" s="1058"/>
      <c r="RRY153" s="1059"/>
      <c r="RRZ153" s="1058"/>
      <c r="RSA153" s="1059"/>
      <c r="RSB153" s="1058"/>
      <c r="RSC153" s="1059"/>
      <c r="RSD153" s="1058"/>
      <c r="RSE153" s="1059"/>
      <c r="RSF153" s="1058"/>
      <c r="RSG153" s="1059"/>
      <c r="RSH153" s="1058"/>
      <c r="RSI153" s="1059"/>
      <c r="RSJ153" s="1058"/>
      <c r="RSK153" s="1059"/>
      <c r="RSL153" s="1058"/>
      <c r="RSM153" s="1059"/>
      <c r="RSN153" s="1058"/>
      <c r="RSO153" s="1059"/>
      <c r="RSP153" s="1058"/>
      <c r="RSQ153" s="1059"/>
      <c r="RSR153" s="1058"/>
      <c r="RSS153" s="1059"/>
      <c r="RST153" s="1058"/>
      <c r="RSU153" s="1059"/>
      <c r="RSV153" s="1058"/>
      <c r="RSW153" s="1059"/>
      <c r="RSX153" s="1058"/>
      <c r="RSY153" s="1059"/>
      <c r="RSZ153" s="1058"/>
      <c r="RTA153" s="1059"/>
      <c r="RTB153" s="1058"/>
      <c r="RTC153" s="1059"/>
      <c r="RTD153" s="1058"/>
      <c r="RTE153" s="1059"/>
      <c r="RTF153" s="1058"/>
      <c r="RTG153" s="1059"/>
      <c r="RTH153" s="1058"/>
      <c r="RTI153" s="1059"/>
      <c r="RTJ153" s="1058"/>
      <c r="RTK153" s="1059"/>
      <c r="RTL153" s="1058"/>
      <c r="RTM153" s="1059"/>
      <c r="RTN153" s="1058"/>
      <c r="RTO153" s="1059"/>
      <c r="RTP153" s="1058"/>
      <c r="RTQ153" s="1059"/>
      <c r="RTR153" s="1058"/>
      <c r="RTS153" s="1059"/>
      <c r="RTT153" s="1058"/>
      <c r="RTU153" s="1059"/>
      <c r="RTV153" s="1058"/>
      <c r="RTW153" s="1059"/>
      <c r="RTX153" s="1058"/>
      <c r="RTY153" s="1059"/>
      <c r="RTZ153" s="1058"/>
      <c r="RUA153" s="1059"/>
      <c r="RUB153" s="1058"/>
      <c r="RUC153" s="1059"/>
      <c r="RUD153" s="1058"/>
      <c r="RUE153" s="1059"/>
      <c r="RUF153" s="1058"/>
      <c r="RUG153" s="1059"/>
      <c r="RUH153" s="1058"/>
      <c r="RUI153" s="1059"/>
      <c r="RUJ153" s="1058"/>
      <c r="RUK153" s="1059"/>
      <c r="RUL153" s="1058"/>
      <c r="RUM153" s="1059"/>
      <c r="RUN153" s="1058"/>
      <c r="RUO153" s="1059"/>
      <c r="RUP153" s="1058"/>
      <c r="RUQ153" s="1059"/>
      <c r="RUR153" s="1058"/>
      <c r="RUS153" s="1059"/>
      <c r="RUT153" s="1058"/>
      <c r="RUU153" s="1059"/>
      <c r="RUV153" s="1058"/>
      <c r="RUW153" s="1059"/>
      <c r="RUX153" s="1058"/>
      <c r="RUY153" s="1059"/>
      <c r="RUZ153" s="1058"/>
      <c r="RVA153" s="1059"/>
      <c r="RVB153" s="1058"/>
      <c r="RVC153" s="1059"/>
      <c r="RVD153" s="1058"/>
      <c r="RVE153" s="1059"/>
      <c r="RVF153" s="1058"/>
      <c r="RVG153" s="1059"/>
      <c r="RVH153" s="1058"/>
      <c r="RVI153" s="1059"/>
      <c r="RVJ153" s="1058"/>
      <c r="RVK153" s="1059"/>
      <c r="RVL153" s="1058"/>
      <c r="RVM153" s="1059"/>
      <c r="RVN153" s="1058"/>
      <c r="RVO153" s="1059"/>
      <c r="RVP153" s="1058"/>
      <c r="RVQ153" s="1059"/>
      <c r="RVR153" s="1058"/>
      <c r="RVS153" s="1059"/>
      <c r="RVT153" s="1058"/>
      <c r="RVU153" s="1059"/>
      <c r="RVV153" s="1058"/>
      <c r="RVW153" s="1059"/>
      <c r="RVX153" s="1058"/>
      <c r="RVY153" s="1059"/>
      <c r="RVZ153" s="1058"/>
      <c r="RWA153" s="1059"/>
      <c r="RWB153" s="1058"/>
      <c r="RWC153" s="1059"/>
      <c r="RWD153" s="1058"/>
      <c r="RWE153" s="1059"/>
      <c r="RWF153" s="1058"/>
      <c r="RWG153" s="1059"/>
      <c r="RWH153" s="1058"/>
      <c r="RWI153" s="1059"/>
      <c r="RWJ153" s="1058"/>
      <c r="RWK153" s="1059"/>
      <c r="RWL153" s="1058"/>
      <c r="RWM153" s="1059"/>
      <c r="RWN153" s="1058"/>
      <c r="RWO153" s="1059"/>
      <c r="RWP153" s="1058"/>
      <c r="RWQ153" s="1059"/>
      <c r="RWR153" s="1058"/>
      <c r="RWS153" s="1059"/>
      <c r="RWT153" s="1058"/>
      <c r="RWU153" s="1059"/>
      <c r="RWV153" s="1058"/>
      <c r="RWW153" s="1059"/>
      <c r="RWX153" s="1058"/>
      <c r="RWY153" s="1059"/>
      <c r="RWZ153" s="1058"/>
      <c r="RXA153" s="1059"/>
      <c r="RXB153" s="1058"/>
      <c r="RXC153" s="1059"/>
      <c r="RXD153" s="1058"/>
      <c r="RXE153" s="1059"/>
      <c r="RXF153" s="1058"/>
      <c r="RXG153" s="1059"/>
      <c r="RXH153" s="1058"/>
      <c r="RXI153" s="1059"/>
      <c r="RXJ153" s="1058"/>
      <c r="RXK153" s="1059"/>
      <c r="RXL153" s="1058"/>
      <c r="RXM153" s="1059"/>
      <c r="RXN153" s="1058"/>
      <c r="RXO153" s="1059"/>
      <c r="RXP153" s="1058"/>
      <c r="RXQ153" s="1059"/>
      <c r="RXR153" s="1058"/>
      <c r="RXS153" s="1059"/>
      <c r="RXT153" s="1058"/>
      <c r="RXU153" s="1059"/>
      <c r="RXV153" s="1058"/>
      <c r="RXW153" s="1059"/>
      <c r="RXX153" s="1058"/>
      <c r="RXY153" s="1059"/>
      <c r="RXZ153" s="1058"/>
      <c r="RYA153" s="1059"/>
      <c r="RYB153" s="1058"/>
      <c r="RYC153" s="1059"/>
      <c r="RYD153" s="1058"/>
      <c r="RYE153" s="1059"/>
      <c r="RYF153" s="1058"/>
      <c r="RYG153" s="1059"/>
      <c r="RYH153" s="1058"/>
      <c r="RYI153" s="1059"/>
      <c r="RYJ153" s="1058"/>
      <c r="RYK153" s="1059"/>
      <c r="RYL153" s="1058"/>
      <c r="RYM153" s="1059"/>
      <c r="RYN153" s="1058"/>
      <c r="RYO153" s="1059"/>
      <c r="RYP153" s="1058"/>
      <c r="RYQ153" s="1059"/>
      <c r="RYR153" s="1058"/>
      <c r="RYS153" s="1059"/>
      <c r="RYT153" s="1058"/>
      <c r="RYU153" s="1059"/>
      <c r="RYV153" s="1058"/>
      <c r="RYW153" s="1059"/>
      <c r="RYX153" s="1058"/>
      <c r="RYY153" s="1059"/>
      <c r="RYZ153" s="1058"/>
      <c r="RZA153" s="1059"/>
      <c r="RZB153" s="1058"/>
      <c r="RZC153" s="1059"/>
      <c r="RZD153" s="1058"/>
      <c r="RZE153" s="1059"/>
      <c r="RZF153" s="1058"/>
      <c r="RZG153" s="1059"/>
      <c r="RZH153" s="1058"/>
      <c r="RZI153" s="1059"/>
      <c r="RZJ153" s="1058"/>
      <c r="RZK153" s="1059"/>
      <c r="RZL153" s="1058"/>
      <c r="RZM153" s="1059"/>
      <c r="RZN153" s="1058"/>
      <c r="RZO153" s="1059"/>
      <c r="RZP153" s="1058"/>
      <c r="RZQ153" s="1059"/>
      <c r="RZR153" s="1058"/>
      <c r="RZS153" s="1059"/>
      <c r="RZT153" s="1058"/>
      <c r="RZU153" s="1059"/>
      <c r="RZV153" s="1058"/>
      <c r="RZW153" s="1059"/>
      <c r="RZX153" s="1058"/>
      <c r="RZY153" s="1059"/>
      <c r="RZZ153" s="1058"/>
      <c r="SAA153" s="1059"/>
      <c r="SAB153" s="1058"/>
      <c r="SAC153" s="1059"/>
      <c r="SAD153" s="1058"/>
      <c r="SAE153" s="1059"/>
      <c r="SAF153" s="1058"/>
      <c r="SAG153" s="1059"/>
      <c r="SAH153" s="1058"/>
      <c r="SAI153" s="1059"/>
      <c r="SAJ153" s="1058"/>
      <c r="SAK153" s="1059"/>
      <c r="SAL153" s="1058"/>
      <c r="SAM153" s="1059"/>
      <c r="SAN153" s="1058"/>
      <c r="SAO153" s="1059"/>
      <c r="SAP153" s="1058"/>
      <c r="SAQ153" s="1059"/>
      <c r="SAR153" s="1058"/>
      <c r="SAS153" s="1059"/>
      <c r="SAT153" s="1058"/>
      <c r="SAU153" s="1059"/>
      <c r="SAV153" s="1058"/>
      <c r="SAW153" s="1059"/>
      <c r="SAX153" s="1058"/>
      <c r="SAY153" s="1059"/>
      <c r="SAZ153" s="1058"/>
      <c r="SBA153" s="1059"/>
      <c r="SBB153" s="1058"/>
      <c r="SBC153" s="1059"/>
      <c r="SBD153" s="1058"/>
      <c r="SBE153" s="1059"/>
      <c r="SBF153" s="1058"/>
      <c r="SBG153" s="1059"/>
      <c r="SBH153" s="1058"/>
      <c r="SBI153" s="1059"/>
      <c r="SBJ153" s="1058"/>
      <c r="SBK153" s="1059"/>
      <c r="SBL153" s="1058"/>
      <c r="SBM153" s="1059"/>
      <c r="SBN153" s="1058"/>
      <c r="SBO153" s="1059"/>
      <c r="SBP153" s="1058"/>
      <c r="SBQ153" s="1059"/>
      <c r="SBR153" s="1058"/>
      <c r="SBS153" s="1059"/>
      <c r="SBT153" s="1058"/>
      <c r="SBU153" s="1059"/>
      <c r="SBV153" s="1058"/>
      <c r="SBW153" s="1059"/>
      <c r="SBX153" s="1058"/>
      <c r="SBY153" s="1059"/>
      <c r="SBZ153" s="1058"/>
      <c r="SCA153" s="1059"/>
      <c r="SCB153" s="1058"/>
      <c r="SCC153" s="1059"/>
      <c r="SCD153" s="1058"/>
      <c r="SCE153" s="1059"/>
      <c r="SCF153" s="1058"/>
      <c r="SCG153" s="1059"/>
      <c r="SCH153" s="1058"/>
      <c r="SCI153" s="1059"/>
      <c r="SCJ153" s="1058"/>
      <c r="SCK153" s="1059"/>
      <c r="SCL153" s="1058"/>
      <c r="SCM153" s="1059"/>
      <c r="SCN153" s="1058"/>
      <c r="SCO153" s="1059"/>
      <c r="SCP153" s="1058"/>
      <c r="SCQ153" s="1059"/>
      <c r="SCR153" s="1058"/>
      <c r="SCS153" s="1059"/>
      <c r="SCT153" s="1058"/>
      <c r="SCU153" s="1059"/>
      <c r="SCV153" s="1058"/>
      <c r="SCW153" s="1059"/>
      <c r="SCX153" s="1058"/>
      <c r="SCY153" s="1059"/>
      <c r="SCZ153" s="1058"/>
      <c r="SDA153" s="1059"/>
      <c r="SDB153" s="1058"/>
      <c r="SDC153" s="1059"/>
      <c r="SDD153" s="1058"/>
      <c r="SDE153" s="1059"/>
      <c r="SDF153" s="1058"/>
      <c r="SDG153" s="1059"/>
      <c r="SDH153" s="1058"/>
      <c r="SDI153" s="1059"/>
      <c r="SDJ153" s="1058"/>
      <c r="SDK153" s="1059"/>
      <c r="SDL153" s="1058"/>
      <c r="SDM153" s="1059"/>
      <c r="SDN153" s="1058"/>
      <c r="SDO153" s="1059"/>
      <c r="SDP153" s="1058"/>
      <c r="SDQ153" s="1059"/>
      <c r="SDR153" s="1058"/>
      <c r="SDS153" s="1059"/>
      <c r="SDT153" s="1058"/>
      <c r="SDU153" s="1059"/>
      <c r="SDV153" s="1058"/>
      <c r="SDW153" s="1059"/>
      <c r="SDX153" s="1058"/>
      <c r="SDY153" s="1059"/>
      <c r="SDZ153" s="1058"/>
      <c r="SEA153" s="1059"/>
      <c r="SEB153" s="1058"/>
      <c r="SEC153" s="1059"/>
      <c r="SED153" s="1058"/>
      <c r="SEE153" s="1059"/>
      <c r="SEF153" s="1058"/>
      <c r="SEG153" s="1059"/>
      <c r="SEH153" s="1058"/>
      <c r="SEI153" s="1059"/>
      <c r="SEJ153" s="1058"/>
      <c r="SEK153" s="1059"/>
      <c r="SEL153" s="1058"/>
      <c r="SEM153" s="1059"/>
      <c r="SEN153" s="1058"/>
      <c r="SEO153" s="1059"/>
      <c r="SEP153" s="1058"/>
      <c r="SEQ153" s="1059"/>
      <c r="SER153" s="1058"/>
      <c r="SES153" s="1059"/>
      <c r="SET153" s="1058"/>
      <c r="SEU153" s="1059"/>
      <c r="SEV153" s="1058"/>
      <c r="SEW153" s="1059"/>
      <c r="SEX153" s="1058"/>
      <c r="SEY153" s="1059"/>
      <c r="SEZ153" s="1058"/>
      <c r="SFA153" s="1059"/>
      <c r="SFB153" s="1058"/>
      <c r="SFC153" s="1059"/>
      <c r="SFD153" s="1058"/>
      <c r="SFE153" s="1059"/>
      <c r="SFF153" s="1058"/>
      <c r="SFG153" s="1059"/>
      <c r="SFH153" s="1058"/>
      <c r="SFI153" s="1059"/>
      <c r="SFJ153" s="1058"/>
      <c r="SFK153" s="1059"/>
      <c r="SFL153" s="1058"/>
      <c r="SFM153" s="1059"/>
      <c r="SFN153" s="1058"/>
      <c r="SFO153" s="1059"/>
      <c r="SFP153" s="1058"/>
      <c r="SFQ153" s="1059"/>
      <c r="SFR153" s="1058"/>
      <c r="SFS153" s="1059"/>
      <c r="SFT153" s="1058"/>
      <c r="SFU153" s="1059"/>
      <c r="SFV153" s="1058"/>
      <c r="SFW153" s="1059"/>
      <c r="SFX153" s="1058"/>
      <c r="SFY153" s="1059"/>
      <c r="SFZ153" s="1058"/>
      <c r="SGA153" s="1059"/>
      <c r="SGB153" s="1058"/>
      <c r="SGC153" s="1059"/>
      <c r="SGD153" s="1058"/>
      <c r="SGE153" s="1059"/>
      <c r="SGF153" s="1058"/>
      <c r="SGG153" s="1059"/>
      <c r="SGH153" s="1058"/>
      <c r="SGI153" s="1059"/>
      <c r="SGJ153" s="1058"/>
      <c r="SGK153" s="1059"/>
      <c r="SGL153" s="1058"/>
      <c r="SGM153" s="1059"/>
      <c r="SGN153" s="1058"/>
      <c r="SGO153" s="1059"/>
      <c r="SGP153" s="1058"/>
      <c r="SGQ153" s="1059"/>
      <c r="SGR153" s="1058"/>
      <c r="SGS153" s="1059"/>
      <c r="SGT153" s="1058"/>
      <c r="SGU153" s="1059"/>
      <c r="SGV153" s="1058"/>
      <c r="SGW153" s="1059"/>
      <c r="SGX153" s="1058"/>
      <c r="SGY153" s="1059"/>
      <c r="SGZ153" s="1058"/>
      <c r="SHA153" s="1059"/>
      <c r="SHB153" s="1058"/>
      <c r="SHC153" s="1059"/>
      <c r="SHD153" s="1058"/>
      <c r="SHE153" s="1059"/>
      <c r="SHF153" s="1058"/>
      <c r="SHG153" s="1059"/>
      <c r="SHH153" s="1058"/>
      <c r="SHI153" s="1059"/>
      <c r="SHJ153" s="1058"/>
      <c r="SHK153" s="1059"/>
      <c r="SHL153" s="1058"/>
      <c r="SHM153" s="1059"/>
      <c r="SHN153" s="1058"/>
      <c r="SHO153" s="1059"/>
      <c r="SHP153" s="1058"/>
      <c r="SHQ153" s="1059"/>
      <c r="SHR153" s="1058"/>
      <c r="SHS153" s="1059"/>
      <c r="SHT153" s="1058"/>
      <c r="SHU153" s="1059"/>
      <c r="SHV153" s="1058"/>
      <c r="SHW153" s="1059"/>
      <c r="SHX153" s="1058"/>
      <c r="SHY153" s="1059"/>
      <c r="SHZ153" s="1058"/>
      <c r="SIA153" s="1059"/>
      <c r="SIB153" s="1058"/>
      <c r="SIC153" s="1059"/>
      <c r="SID153" s="1058"/>
      <c r="SIE153" s="1059"/>
      <c r="SIF153" s="1058"/>
      <c r="SIG153" s="1059"/>
      <c r="SIH153" s="1058"/>
      <c r="SII153" s="1059"/>
      <c r="SIJ153" s="1058"/>
      <c r="SIK153" s="1059"/>
      <c r="SIL153" s="1058"/>
      <c r="SIM153" s="1059"/>
      <c r="SIN153" s="1058"/>
      <c r="SIO153" s="1059"/>
      <c r="SIP153" s="1058"/>
      <c r="SIQ153" s="1059"/>
      <c r="SIR153" s="1058"/>
      <c r="SIS153" s="1059"/>
      <c r="SIT153" s="1058"/>
      <c r="SIU153" s="1059"/>
      <c r="SIV153" s="1058"/>
      <c r="SIW153" s="1059"/>
      <c r="SIX153" s="1058"/>
      <c r="SIY153" s="1059"/>
      <c r="SIZ153" s="1058"/>
      <c r="SJA153" s="1059"/>
      <c r="SJB153" s="1058"/>
      <c r="SJC153" s="1059"/>
      <c r="SJD153" s="1058"/>
      <c r="SJE153" s="1059"/>
      <c r="SJF153" s="1058"/>
      <c r="SJG153" s="1059"/>
      <c r="SJH153" s="1058"/>
      <c r="SJI153" s="1059"/>
      <c r="SJJ153" s="1058"/>
      <c r="SJK153" s="1059"/>
      <c r="SJL153" s="1058"/>
      <c r="SJM153" s="1059"/>
      <c r="SJN153" s="1058"/>
      <c r="SJO153" s="1059"/>
      <c r="SJP153" s="1058"/>
      <c r="SJQ153" s="1059"/>
      <c r="SJR153" s="1058"/>
      <c r="SJS153" s="1059"/>
      <c r="SJT153" s="1058"/>
      <c r="SJU153" s="1059"/>
      <c r="SJV153" s="1058"/>
      <c r="SJW153" s="1059"/>
      <c r="SJX153" s="1058"/>
      <c r="SJY153" s="1059"/>
      <c r="SJZ153" s="1058"/>
      <c r="SKA153" s="1059"/>
      <c r="SKB153" s="1058"/>
      <c r="SKC153" s="1059"/>
      <c r="SKD153" s="1058"/>
      <c r="SKE153" s="1059"/>
      <c r="SKF153" s="1058"/>
      <c r="SKG153" s="1059"/>
      <c r="SKH153" s="1058"/>
      <c r="SKI153" s="1059"/>
      <c r="SKJ153" s="1058"/>
      <c r="SKK153" s="1059"/>
      <c r="SKL153" s="1058"/>
      <c r="SKM153" s="1059"/>
      <c r="SKN153" s="1058"/>
      <c r="SKO153" s="1059"/>
      <c r="SKP153" s="1058"/>
      <c r="SKQ153" s="1059"/>
      <c r="SKR153" s="1058"/>
      <c r="SKS153" s="1059"/>
      <c r="SKT153" s="1058"/>
      <c r="SKU153" s="1059"/>
      <c r="SKV153" s="1058"/>
      <c r="SKW153" s="1059"/>
      <c r="SKX153" s="1058"/>
      <c r="SKY153" s="1059"/>
      <c r="SKZ153" s="1058"/>
      <c r="SLA153" s="1059"/>
      <c r="SLB153" s="1058"/>
      <c r="SLC153" s="1059"/>
      <c r="SLD153" s="1058"/>
      <c r="SLE153" s="1059"/>
      <c r="SLF153" s="1058"/>
      <c r="SLG153" s="1059"/>
      <c r="SLH153" s="1058"/>
      <c r="SLI153" s="1059"/>
      <c r="SLJ153" s="1058"/>
      <c r="SLK153" s="1059"/>
      <c r="SLL153" s="1058"/>
      <c r="SLM153" s="1059"/>
      <c r="SLN153" s="1058"/>
      <c r="SLO153" s="1059"/>
      <c r="SLP153" s="1058"/>
      <c r="SLQ153" s="1059"/>
      <c r="SLR153" s="1058"/>
      <c r="SLS153" s="1059"/>
      <c r="SLT153" s="1058"/>
      <c r="SLU153" s="1059"/>
      <c r="SLV153" s="1058"/>
      <c r="SLW153" s="1059"/>
      <c r="SLX153" s="1058"/>
      <c r="SLY153" s="1059"/>
      <c r="SLZ153" s="1058"/>
      <c r="SMA153" s="1059"/>
      <c r="SMB153" s="1058"/>
      <c r="SMC153" s="1059"/>
      <c r="SMD153" s="1058"/>
      <c r="SME153" s="1059"/>
      <c r="SMF153" s="1058"/>
      <c r="SMG153" s="1059"/>
      <c r="SMH153" s="1058"/>
      <c r="SMI153" s="1059"/>
      <c r="SMJ153" s="1058"/>
      <c r="SMK153" s="1059"/>
      <c r="SML153" s="1058"/>
      <c r="SMM153" s="1059"/>
      <c r="SMN153" s="1058"/>
      <c r="SMO153" s="1059"/>
      <c r="SMP153" s="1058"/>
      <c r="SMQ153" s="1059"/>
      <c r="SMR153" s="1058"/>
      <c r="SMS153" s="1059"/>
      <c r="SMT153" s="1058"/>
      <c r="SMU153" s="1059"/>
      <c r="SMV153" s="1058"/>
      <c r="SMW153" s="1059"/>
      <c r="SMX153" s="1058"/>
      <c r="SMY153" s="1059"/>
      <c r="SMZ153" s="1058"/>
      <c r="SNA153" s="1059"/>
      <c r="SNB153" s="1058"/>
      <c r="SNC153" s="1059"/>
      <c r="SND153" s="1058"/>
      <c r="SNE153" s="1059"/>
      <c r="SNF153" s="1058"/>
      <c r="SNG153" s="1059"/>
      <c r="SNH153" s="1058"/>
      <c r="SNI153" s="1059"/>
      <c r="SNJ153" s="1058"/>
      <c r="SNK153" s="1059"/>
      <c r="SNL153" s="1058"/>
      <c r="SNM153" s="1059"/>
      <c r="SNN153" s="1058"/>
      <c r="SNO153" s="1059"/>
      <c r="SNP153" s="1058"/>
      <c r="SNQ153" s="1059"/>
      <c r="SNR153" s="1058"/>
      <c r="SNS153" s="1059"/>
      <c r="SNT153" s="1058"/>
      <c r="SNU153" s="1059"/>
      <c r="SNV153" s="1058"/>
      <c r="SNW153" s="1059"/>
      <c r="SNX153" s="1058"/>
      <c r="SNY153" s="1059"/>
      <c r="SNZ153" s="1058"/>
      <c r="SOA153" s="1059"/>
      <c r="SOB153" s="1058"/>
      <c r="SOC153" s="1059"/>
      <c r="SOD153" s="1058"/>
      <c r="SOE153" s="1059"/>
      <c r="SOF153" s="1058"/>
      <c r="SOG153" s="1059"/>
      <c r="SOH153" s="1058"/>
      <c r="SOI153" s="1059"/>
      <c r="SOJ153" s="1058"/>
      <c r="SOK153" s="1059"/>
      <c r="SOL153" s="1058"/>
      <c r="SOM153" s="1059"/>
      <c r="SON153" s="1058"/>
      <c r="SOO153" s="1059"/>
      <c r="SOP153" s="1058"/>
      <c r="SOQ153" s="1059"/>
      <c r="SOR153" s="1058"/>
      <c r="SOS153" s="1059"/>
      <c r="SOT153" s="1058"/>
      <c r="SOU153" s="1059"/>
      <c r="SOV153" s="1058"/>
      <c r="SOW153" s="1059"/>
      <c r="SOX153" s="1058"/>
      <c r="SOY153" s="1059"/>
      <c r="SOZ153" s="1058"/>
      <c r="SPA153" s="1059"/>
      <c r="SPB153" s="1058"/>
      <c r="SPC153" s="1059"/>
      <c r="SPD153" s="1058"/>
      <c r="SPE153" s="1059"/>
      <c r="SPF153" s="1058"/>
      <c r="SPG153" s="1059"/>
      <c r="SPH153" s="1058"/>
      <c r="SPI153" s="1059"/>
      <c r="SPJ153" s="1058"/>
      <c r="SPK153" s="1059"/>
      <c r="SPL153" s="1058"/>
      <c r="SPM153" s="1059"/>
      <c r="SPN153" s="1058"/>
      <c r="SPO153" s="1059"/>
      <c r="SPP153" s="1058"/>
      <c r="SPQ153" s="1059"/>
      <c r="SPR153" s="1058"/>
      <c r="SPS153" s="1059"/>
      <c r="SPT153" s="1058"/>
      <c r="SPU153" s="1059"/>
      <c r="SPV153" s="1058"/>
      <c r="SPW153" s="1059"/>
      <c r="SPX153" s="1058"/>
      <c r="SPY153" s="1059"/>
      <c r="SPZ153" s="1058"/>
      <c r="SQA153" s="1059"/>
      <c r="SQB153" s="1058"/>
      <c r="SQC153" s="1059"/>
      <c r="SQD153" s="1058"/>
      <c r="SQE153" s="1059"/>
      <c r="SQF153" s="1058"/>
      <c r="SQG153" s="1059"/>
      <c r="SQH153" s="1058"/>
      <c r="SQI153" s="1059"/>
      <c r="SQJ153" s="1058"/>
      <c r="SQK153" s="1059"/>
      <c r="SQL153" s="1058"/>
      <c r="SQM153" s="1059"/>
      <c r="SQN153" s="1058"/>
      <c r="SQO153" s="1059"/>
      <c r="SQP153" s="1058"/>
      <c r="SQQ153" s="1059"/>
      <c r="SQR153" s="1058"/>
      <c r="SQS153" s="1059"/>
      <c r="SQT153" s="1058"/>
      <c r="SQU153" s="1059"/>
      <c r="SQV153" s="1058"/>
      <c r="SQW153" s="1059"/>
      <c r="SQX153" s="1058"/>
      <c r="SQY153" s="1059"/>
      <c r="SQZ153" s="1058"/>
      <c r="SRA153" s="1059"/>
      <c r="SRB153" s="1058"/>
      <c r="SRC153" s="1059"/>
      <c r="SRD153" s="1058"/>
      <c r="SRE153" s="1059"/>
      <c r="SRF153" s="1058"/>
      <c r="SRG153" s="1059"/>
      <c r="SRH153" s="1058"/>
      <c r="SRI153" s="1059"/>
      <c r="SRJ153" s="1058"/>
      <c r="SRK153" s="1059"/>
      <c r="SRL153" s="1058"/>
      <c r="SRM153" s="1059"/>
      <c r="SRN153" s="1058"/>
      <c r="SRO153" s="1059"/>
      <c r="SRP153" s="1058"/>
      <c r="SRQ153" s="1059"/>
      <c r="SRR153" s="1058"/>
      <c r="SRS153" s="1059"/>
      <c r="SRT153" s="1058"/>
      <c r="SRU153" s="1059"/>
      <c r="SRV153" s="1058"/>
      <c r="SRW153" s="1059"/>
      <c r="SRX153" s="1058"/>
      <c r="SRY153" s="1059"/>
      <c r="SRZ153" s="1058"/>
      <c r="SSA153" s="1059"/>
      <c r="SSB153" s="1058"/>
      <c r="SSC153" s="1059"/>
      <c r="SSD153" s="1058"/>
      <c r="SSE153" s="1059"/>
      <c r="SSF153" s="1058"/>
      <c r="SSG153" s="1059"/>
      <c r="SSH153" s="1058"/>
      <c r="SSI153" s="1059"/>
      <c r="SSJ153" s="1058"/>
      <c r="SSK153" s="1059"/>
      <c r="SSL153" s="1058"/>
      <c r="SSM153" s="1059"/>
      <c r="SSN153" s="1058"/>
      <c r="SSO153" s="1059"/>
      <c r="SSP153" s="1058"/>
      <c r="SSQ153" s="1059"/>
      <c r="SSR153" s="1058"/>
      <c r="SSS153" s="1059"/>
      <c r="SST153" s="1058"/>
      <c r="SSU153" s="1059"/>
      <c r="SSV153" s="1058"/>
      <c r="SSW153" s="1059"/>
      <c r="SSX153" s="1058"/>
      <c r="SSY153" s="1059"/>
      <c r="SSZ153" s="1058"/>
      <c r="STA153" s="1059"/>
      <c r="STB153" s="1058"/>
      <c r="STC153" s="1059"/>
      <c r="STD153" s="1058"/>
      <c r="STE153" s="1059"/>
      <c r="STF153" s="1058"/>
      <c r="STG153" s="1059"/>
      <c r="STH153" s="1058"/>
      <c r="STI153" s="1059"/>
      <c r="STJ153" s="1058"/>
      <c r="STK153" s="1059"/>
      <c r="STL153" s="1058"/>
      <c r="STM153" s="1059"/>
      <c r="STN153" s="1058"/>
      <c r="STO153" s="1059"/>
      <c r="STP153" s="1058"/>
      <c r="STQ153" s="1059"/>
      <c r="STR153" s="1058"/>
      <c r="STS153" s="1059"/>
      <c r="STT153" s="1058"/>
      <c r="STU153" s="1059"/>
      <c r="STV153" s="1058"/>
      <c r="STW153" s="1059"/>
      <c r="STX153" s="1058"/>
      <c r="STY153" s="1059"/>
      <c r="STZ153" s="1058"/>
      <c r="SUA153" s="1059"/>
      <c r="SUB153" s="1058"/>
      <c r="SUC153" s="1059"/>
      <c r="SUD153" s="1058"/>
      <c r="SUE153" s="1059"/>
      <c r="SUF153" s="1058"/>
      <c r="SUG153" s="1059"/>
      <c r="SUH153" s="1058"/>
      <c r="SUI153" s="1059"/>
      <c r="SUJ153" s="1058"/>
      <c r="SUK153" s="1059"/>
      <c r="SUL153" s="1058"/>
      <c r="SUM153" s="1059"/>
      <c r="SUN153" s="1058"/>
      <c r="SUO153" s="1059"/>
      <c r="SUP153" s="1058"/>
      <c r="SUQ153" s="1059"/>
      <c r="SUR153" s="1058"/>
      <c r="SUS153" s="1059"/>
      <c r="SUT153" s="1058"/>
      <c r="SUU153" s="1059"/>
      <c r="SUV153" s="1058"/>
      <c r="SUW153" s="1059"/>
      <c r="SUX153" s="1058"/>
      <c r="SUY153" s="1059"/>
      <c r="SUZ153" s="1058"/>
      <c r="SVA153" s="1059"/>
      <c r="SVB153" s="1058"/>
      <c r="SVC153" s="1059"/>
      <c r="SVD153" s="1058"/>
      <c r="SVE153" s="1059"/>
      <c r="SVF153" s="1058"/>
      <c r="SVG153" s="1059"/>
      <c r="SVH153" s="1058"/>
      <c r="SVI153" s="1059"/>
      <c r="SVJ153" s="1058"/>
      <c r="SVK153" s="1059"/>
      <c r="SVL153" s="1058"/>
      <c r="SVM153" s="1059"/>
      <c r="SVN153" s="1058"/>
      <c r="SVO153" s="1059"/>
      <c r="SVP153" s="1058"/>
      <c r="SVQ153" s="1059"/>
      <c r="SVR153" s="1058"/>
      <c r="SVS153" s="1059"/>
      <c r="SVT153" s="1058"/>
      <c r="SVU153" s="1059"/>
      <c r="SVV153" s="1058"/>
      <c r="SVW153" s="1059"/>
      <c r="SVX153" s="1058"/>
      <c r="SVY153" s="1059"/>
      <c r="SVZ153" s="1058"/>
      <c r="SWA153" s="1059"/>
      <c r="SWB153" s="1058"/>
      <c r="SWC153" s="1059"/>
      <c r="SWD153" s="1058"/>
      <c r="SWE153" s="1059"/>
      <c r="SWF153" s="1058"/>
      <c r="SWG153" s="1059"/>
      <c r="SWH153" s="1058"/>
      <c r="SWI153" s="1059"/>
      <c r="SWJ153" s="1058"/>
      <c r="SWK153" s="1059"/>
      <c r="SWL153" s="1058"/>
      <c r="SWM153" s="1059"/>
      <c r="SWN153" s="1058"/>
      <c r="SWO153" s="1059"/>
      <c r="SWP153" s="1058"/>
      <c r="SWQ153" s="1059"/>
      <c r="SWR153" s="1058"/>
      <c r="SWS153" s="1059"/>
      <c r="SWT153" s="1058"/>
      <c r="SWU153" s="1059"/>
      <c r="SWV153" s="1058"/>
      <c r="SWW153" s="1059"/>
      <c r="SWX153" s="1058"/>
      <c r="SWY153" s="1059"/>
      <c r="SWZ153" s="1058"/>
      <c r="SXA153" s="1059"/>
      <c r="SXB153" s="1058"/>
      <c r="SXC153" s="1059"/>
      <c r="SXD153" s="1058"/>
      <c r="SXE153" s="1059"/>
      <c r="SXF153" s="1058"/>
      <c r="SXG153" s="1059"/>
      <c r="SXH153" s="1058"/>
      <c r="SXI153" s="1059"/>
      <c r="SXJ153" s="1058"/>
      <c r="SXK153" s="1059"/>
      <c r="SXL153" s="1058"/>
      <c r="SXM153" s="1059"/>
      <c r="SXN153" s="1058"/>
      <c r="SXO153" s="1059"/>
      <c r="SXP153" s="1058"/>
      <c r="SXQ153" s="1059"/>
      <c r="SXR153" s="1058"/>
      <c r="SXS153" s="1059"/>
      <c r="SXT153" s="1058"/>
      <c r="SXU153" s="1059"/>
      <c r="SXV153" s="1058"/>
      <c r="SXW153" s="1059"/>
      <c r="SXX153" s="1058"/>
      <c r="SXY153" s="1059"/>
      <c r="SXZ153" s="1058"/>
      <c r="SYA153" s="1059"/>
      <c r="SYB153" s="1058"/>
      <c r="SYC153" s="1059"/>
      <c r="SYD153" s="1058"/>
      <c r="SYE153" s="1059"/>
      <c r="SYF153" s="1058"/>
      <c r="SYG153" s="1059"/>
      <c r="SYH153" s="1058"/>
      <c r="SYI153" s="1059"/>
      <c r="SYJ153" s="1058"/>
      <c r="SYK153" s="1059"/>
      <c r="SYL153" s="1058"/>
      <c r="SYM153" s="1059"/>
      <c r="SYN153" s="1058"/>
      <c r="SYO153" s="1059"/>
      <c r="SYP153" s="1058"/>
      <c r="SYQ153" s="1059"/>
      <c r="SYR153" s="1058"/>
      <c r="SYS153" s="1059"/>
      <c r="SYT153" s="1058"/>
      <c r="SYU153" s="1059"/>
      <c r="SYV153" s="1058"/>
      <c r="SYW153" s="1059"/>
      <c r="SYX153" s="1058"/>
      <c r="SYY153" s="1059"/>
      <c r="SYZ153" s="1058"/>
      <c r="SZA153" s="1059"/>
      <c r="SZB153" s="1058"/>
      <c r="SZC153" s="1059"/>
      <c r="SZD153" s="1058"/>
      <c r="SZE153" s="1059"/>
      <c r="SZF153" s="1058"/>
      <c r="SZG153" s="1059"/>
      <c r="SZH153" s="1058"/>
      <c r="SZI153" s="1059"/>
      <c r="SZJ153" s="1058"/>
      <c r="SZK153" s="1059"/>
      <c r="SZL153" s="1058"/>
      <c r="SZM153" s="1059"/>
      <c r="SZN153" s="1058"/>
      <c r="SZO153" s="1059"/>
      <c r="SZP153" s="1058"/>
      <c r="SZQ153" s="1059"/>
      <c r="SZR153" s="1058"/>
      <c r="SZS153" s="1059"/>
      <c r="SZT153" s="1058"/>
      <c r="SZU153" s="1059"/>
      <c r="SZV153" s="1058"/>
      <c r="SZW153" s="1059"/>
      <c r="SZX153" s="1058"/>
      <c r="SZY153" s="1059"/>
      <c r="SZZ153" s="1058"/>
      <c r="TAA153" s="1059"/>
      <c r="TAB153" s="1058"/>
      <c r="TAC153" s="1059"/>
      <c r="TAD153" s="1058"/>
      <c r="TAE153" s="1059"/>
      <c r="TAF153" s="1058"/>
      <c r="TAG153" s="1059"/>
      <c r="TAH153" s="1058"/>
      <c r="TAI153" s="1059"/>
      <c r="TAJ153" s="1058"/>
      <c r="TAK153" s="1059"/>
      <c r="TAL153" s="1058"/>
      <c r="TAM153" s="1059"/>
      <c r="TAN153" s="1058"/>
      <c r="TAO153" s="1059"/>
      <c r="TAP153" s="1058"/>
      <c r="TAQ153" s="1059"/>
      <c r="TAR153" s="1058"/>
      <c r="TAS153" s="1059"/>
      <c r="TAT153" s="1058"/>
      <c r="TAU153" s="1059"/>
      <c r="TAV153" s="1058"/>
      <c r="TAW153" s="1059"/>
      <c r="TAX153" s="1058"/>
      <c r="TAY153" s="1059"/>
      <c r="TAZ153" s="1058"/>
      <c r="TBA153" s="1059"/>
      <c r="TBB153" s="1058"/>
      <c r="TBC153" s="1059"/>
      <c r="TBD153" s="1058"/>
      <c r="TBE153" s="1059"/>
      <c r="TBF153" s="1058"/>
      <c r="TBG153" s="1059"/>
      <c r="TBH153" s="1058"/>
      <c r="TBI153" s="1059"/>
      <c r="TBJ153" s="1058"/>
      <c r="TBK153" s="1059"/>
      <c r="TBL153" s="1058"/>
      <c r="TBM153" s="1059"/>
      <c r="TBN153" s="1058"/>
      <c r="TBO153" s="1059"/>
      <c r="TBP153" s="1058"/>
      <c r="TBQ153" s="1059"/>
      <c r="TBR153" s="1058"/>
      <c r="TBS153" s="1059"/>
      <c r="TBT153" s="1058"/>
      <c r="TBU153" s="1059"/>
      <c r="TBV153" s="1058"/>
      <c r="TBW153" s="1059"/>
      <c r="TBX153" s="1058"/>
      <c r="TBY153" s="1059"/>
      <c r="TBZ153" s="1058"/>
      <c r="TCA153" s="1059"/>
      <c r="TCB153" s="1058"/>
      <c r="TCC153" s="1059"/>
      <c r="TCD153" s="1058"/>
      <c r="TCE153" s="1059"/>
      <c r="TCF153" s="1058"/>
      <c r="TCG153" s="1059"/>
      <c r="TCH153" s="1058"/>
      <c r="TCI153" s="1059"/>
      <c r="TCJ153" s="1058"/>
      <c r="TCK153" s="1059"/>
      <c r="TCL153" s="1058"/>
      <c r="TCM153" s="1059"/>
      <c r="TCN153" s="1058"/>
      <c r="TCO153" s="1059"/>
      <c r="TCP153" s="1058"/>
      <c r="TCQ153" s="1059"/>
      <c r="TCR153" s="1058"/>
      <c r="TCS153" s="1059"/>
      <c r="TCT153" s="1058"/>
      <c r="TCU153" s="1059"/>
      <c r="TCV153" s="1058"/>
      <c r="TCW153" s="1059"/>
      <c r="TCX153" s="1058"/>
      <c r="TCY153" s="1059"/>
      <c r="TCZ153" s="1058"/>
      <c r="TDA153" s="1059"/>
      <c r="TDB153" s="1058"/>
      <c r="TDC153" s="1059"/>
      <c r="TDD153" s="1058"/>
      <c r="TDE153" s="1059"/>
      <c r="TDF153" s="1058"/>
      <c r="TDG153" s="1059"/>
      <c r="TDH153" s="1058"/>
      <c r="TDI153" s="1059"/>
      <c r="TDJ153" s="1058"/>
      <c r="TDK153" s="1059"/>
      <c r="TDL153" s="1058"/>
      <c r="TDM153" s="1059"/>
      <c r="TDN153" s="1058"/>
      <c r="TDO153" s="1059"/>
      <c r="TDP153" s="1058"/>
      <c r="TDQ153" s="1059"/>
      <c r="TDR153" s="1058"/>
      <c r="TDS153" s="1059"/>
      <c r="TDT153" s="1058"/>
      <c r="TDU153" s="1059"/>
      <c r="TDV153" s="1058"/>
      <c r="TDW153" s="1059"/>
      <c r="TDX153" s="1058"/>
      <c r="TDY153" s="1059"/>
      <c r="TDZ153" s="1058"/>
      <c r="TEA153" s="1059"/>
      <c r="TEB153" s="1058"/>
      <c r="TEC153" s="1059"/>
      <c r="TED153" s="1058"/>
      <c r="TEE153" s="1059"/>
      <c r="TEF153" s="1058"/>
      <c r="TEG153" s="1059"/>
      <c r="TEH153" s="1058"/>
      <c r="TEI153" s="1059"/>
      <c r="TEJ153" s="1058"/>
      <c r="TEK153" s="1059"/>
      <c r="TEL153" s="1058"/>
      <c r="TEM153" s="1059"/>
      <c r="TEN153" s="1058"/>
      <c r="TEO153" s="1059"/>
      <c r="TEP153" s="1058"/>
      <c r="TEQ153" s="1059"/>
      <c r="TER153" s="1058"/>
      <c r="TES153" s="1059"/>
      <c r="TET153" s="1058"/>
      <c r="TEU153" s="1059"/>
      <c r="TEV153" s="1058"/>
      <c r="TEW153" s="1059"/>
      <c r="TEX153" s="1058"/>
      <c r="TEY153" s="1059"/>
      <c r="TEZ153" s="1058"/>
      <c r="TFA153" s="1059"/>
      <c r="TFB153" s="1058"/>
      <c r="TFC153" s="1059"/>
      <c r="TFD153" s="1058"/>
      <c r="TFE153" s="1059"/>
      <c r="TFF153" s="1058"/>
      <c r="TFG153" s="1059"/>
      <c r="TFH153" s="1058"/>
      <c r="TFI153" s="1059"/>
      <c r="TFJ153" s="1058"/>
      <c r="TFK153" s="1059"/>
      <c r="TFL153" s="1058"/>
      <c r="TFM153" s="1059"/>
      <c r="TFN153" s="1058"/>
      <c r="TFO153" s="1059"/>
      <c r="TFP153" s="1058"/>
      <c r="TFQ153" s="1059"/>
      <c r="TFR153" s="1058"/>
      <c r="TFS153" s="1059"/>
      <c r="TFT153" s="1058"/>
      <c r="TFU153" s="1059"/>
      <c r="TFV153" s="1058"/>
      <c r="TFW153" s="1059"/>
      <c r="TFX153" s="1058"/>
      <c r="TFY153" s="1059"/>
      <c r="TFZ153" s="1058"/>
      <c r="TGA153" s="1059"/>
      <c r="TGB153" s="1058"/>
      <c r="TGC153" s="1059"/>
      <c r="TGD153" s="1058"/>
      <c r="TGE153" s="1059"/>
      <c r="TGF153" s="1058"/>
      <c r="TGG153" s="1059"/>
      <c r="TGH153" s="1058"/>
      <c r="TGI153" s="1059"/>
      <c r="TGJ153" s="1058"/>
      <c r="TGK153" s="1059"/>
      <c r="TGL153" s="1058"/>
      <c r="TGM153" s="1059"/>
      <c r="TGN153" s="1058"/>
      <c r="TGO153" s="1059"/>
      <c r="TGP153" s="1058"/>
      <c r="TGQ153" s="1059"/>
      <c r="TGR153" s="1058"/>
      <c r="TGS153" s="1059"/>
      <c r="TGT153" s="1058"/>
      <c r="TGU153" s="1059"/>
      <c r="TGV153" s="1058"/>
      <c r="TGW153" s="1059"/>
      <c r="TGX153" s="1058"/>
      <c r="TGY153" s="1059"/>
      <c r="TGZ153" s="1058"/>
      <c r="THA153" s="1059"/>
      <c r="THB153" s="1058"/>
      <c r="THC153" s="1059"/>
      <c r="THD153" s="1058"/>
      <c r="THE153" s="1059"/>
      <c r="THF153" s="1058"/>
      <c r="THG153" s="1059"/>
      <c r="THH153" s="1058"/>
      <c r="THI153" s="1059"/>
      <c r="THJ153" s="1058"/>
      <c r="THK153" s="1059"/>
      <c r="THL153" s="1058"/>
      <c r="THM153" s="1059"/>
      <c r="THN153" s="1058"/>
      <c r="THO153" s="1059"/>
      <c r="THP153" s="1058"/>
      <c r="THQ153" s="1059"/>
      <c r="THR153" s="1058"/>
      <c r="THS153" s="1059"/>
      <c r="THT153" s="1058"/>
      <c r="THU153" s="1059"/>
      <c r="THV153" s="1058"/>
      <c r="THW153" s="1059"/>
      <c r="THX153" s="1058"/>
      <c r="THY153" s="1059"/>
      <c r="THZ153" s="1058"/>
      <c r="TIA153" s="1059"/>
      <c r="TIB153" s="1058"/>
      <c r="TIC153" s="1059"/>
      <c r="TID153" s="1058"/>
      <c r="TIE153" s="1059"/>
      <c r="TIF153" s="1058"/>
      <c r="TIG153" s="1059"/>
      <c r="TIH153" s="1058"/>
      <c r="TII153" s="1059"/>
      <c r="TIJ153" s="1058"/>
      <c r="TIK153" s="1059"/>
      <c r="TIL153" s="1058"/>
      <c r="TIM153" s="1059"/>
      <c r="TIN153" s="1058"/>
      <c r="TIO153" s="1059"/>
      <c r="TIP153" s="1058"/>
      <c r="TIQ153" s="1059"/>
      <c r="TIR153" s="1058"/>
      <c r="TIS153" s="1059"/>
      <c r="TIT153" s="1058"/>
      <c r="TIU153" s="1059"/>
      <c r="TIV153" s="1058"/>
      <c r="TIW153" s="1059"/>
      <c r="TIX153" s="1058"/>
      <c r="TIY153" s="1059"/>
      <c r="TIZ153" s="1058"/>
      <c r="TJA153" s="1059"/>
      <c r="TJB153" s="1058"/>
      <c r="TJC153" s="1059"/>
      <c r="TJD153" s="1058"/>
      <c r="TJE153" s="1059"/>
      <c r="TJF153" s="1058"/>
      <c r="TJG153" s="1059"/>
      <c r="TJH153" s="1058"/>
      <c r="TJI153" s="1059"/>
      <c r="TJJ153" s="1058"/>
      <c r="TJK153" s="1059"/>
      <c r="TJL153" s="1058"/>
      <c r="TJM153" s="1059"/>
      <c r="TJN153" s="1058"/>
      <c r="TJO153" s="1059"/>
      <c r="TJP153" s="1058"/>
      <c r="TJQ153" s="1059"/>
      <c r="TJR153" s="1058"/>
      <c r="TJS153" s="1059"/>
      <c r="TJT153" s="1058"/>
      <c r="TJU153" s="1059"/>
      <c r="TJV153" s="1058"/>
      <c r="TJW153" s="1059"/>
      <c r="TJX153" s="1058"/>
      <c r="TJY153" s="1059"/>
      <c r="TJZ153" s="1058"/>
      <c r="TKA153" s="1059"/>
      <c r="TKB153" s="1058"/>
      <c r="TKC153" s="1059"/>
      <c r="TKD153" s="1058"/>
      <c r="TKE153" s="1059"/>
      <c r="TKF153" s="1058"/>
      <c r="TKG153" s="1059"/>
      <c r="TKH153" s="1058"/>
      <c r="TKI153" s="1059"/>
      <c r="TKJ153" s="1058"/>
      <c r="TKK153" s="1059"/>
      <c r="TKL153" s="1058"/>
      <c r="TKM153" s="1059"/>
      <c r="TKN153" s="1058"/>
      <c r="TKO153" s="1059"/>
      <c r="TKP153" s="1058"/>
      <c r="TKQ153" s="1059"/>
      <c r="TKR153" s="1058"/>
      <c r="TKS153" s="1059"/>
      <c r="TKT153" s="1058"/>
      <c r="TKU153" s="1059"/>
      <c r="TKV153" s="1058"/>
      <c r="TKW153" s="1059"/>
      <c r="TKX153" s="1058"/>
      <c r="TKY153" s="1059"/>
      <c r="TKZ153" s="1058"/>
      <c r="TLA153" s="1059"/>
      <c r="TLB153" s="1058"/>
      <c r="TLC153" s="1059"/>
      <c r="TLD153" s="1058"/>
      <c r="TLE153" s="1059"/>
      <c r="TLF153" s="1058"/>
      <c r="TLG153" s="1059"/>
      <c r="TLH153" s="1058"/>
      <c r="TLI153" s="1059"/>
      <c r="TLJ153" s="1058"/>
      <c r="TLK153" s="1059"/>
      <c r="TLL153" s="1058"/>
      <c r="TLM153" s="1059"/>
      <c r="TLN153" s="1058"/>
      <c r="TLO153" s="1059"/>
      <c r="TLP153" s="1058"/>
      <c r="TLQ153" s="1059"/>
      <c r="TLR153" s="1058"/>
      <c r="TLS153" s="1059"/>
      <c r="TLT153" s="1058"/>
      <c r="TLU153" s="1059"/>
      <c r="TLV153" s="1058"/>
      <c r="TLW153" s="1059"/>
      <c r="TLX153" s="1058"/>
      <c r="TLY153" s="1059"/>
      <c r="TLZ153" s="1058"/>
      <c r="TMA153" s="1059"/>
      <c r="TMB153" s="1058"/>
      <c r="TMC153" s="1059"/>
      <c r="TMD153" s="1058"/>
      <c r="TME153" s="1059"/>
      <c r="TMF153" s="1058"/>
      <c r="TMG153" s="1059"/>
      <c r="TMH153" s="1058"/>
      <c r="TMI153" s="1059"/>
      <c r="TMJ153" s="1058"/>
      <c r="TMK153" s="1059"/>
      <c r="TML153" s="1058"/>
      <c r="TMM153" s="1059"/>
      <c r="TMN153" s="1058"/>
      <c r="TMO153" s="1059"/>
      <c r="TMP153" s="1058"/>
      <c r="TMQ153" s="1059"/>
      <c r="TMR153" s="1058"/>
      <c r="TMS153" s="1059"/>
      <c r="TMT153" s="1058"/>
      <c r="TMU153" s="1059"/>
      <c r="TMV153" s="1058"/>
      <c r="TMW153" s="1059"/>
      <c r="TMX153" s="1058"/>
      <c r="TMY153" s="1059"/>
      <c r="TMZ153" s="1058"/>
      <c r="TNA153" s="1059"/>
      <c r="TNB153" s="1058"/>
      <c r="TNC153" s="1059"/>
      <c r="TND153" s="1058"/>
      <c r="TNE153" s="1059"/>
      <c r="TNF153" s="1058"/>
      <c r="TNG153" s="1059"/>
      <c r="TNH153" s="1058"/>
      <c r="TNI153" s="1059"/>
      <c r="TNJ153" s="1058"/>
      <c r="TNK153" s="1059"/>
      <c r="TNL153" s="1058"/>
      <c r="TNM153" s="1059"/>
      <c r="TNN153" s="1058"/>
      <c r="TNO153" s="1059"/>
      <c r="TNP153" s="1058"/>
      <c r="TNQ153" s="1059"/>
      <c r="TNR153" s="1058"/>
      <c r="TNS153" s="1059"/>
      <c r="TNT153" s="1058"/>
      <c r="TNU153" s="1059"/>
      <c r="TNV153" s="1058"/>
      <c r="TNW153" s="1059"/>
      <c r="TNX153" s="1058"/>
      <c r="TNY153" s="1059"/>
      <c r="TNZ153" s="1058"/>
      <c r="TOA153" s="1059"/>
      <c r="TOB153" s="1058"/>
      <c r="TOC153" s="1059"/>
      <c r="TOD153" s="1058"/>
      <c r="TOE153" s="1059"/>
      <c r="TOF153" s="1058"/>
      <c r="TOG153" s="1059"/>
      <c r="TOH153" s="1058"/>
      <c r="TOI153" s="1059"/>
      <c r="TOJ153" s="1058"/>
      <c r="TOK153" s="1059"/>
      <c r="TOL153" s="1058"/>
      <c r="TOM153" s="1059"/>
      <c r="TON153" s="1058"/>
      <c r="TOO153" s="1059"/>
      <c r="TOP153" s="1058"/>
      <c r="TOQ153" s="1059"/>
      <c r="TOR153" s="1058"/>
      <c r="TOS153" s="1059"/>
      <c r="TOT153" s="1058"/>
      <c r="TOU153" s="1059"/>
      <c r="TOV153" s="1058"/>
      <c r="TOW153" s="1059"/>
      <c r="TOX153" s="1058"/>
      <c r="TOY153" s="1059"/>
      <c r="TOZ153" s="1058"/>
      <c r="TPA153" s="1059"/>
      <c r="TPB153" s="1058"/>
      <c r="TPC153" s="1059"/>
      <c r="TPD153" s="1058"/>
      <c r="TPE153" s="1059"/>
      <c r="TPF153" s="1058"/>
      <c r="TPG153" s="1059"/>
      <c r="TPH153" s="1058"/>
      <c r="TPI153" s="1059"/>
      <c r="TPJ153" s="1058"/>
      <c r="TPK153" s="1059"/>
      <c r="TPL153" s="1058"/>
      <c r="TPM153" s="1059"/>
      <c r="TPN153" s="1058"/>
      <c r="TPO153" s="1059"/>
      <c r="TPP153" s="1058"/>
      <c r="TPQ153" s="1059"/>
      <c r="TPR153" s="1058"/>
      <c r="TPS153" s="1059"/>
      <c r="TPT153" s="1058"/>
      <c r="TPU153" s="1059"/>
      <c r="TPV153" s="1058"/>
      <c r="TPW153" s="1059"/>
      <c r="TPX153" s="1058"/>
      <c r="TPY153" s="1059"/>
      <c r="TPZ153" s="1058"/>
      <c r="TQA153" s="1059"/>
      <c r="TQB153" s="1058"/>
      <c r="TQC153" s="1059"/>
      <c r="TQD153" s="1058"/>
      <c r="TQE153" s="1059"/>
      <c r="TQF153" s="1058"/>
      <c r="TQG153" s="1059"/>
      <c r="TQH153" s="1058"/>
      <c r="TQI153" s="1059"/>
      <c r="TQJ153" s="1058"/>
      <c r="TQK153" s="1059"/>
      <c r="TQL153" s="1058"/>
      <c r="TQM153" s="1059"/>
      <c r="TQN153" s="1058"/>
      <c r="TQO153" s="1059"/>
      <c r="TQP153" s="1058"/>
      <c r="TQQ153" s="1059"/>
      <c r="TQR153" s="1058"/>
      <c r="TQS153" s="1059"/>
      <c r="TQT153" s="1058"/>
      <c r="TQU153" s="1059"/>
      <c r="TQV153" s="1058"/>
      <c r="TQW153" s="1059"/>
      <c r="TQX153" s="1058"/>
      <c r="TQY153" s="1059"/>
      <c r="TQZ153" s="1058"/>
      <c r="TRA153" s="1059"/>
      <c r="TRB153" s="1058"/>
      <c r="TRC153" s="1059"/>
      <c r="TRD153" s="1058"/>
      <c r="TRE153" s="1059"/>
      <c r="TRF153" s="1058"/>
      <c r="TRG153" s="1059"/>
      <c r="TRH153" s="1058"/>
      <c r="TRI153" s="1059"/>
      <c r="TRJ153" s="1058"/>
      <c r="TRK153" s="1059"/>
      <c r="TRL153" s="1058"/>
      <c r="TRM153" s="1059"/>
      <c r="TRN153" s="1058"/>
      <c r="TRO153" s="1059"/>
      <c r="TRP153" s="1058"/>
      <c r="TRQ153" s="1059"/>
      <c r="TRR153" s="1058"/>
      <c r="TRS153" s="1059"/>
      <c r="TRT153" s="1058"/>
      <c r="TRU153" s="1059"/>
      <c r="TRV153" s="1058"/>
      <c r="TRW153" s="1059"/>
      <c r="TRX153" s="1058"/>
      <c r="TRY153" s="1059"/>
      <c r="TRZ153" s="1058"/>
      <c r="TSA153" s="1059"/>
      <c r="TSB153" s="1058"/>
      <c r="TSC153" s="1059"/>
      <c r="TSD153" s="1058"/>
      <c r="TSE153" s="1059"/>
      <c r="TSF153" s="1058"/>
      <c r="TSG153" s="1059"/>
      <c r="TSH153" s="1058"/>
      <c r="TSI153" s="1059"/>
      <c r="TSJ153" s="1058"/>
      <c r="TSK153" s="1059"/>
      <c r="TSL153" s="1058"/>
      <c r="TSM153" s="1059"/>
      <c r="TSN153" s="1058"/>
      <c r="TSO153" s="1059"/>
      <c r="TSP153" s="1058"/>
      <c r="TSQ153" s="1059"/>
      <c r="TSR153" s="1058"/>
      <c r="TSS153" s="1059"/>
      <c r="TST153" s="1058"/>
      <c r="TSU153" s="1059"/>
      <c r="TSV153" s="1058"/>
      <c r="TSW153" s="1059"/>
      <c r="TSX153" s="1058"/>
      <c r="TSY153" s="1059"/>
      <c r="TSZ153" s="1058"/>
      <c r="TTA153" s="1059"/>
      <c r="TTB153" s="1058"/>
      <c r="TTC153" s="1059"/>
      <c r="TTD153" s="1058"/>
      <c r="TTE153" s="1059"/>
      <c r="TTF153" s="1058"/>
      <c r="TTG153" s="1059"/>
      <c r="TTH153" s="1058"/>
      <c r="TTI153" s="1059"/>
      <c r="TTJ153" s="1058"/>
      <c r="TTK153" s="1059"/>
      <c r="TTL153" s="1058"/>
      <c r="TTM153" s="1059"/>
      <c r="TTN153" s="1058"/>
      <c r="TTO153" s="1059"/>
      <c r="TTP153" s="1058"/>
      <c r="TTQ153" s="1059"/>
      <c r="TTR153" s="1058"/>
      <c r="TTS153" s="1059"/>
      <c r="TTT153" s="1058"/>
      <c r="TTU153" s="1059"/>
      <c r="TTV153" s="1058"/>
      <c r="TTW153" s="1059"/>
      <c r="TTX153" s="1058"/>
      <c r="TTY153" s="1059"/>
      <c r="TTZ153" s="1058"/>
      <c r="TUA153" s="1059"/>
      <c r="TUB153" s="1058"/>
      <c r="TUC153" s="1059"/>
      <c r="TUD153" s="1058"/>
      <c r="TUE153" s="1059"/>
      <c r="TUF153" s="1058"/>
      <c r="TUG153" s="1059"/>
      <c r="TUH153" s="1058"/>
      <c r="TUI153" s="1059"/>
      <c r="TUJ153" s="1058"/>
      <c r="TUK153" s="1059"/>
      <c r="TUL153" s="1058"/>
      <c r="TUM153" s="1059"/>
      <c r="TUN153" s="1058"/>
      <c r="TUO153" s="1059"/>
      <c r="TUP153" s="1058"/>
      <c r="TUQ153" s="1059"/>
      <c r="TUR153" s="1058"/>
      <c r="TUS153" s="1059"/>
      <c r="TUT153" s="1058"/>
      <c r="TUU153" s="1059"/>
      <c r="TUV153" s="1058"/>
      <c r="TUW153" s="1059"/>
      <c r="TUX153" s="1058"/>
      <c r="TUY153" s="1059"/>
      <c r="TUZ153" s="1058"/>
      <c r="TVA153" s="1059"/>
      <c r="TVB153" s="1058"/>
      <c r="TVC153" s="1059"/>
      <c r="TVD153" s="1058"/>
      <c r="TVE153" s="1059"/>
      <c r="TVF153" s="1058"/>
      <c r="TVG153" s="1059"/>
      <c r="TVH153" s="1058"/>
      <c r="TVI153" s="1059"/>
      <c r="TVJ153" s="1058"/>
      <c r="TVK153" s="1059"/>
      <c r="TVL153" s="1058"/>
      <c r="TVM153" s="1059"/>
      <c r="TVN153" s="1058"/>
      <c r="TVO153" s="1059"/>
      <c r="TVP153" s="1058"/>
      <c r="TVQ153" s="1059"/>
      <c r="TVR153" s="1058"/>
      <c r="TVS153" s="1059"/>
      <c r="TVT153" s="1058"/>
      <c r="TVU153" s="1059"/>
      <c r="TVV153" s="1058"/>
      <c r="TVW153" s="1059"/>
      <c r="TVX153" s="1058"/>
      <c r="TVY153" s="1059"/>
      <c r="TVZ153" s="1058"/>
      <c r="TWA153" s="1059"/>
      <c r="TWB153" s="1058"/>
      <c r="TWC153" s="1059"/>
      <c r="TWD153" s="1058"/>
      <c r="TWE153" s="1059"/>
      <c r="TWF153" s="1058"/>
      <c r="TWG153" s="1059"/>
      <c r="TWH153" s="1058"/>
      <c r="TWI153" s="1059"/>
      <c r="TWJ153" s="1058"/>
      <c r="TWK153" s="1059"/>
      <c r="TWL153" s="1058"/>
      <c r="TWM153" s="1059"/>
      <c r="TWN153" s="1058"/>
      <c r="TWO153" s="1059"/>
      <c r="TWP153" s="1058"/>
      <c r="TWQ153" s="1059"/>
      <c r="TWR153" s="1058"/>
      <c r="TWS153" s="1059"/>
      <c r="TWT153" s="1058"/>
      <c r="TWU153" s="1059"/>
      <c r="TWV153" s="1058"/>
      <c r="TWW153" s="1059"/>
      <c r="TWX153" s="1058"/>
      <c r="TWY153" s="1059"/>
      <c r="TWZ153" s="1058"/>
      <c r="TXA153" s="1059"/>
      <c r="TXB153" s="1058"/>
      <c r="TXC153" s="1059"/>
      <c r="TXD153" s="1058"/>
      <c r="TXE153" s="1059"/>
      <c r="TXF153" s="1058"/>
      <c r="TXG153" s="1059"/>
      <c r="TXH153" s="1058"/>
      <c r="TXI153" s="1059"/>
      <c r="TXJ153" s="1058"/>
      <c r="TXK153" s="1059"/>
      <c r="TXL153" s="1058"/>
      <c r="TXM153" s="1059"/>
      <c r="TXN153" s="1058"/>
      <c r="TXO153" s="1059"/>
      <c r="TXP153" s="1058"/>
      <c r="TXQ153" s="1059"/>
      <c r="TXR153" s="1058"/>
      <c r="TXS153" s="1059"/>
      <c r="TXT153" s="1058"/>
      <c r="TXU153" s="1059"/>
      <c r="TXV153" s="1058"/>
      <c r="TXW153" s="1059"/>
      <c r="TXX153" s="1058"/>
      <c r="TXY153" s="1059"/>
      <c r="TXZ153" s="1058"/>
      <c r="TYA153" s="1059"/>
      <c r="TYB153" s="1058"/>
      <c r="TYC153" s="1059"/>
      <c r="TYD153" s="1058"/>
      <c r="TYE153" s="1059"/>
      <c r="TYF153" s="1058"/>
      <c r="TYG153" s="1059"/>
      <c r="TYH153" s="1058"/>
      <c r="TYI153" s="1059"/>
      <c r="TYJ153" s="1058"/>
      <c r="TYK153" s="1059"/>
      <c r="TYL153" s="1058"/>
      <c r="TYM153" s="1059"/>
      <c r="TYN153" s="1058"/>
      <c r="TYO153" s="1059"/>
      <c r="TYP153" s="1058"/>
      <c r="TYQ153" s="1059"/>
      <c r="TYR153" s="1058"/>
      <c r="TYS153" s="1059"/>
      <c r="TYT153" s="1058"/>
      <c r="TYU153" s="1059"/>
      <c r="TYV153" s="1058"/>
      <c r="TYW153" s="1059"/>
      <c r="TYX153" s="1058"/>
      <c r="TYY153" s="1059"/>
      <c r="TYZ153" s="1058"/>
      <c r="TZA153" s="1059"/>
      <c r="TZB153" s="1058"/>
      <c r="TZC153" s="1059"/>
      <c r="TZD153" s="1058"/>
      <c r="TZE153" s="1059"/>
      <c r="TZF153" s="1058"/>
      <c r="TZG153" s="1059"/>
      <c r="TZH153" s="1058"/>
      <c r="TZI153" s="1059"/>
      <c r="TZJ153" s="1058"/>
      <c r="TZK153" s="1059"/>
      <c r="TZL153" s="1058"/>
      <c r="TZM153" s="1059"/>
      <c r="TZN153" s="1058"/>
      <c r="TZO153" s="1059"/>
      <c r="TZP153" s="1058"/>
      <c r="TZQ153" s="1059"/>
      <c r="TZR153" s="1058"/>
      <c r="TZS153" s="1059"/>
      <c r="TZT153" s="1058"/>
      <c r="TZU153" s="1059"/>
      <c r="TZV153" s="1058"/>
      <c r="TZW153" s="1059"/>
      <c r="TZX153" s="1058"/>
      <c r="TZY153" s="1059"/>
      <c r="TZZ153" s="1058"/>
      <c r="UAA153" s="1059"/>
      <c r="UAB153" s="1058"/>
      <c r="UAC153" s="1059"/>
      <c r="UAD153" s="1058"/>
      <c r="UAE153" s="1059"/>
      <c r="UAF153" s="1058"/>
      <c r="UAG153" s="1059"/>
      <c r="UAH153" s="1058"/>
      <c r="UAI153" s="1059"/>
      <c r="UAJ153" s="1058"/>
      <c r="UAK153" s="1059"/>
      <c r="UAL153" s="1058"/>
      <c r="UAM153" s="1059"/>
      <c r="UAN153" s="1058"/>
      <c r="UAO153" s="1059"/>
      <c r="UAP153" s="1058"/>
      <c r="UAQ153" s="1059"/>
      <c r="UAR153" s="1058"/>
      <c r="UAS153" s="1059"/>
      <c r="UAT153" s="1058"/>
      <c r="UAU153" s="1059"/>
      <c r="UAV153" s="1058"/>
      <c r="UAW153" s="1059"/>
      <c r="UAX153" s="1058"/>
      <c r="UAY153" s="1059"/>
      <c r="UAZ153" s="1058"/>
      <c r="UBA153" s="1059"/>
      <c r="UBB153" s="1058"/>
      <c r="UBC153" s="1059"/>
      <c r="UBD153" s="1058"/>
      <c r="UBE153" s="1059"/>
      <c r="UBF153" s="1058"/>
      <c r="UBG153" s="1059"/>
      <c r="UBH153" s="1058"/>
      <c r="UBI153" s="1059"/>
      <c r="UBJ153" s="1058"/>
      <c r="UBK153" s="1059"/>
      <c r="UBL153" s="1058"/>
      <c r="UBM153" s="1059"/>
      <c r="UBN153" s="1058"/>
      <c r="UBO153" s="1059"/>
      <c r="UBP153" s="1058"/>
      <c r="UBQ153" s="1059"/>
      <c r="UBR153" s="1058"/>
      <c r="UBS153" s="1059"/>
      <c r="UBT153" s="1058"/>
      <c r="UBU153" s="1059"/>
      <c r="UBV153" s="1058"/>
      <c r="UBW153" s="1059"/>
      <c r="UBX153" s="1058"/>
      <c r="UBY153" s="1059"/>
      <c r="UBZ153" s="1058"/>
      <c r="UCA153" s="1059"/>
      <c r="UCB153" s="1058"/>
      <c r="UCC153" s="1059"/>
      <c r="UCD153" s="1058"/>
      <c r="UCE153" s="1059"/>
      <c r="UCF153" s="1058"/>
      <c r="UCG153" s="1059"/>
      <c r="UCH153" s="1058"/>
      <c r="UCI153" s="1059"/>
      <c r="UCJ153" s="1058"/>
      <c r="UCK153" s="1059"/>
      <c r="UCL153" s="1058"/>
      <c r="UCM153" s="1059"/>
      <c r="UCN153" s="1058"/>
      <c r="UCO153" s="1059"/>
      <c r="UCP153" s="1058"/>
      <c r="UCQ153" s="1059"/>
      <c r="UCR153" s="1058"/>
      <c r="UCS153" s="1059"/>
      <c r="UCT153" s="1058"/>
      <c r="UCU153" s="1059"/>
      <c r="UCV153" s="1058"/>
      <c r="UCW153" s="1059"/>
      <c r="UCX153" s="1058"/>
      <c r="UCY153" s="1059"/>
      <c r="UCZ153" s="1058"/>
      <c r="UDA153" s="1059"/>
      <c r="UDB153" s="1058"/>
      <c r="UDC153" s="1059"/>
      <c r="UDD153" s="1058"/>
      <c r="UDE153" s="1059"/>
      <c r="UDF153" s="1058"/>
      <c r="UDG153" s="1059"/>
      <c r="UDH153" s="1058"/>
      <c r="UDI153" s="1059"/>
      <c r="UDJ153" s="1058"/>
      <c r="UDK153" s="1059"/>
      <c r="UDL153" s="1058"/>
      <c r="UDM153" s="1059"/>
      <c r="UDN153" s="1058"/>
      <c r="UDO153" s="1059"/>
      <c r="UDP153" s="1058"/>
      <c r="UDQ153" s="1059"/>
      <c r="UDR153" s="1058"/>
      <c r="UDS153" s="1059"/>
      <c r="UDT153" s="1058"/>
      <c r="UDU153" s="1059"/>
      <c r="UDV153" s="1058"/>
      <c r="UDW153" s="1059"/>
      <c r="UDX153" s="1058"/>
      <c r="UDY153" s="1059"/>
      <c r="UDZ153" s="1058"/>
      <c r="UEA153" s="1059"/>
      <c r="UEB153" s="1058"/>
      <c r="UEC153" s="1059"/>
      <c r="UED153" s="1058"/>
      <c r="UEE153" s="1059"/>
      <c r="UEF153" s="1058"/>
      <c r="UEG153" s="1059"/>
      <c r="UEH153" s="1058"/>
      <c r="UEI153" s="1059"/>
      <c r="UEJ153" s="1058"/>
      <c r="UEK153" s="1059"/>
      <c r="UEL153" s="1058"/>
      <c r="UEM153" s="1059"/>
      <c r="UEN153" s="1058"/>
      <c r="UEO153" s="1059"/>
      <c r="UEP153" s="1058"/>
      <c r="UEQ153" s="1059"/>
      <c r="UER153" s="1058"/>
      <c r="UES153" s="1059"/>
      <c r="UET153" s="1058"/>
      <c r="UEU153" s="1059"/>
      <c r="UEV153" s="1058"/>
      <c r="UEW153" s="1059"/>
      <c r="UEX153" s="1058"/>
      <c r="UEY153" s="1059"/>
      <c r="UEZ153" s="1058"/>
      <c r="UFA153" s="1059"/>
      <c r="UFB153" s="1058"/>
      <c r="UFC153" s="1059"/>
      <c r="UFD153" s="1058"/>
      <c r="UFE153" s="1059"/>
      <c r="UFF153" s="1058"/>
      <c r="UFG153" s="1059"/>
      <c r="UFH153" s="1058"/>
      <c r="UFI153" s="1059"/>
      <c r="UFJ153" s="1058"/>
      <c r="UFK153" s="1059"/>
      <c r="UFL153" s="1058"/>
      <c r="UFM153" s="1059"/>
      <c r="UFN153" s="1058"/>
      <c r="UFO153" s="1059"/>
      <c r="UFP153" s="1058"/>
      <c r="UFQ153" s="1059"/>
      <c r="UFR153" s="1058"/>
      <c r="UFS153" s="1059"/>
      <c r="UFT153" s="1058"/>
      <c r="UFU153" s="1059"/>
      <c r="UFV153" s="1058"/>
      <c r="UFW153" s="1059"/>
      <c r="UFX153" s="1058"/>
      <c r="UFY153" s="1059"/>
      <c r="UFZ153" s="1058"/>
      <c r="UGA153" s="1059"/>
      <c r="UGB153" s="1058"/>
      <c r="UGC153" s="1059"/>
      <c r="UGD153" s="1058"/>
      <c r="UGE153" s="1059"/>
      <c r="UGF153" s="1058"/>
      <c r="UGG153" s="1059"/>
      <c r="UGH153" s="1058"/>
      <c r="UGI153" s="1059"/>
      <c r="UGJ153" s="1058"/>
      <c r="UGK153" s="1059"/>
      <c r="UGL153" s="1058"/>
      <c r="UGM153" s="1059"/>
      <c r="UGN153" s="1058"/>
      <c r="UGO153" s="1059"/>
      <c r="UGP153" s="1058"/>
      <c r="UGQ153" s="1059"/>
      <c r="UGR153" s="1058"/>
      <c r="UGS153" s="1059"/>
      <c r="UGT153" s="1058"/>
      <c r="UGU153" s="1059"/>
      <c r="UGV153" s="1058"/>
      <c r="UGW153" s="1059"/>
      <c r="UGX153" s="1058"/>
      <c r="UGY153" s="1059"/>
      <c r="UGZ153" s="1058"/>
      <c r="UHA153" s="1059"/>
      <c r="UHB153" s="1058"/>
      <c r="UHC153" s="1059"/>
      <c r="UHD153" s="1058"/>
      <c r="UHE153" s="1059"/>
      <c r="UHF153" s="1058"/>
      <c r="UHG153" s="1059"/>
      <c r="UHH153" s="1058"/>
      <c r="UHI153" s="1059"/>
      <c r="UHJ153" s="1058"/>
      <c r="UHK153" s="1059"/>
      <c r="UHL153" s="1058"/>
      <c r="UHM153" s="1059"/>
      <c r="UHN153" s="1058"/>
      <c r="UHO153" s="1059"/>
      <c r="UHP153" s="1058"/>
      <c r="UHQ153" s="1059"/>
      <c r="UHR153" s="1058"/>
      <c r="UHS153" s="1059"/>
      <c r="UHT153" s="1058"/>
      <c r="UHU153" s="1059"/>
      <c r="UHV153" s="1058"/>
      <c r="UHW153" s="1059"/>
      <c r="UHX153" s="1058"/>
      <c r="UHY153" s="1059"/>
      <c r="UHZ153" s="1058"/>
      <c r="UIA153" s="1059"/>
      <c r="UIB153" s="1058"/>
      <c r="UIC153" s="1059"/>
      <c r="UID153" s="1058"/>
      <c r="UIE153" s="1059"/>
      <c r="UIF153" s="1058"/>
      <c r="UIG153" s="1059"/>
      <c r="UIH153" s="1058"/>
      <c r="UII153" s="1059"/>
      <c r="UIJ153" s="1058"/>
      <c r="UIK153" s="1059"/>
      <c r="UIL153" s="1058"/>
      <c r="UIM153" s="1059"/>
      <c r="UIN153" s="1058"/>
      <c r="UIO153" s="1059"/>
      <c r="UIP153" s="1058"/>
      <c r="UIQ153" s="1059"/>
      <c r="UIR153" s="1058"/>
      <c r="UIS153" s="1059"/>
      <c r="UIT153" s="1058"/>
      <c r="UIU153" s="1059"/>
      <c r="UIV153" s="1058"/>
      <c r="UIW153" s="1059"/>
      <c r="UIX153" s="1058"/>
      <c r="UIY153" s="1059"/>
      <c r="UIZ153" s="1058"/>
      <c r="UJA153" s="1059"/>
      <c r="UJB153" s="1058"/>
      <c r="UJC153" s="1059"/>
      <c r="UJD153" s="1058"/>
      <c r="UJE153" s="1059"/>
      <c r="UJF153" s="1058"/>
      <c r="UJG153" s="1059"/>
      <c r="UJH153" s="1058"/>
      <c r="UJI153" s="1059"/>
      <c r="UJJ153" s="1058"/>
      <c r="UJK153" s="1059"/>
      <c r="UJL153" s="1058"/>
      <c r="UJM153" s="1059"/>
      <c r="UJN153" s="1058"/>
      <c r="UJO153" s="1059"/>
      <c r="UJP153" s="1058"/>
      <c r="UJQ153" s="1059"/>
      <c r="UJR153" s="1058"/>
      <c r="UJS153" s="1059"/>
      <c r="UJT153" s="1058"/>
      <c r="UJU153" s="1059"/>
      <c r="UJV153" s="1058"/>
      <c r="UJW153" s="1059"/>
      <c r="UJX153" s="1058"/>
      <c r="UJY153" s="1059"/>
      <c r="UJZ153" s="1058"/>
      <c r="UKA153" s="1059"/>
      <c r="UKB153" s="1058"/>
      <c r="UKC153" s="1059"/>
      <c r="UKD153" s="1058"/>
      <c r="UKE153" s="1059"/>
      <c r="UKF153" s="1058"/>
      <c r="UKG153" s="1059"/>
      <c r="UKH153" s="1058"/>
      <c r="UKI153" s="1059"/>
      <c r="UKJ153" s="1058"/>
      <c r="UKK153" s="1059"/>
      <c r="UKL153" s="1058"/>
      <c r="UKM153" s="1059"/>
      <c r="UKN153" s="1058"/>
      <c r="UKO153" s="1059"/>
      <c r="UKP153" s="1058"/>
      <c r="UKQ153" s="1059"/>
      <c r="UKR153" s="1058"/>
      <c r="UKS153" s="1059"/>
      <c r="UKT153" s="1058"/>
      <c r="UKU153" s="1059"/>
      <c r="UKV153" s="1058"/>
      <c r="UKW153" s="1059"/>
      <c r="UKX153" s="1058"/>
      <c r="UKY153" s="1059"/>
      <c r="UKZ153" s="1058"/>
      <c r="ULA153" s="1059"/>
      <c r="ULB153" s="1058"/>
      <c r="ULC153" s="1059"/>
      <c r="ULD153" s="1058"/>
      <c r="ULE153" s="1059"/>
      <c r="ULF153" s="1058"/>
      <c r="ULG153" s="1059"/>
      <c r="ULH153" s="1058"/>
      <c r="ULI153" s="1059"/>
      <c r="ULJ153" s="1058"/>
      <c r="ULK153" s="1059"/>
      <c r="ULL153" s="1058"/>
      <c r="ULM153" s="1059"/>
      <c r="ULN153" s="1058"/>
      <c r="ULO153" s="1059"/>
      <c r="ULP153" s="1058"/>
      <c r="ULQ153" s="1059"/>
      <c r="ULR153" s="1058"/>
      <c r="ULS153" s="1059"/>
      <c r="ULT153" s="1058"/>
      <c r="ULU153" s="1059"/>
      <c r="ULV153" s="1058"/>
      <c r="ULW153" s="1059"/>
      <c r="ULX153" s="1058"/>
      <c r="ULY153" s="1059"/>
      <c r="ULZ153" s="1058"/>
      <c r="UMA153" s="1059"/>
      <c r="UMB153" s="1058"/>
      <c r="UMC153" s="1059"/>
      <c r="UMD153" s="1058"/>
      <c r="UME153" s="1059"/>
      <c r="UMF153" s="1058"/>
      <c r="UMG153" s="1059"/>
      <c r="UMH153" s="1058"/>
      <c r="UMI153" s="1059"/>
      <c r="UMJ153" s="1058"/>
      <c r="UMK153" s="1059"/>
      <c r="UML153" s="1058"/>
      <c r="UMM153" s="1059"/>
      <c r="UMN153" s="1058"/>
      <c r="UMO153" s="1059"/>
      <c r="UMP153" s="1058"/>
      <c r="UMQ153" s="1059"/>
      <c r="UMR153" s="1058"/>
      <c r="UMS153" s="1059"/>
      <c r="UMT153" s="1058"/>
      <c r="UMU153" s="1059"/>
      <c r="UMV153" s="1058"/>
      <c r="UMW153" s="1059"/>
      <c r="UMX153" s="1058"/>
      <c r="UMY153" s="1059"/>
      <c r="UMZ153" s="1058"/>
      <c r="UNA153" s="1059"/>
      <c r="UNB153" s="1058"/>
      <c r="UNC153" s="1059"/>
      <c r="UND153" s="1058"/>
      <c r="UNE153" s="1059"/>
      <c r="UNF153" s="1058"/>
      <c r="UNG153" s="1059"/>
      <c r="UNH153" s="1058"/>
      <c r="UNI153" s="1059"/>
      <c r="UNJ153" s="1058"/>
      <c r="UNK153" s="1059"/>
      <c r="UNL153" s="1058"/>
      <c r="UNM153" s="1059"/>
      <c r="UNN153" s="1058"/>
      <c r="UNO153" s="1059"/>
      <c r="UNP153" s="1058"/>
      <c r="UNQ153" s="1059"/>
      <c r="UNR153" s="1058"/>
      <c r="UNS153" s="1059"/>
      <c r="UNT153" s="1058"/>
      <c r="UNU153" s="1059"/>
      <c r="UNV153" s="1058"/>
      <c r="UNW153" s="1059"/>
      <c r="UNX153" s="1058"/>
      <c r="UNY153" s="1059"/>
      <c r="UNZ153" s="1058"/>
      <c r="UOA153" s="1059"/>
      <c r="UOB153" s="1058"/>
      <c r="UOC153" s="1059"/>
      <c r="UOD153" s="1058"/>
      <c r="UOE153" s="1059"/>
      <c r="UOF153" s="1058"/>
      <c r="UOG153" s="1059"/>
      <c r="UOH153" s="1058"/>
      <c r="UOI153" s="1059"/>
      <c r="UOJ153" s="1058"/>
      <c r="UOK153" s="1059"/>
      <c r="UOL153" s="1058"/>
      <c r="UOM153" s="1059"/>
      <c r="UON153" s="1058"/>
      <c r="UOO153" s="1059"/>
      <c r="UOP153" s="1058"/>
      <c r="UOQ153" s="1059"/>
      <c r="UOR153" s="1058"/>
      <c r="UOS153" s="1059"/>
      <c r="UOT153" s="1058"/>
      <c r="UOU153" s="1059"/>
      <c r="UOV153" s="1058"/>
      <c r="UOW153" s="1059"/>
      <c r="UOX153" s="1058"/>
      <c r="UOY153" s="1059"/>
      <c r="UOZ153" s="1058"/>
      <c r="UPA153" s="1059"/>
      <c r="UPB153" s="1058"/>
      <c r="UPC153" s="1059"/>
      <c r="UPD153" s="1058"/>
      <c r="UPE153" s="1059"/>
      <c r="UPF153" s="1058"/>
      <c r="UPG153" s="1059"/>
      <c r="UPH153" s="1058"/>
      <c r="UPI153" s="1059"/>
      <c r="UPJ153" s="1058"/>
      <c r="UPK153" s="1059"/>
      <c r="UPL153" s="1058"/>
      <c r="UPM153" s="1059"/>
      <c r="UPN153" s="1058"/>
      <c r="UPO153" s="1059"/>
      <c r="UPP153" s="1058"/>
      <c r="UPQ153" s="1059"/>
      <c r="UPR153" s="1058"/>
      <c r="UPS153" s="1059"/>
      <c r="UPT153" s="1058"/>
      <c r="UPU153" s="1059"/>
      <c r="UPV153" s="1058"/>
      <c r="UPW153" s="1059"/>
      <c r="UPX153" s="1058"/>
      <c r="UPY153" s="1059"/>
      <c r="UPZ153" s="1058"/>
      <c r="UQA153" s="1059"/>
      <c r="UQB153" s="1058"/>
      <c r="UQC153" s="1059"/>
      <c r="UQD153" s="1058"/>
      <c r="UQE153" s="1059"/>
      <c r="UQF153" s="1058"/>
      <c r="UQG153" s="1059"/>
      <c r="UQH153" s="1058"/>
      <c r="UQI153" s="1059"/>
      <c r="UQJ153" s="1058"/>
      <c r="UQK153" s="1059"/>
      <c r="UQL153" s="1058"/>
      <c r="UQM153" s="1059"/>
      <c r="UQN153" s="1058"/>
      <c r="UQO153" s="1059"/>
      <c r="UQP153" s="1058"/>
      <c r="UQQ153" s="1059"/>
      <c r="UQR153" s="1058"/>
      <c r="UQS153" s="1059"/>
      <c r="UQT153" s="1058"/>
      <c r="UQU153" s="1059"/>
      <c r="UQV153" s="1058"/>
      <c r="UQW153" s="1059"/>
      <c r="UQX153" s="1058"/>
      <c r="UQY153" s="1059"/>
      <c r="UQZ153" s="1058"/>
      <c r="URA153" s="1059"/>
      <c r="URB153" s="1058"/>
      <c r="URC153" s="1059"/>
      <c r="URD153" s="1058"/>
      <c r="URE153" s="1059"/>
      <c r="URF153" s="1058"/>
      <c r="URG153" s="1059"/>
      <c r="URH153" s="1058"/>
      <c r="URI153" s="1059"/>
      <c r="URJ153" s="1058"/>
      <c r="URK153" s="1059"/>
      <c r="URL153" s="1058"/>
      <c r="URM153" s="1059"/>
      <c r="URN153" s="1058"/>
      <c r="URO153" s="1059"/>
      <c r="URP153" s="1058"/>
      <c r="URQ153" s="1059"/>
      <c r="URR153" s="1058"/>
      <c r="URS153" s="1059"/>
      <c r="URT153" s="1058"/>
      <c r="URU153" s="1059"/>
      <c r="URV153" s="1058"/>
      <c r="URW153" s="1059"/>
      <c r="URX153" s="1058"/>
      <c r="URY153" s="1059"/>
      <c r="URZ153" s="1058"/>
      <c r="USA153" s="1059"/>
      <c r="USB153" s="1058"/>
      <c r="USC153" s="1059"/>
      <c r="USD153" s="1058"/>
      <c r="USE153" s="1059"/>
      <c r="USF153" s="1058"/>
      <c r="USG153" s="1059"/>
      <c r="USH153" s="1058"/>
      <c r="USI153" s="1059"/>
      <c r="USJ153" s="1058"/>
      <c r="USK153" s="1059"/>
      <c r="USL153" s="1058"/>
      <c r="USM153" s="1059"/>
      <c r="USN153" s="1058"/>
      <c r="USO153" s="1059"/>
      <c r="USP153" s="1058"/>
      <c r="USQ153" s="1059"/>
      <c r="USR153" s="1058"/>
      <c r="USS153" s="1059"/>
      <c r="UST153" s="1058"/>
      <c r="USU153" s="1059"/>
      <c r="USV153" s="1058"/>
      <c r="USW153" s="1059"/>
      <c r="USX153" s="1058"/>
      <c r="USY153" s="1059"/>
      <c r="USZ153" s="1058"/>
      <c r="UTA153" s="1059"/>
      <c r="UTB153" s="1058"/>
      <c r="UTC153" s="1059"/>
      <c r="UTD153" s="1058"/>
      <c r="UTE153" s="1059"/>
      <c r="UTF153" s="1058"/>
      <c r="UTG153" s="1059"/>
      <c r="UTH153" s="1058"/>
      <c r="UTI153" s="1059"/>
      <c r="UTJ153" s="1058"/>
      <c r="UTK153" s="1059"/>
      <c r="UTL153" s="1058"/>
      <c r="UTM153" s="1059"/>
      <c r="UTN153" s="1058"/>
      <c r="UTO153" s="1059"/>
      <c r="UTP153" s="1058"/>
      <c r="UTQ153" s="1059"/>
      <c r="UTR153" s="1058"/>
      <c r="UTS153" s="1059"/>
      <c r="UTT153" s="1058"/>
      <c r="UTU153" s="1059"/>
      <c r="UTV153" s="1058"/>
      <c r="UTW153" s="1059"/>
      <c r="UTX153" s="1058"/>
      <c r="UTY153" s="1059"/>
      <c r="UTZ153" s="1058"/>
      <c r="UUA153" s="1059"/>
      <c r="UUB153" s="1058"/>
      <c r="UUC153" s="1059"/>
      <c r="UUD153" s="1058"/>
      <c r="UUE153" s="1059"/>
      <c r="UUF153" s="1058"/>
      <c r="UUG153" s="1059"/>
      <c r="UUH153" s="1058"/>
      <c r="UUI153" s="1059"/>
      <c r="UUJ153" s="1058"/>
      <c r="UUK153" s="1059"/>
      <c r="UUL153" s="1058"/>
      <c r="UUM153" s="1059"/>
      <c r="UUN153" s="1058"/>
      <c r="UUO153" s="1059"/>
      <c r="UUP153" s="1058"/>
      <c r="UUQ153" s="1059"/>
      <c r="UUR153" s="1058"/>
      <c r="UUS153" s="1059"/>
      <c r="UUT153" s="1058"/>
      <c r="UUU153" s="1059"/>
      <c r="UUV153" s="1058"/>
      <c r="UUW153" s="1059"/>
      <c r="UUX153" s="1058"/>
      <c r="UUY153" s="1059"/>
      <c r="UUZ153" s="1058"/>
      <c r="UVA153" s="1059"/>
      <c r="UVB153" s="1058"/>
      <c r="UVC153" s="1059"/>
      <c r="UVD153" s="1058"/>
      <c r="UVE153" s="1059"/>
      <c r="UVF153" s="1058"/>
      <c r="UVG153" s="1059"/>
      <c r="UVH153" s="1058"/>
      <c r="UVI153" s="1059"/>
      <c r="UVJ153" s="1058"/>
      <c r="UVK153" s="1059"/>
      <c r="UVL153" s="1058"/>
      <c r="UVM153" s="1059"/>
      <c r="UVN153" s="1058"/>
      <c r="UVO153" s="1059"/>
      <c r="UVP153" s="1058"/>
      <c r="UVQ153" s="1059"/>
      <c r="UVR153" s="1058"/>
      <c r="UVS153" s="1059"/>
      <c r="UVT153" s="1058"/>
      <c r="UVU153" s="1059"/>
      <c r="UVV153" s="1058"/>
      <c r="UVW153" s="1059"/>
      <c r="UVX153" s="1058"/>
      <c r="UVY153" s="1059"/>
      <c r="UVZ153" s="1058"/>
      <c r="UWA153" s="1059"/>
      <c r="UWB153" s="1058"/>
      <c r="UWC153" s="1059"/>
      <c r="UWD153" s="1058"/>
      <c r="UWE153" s="1059"/>
      <c r="UWF153" s="1058"/>
      <c r="UWG153" s="1059"/>
      <c r="UWH153" s="1058"/>
      <c r="UWI153" s="1059"/>
      <c r="UWJ153" s="1058"/>
      <c r="UWK153" s="1059"/>
      <c r="UWL153" s="1058"/>
      <c r="UWM153" s="1059"/>
      <c r="UWN153" s="1058"/>
      <c r="UWO153" s="1059"/>
      <c r="UWP153" s="1058"/>
      <c r="UWQ153" s="1059"/>
      <c r="UWR153" s="1058"/>
      <c r="UWS153" s="1059"/>
      <c r="UWT153" s="1058"/>
      <c r="UWU153" s="1059"/>
      <c r="UWV153" s="1058"/>
      <c r="UWW153" s="1059"/>
      <c r="UWX153" s="1058"/>
      <c r="UWY153" s="1059"/>
      <c r="UWZ153" s="1058"/>
      <c r="UXA153" s="1059"/>
      <c r="UXB153" s="1058"/>
      <c r="UXC153" s="1059"/>
      <c r="UXD153" s="1058"/>
      <c r="UXE153" s="1059"/>
      <c r="UXF153" s="1058"/>
      <c r="UXG153" s="1059"/>
      <c r="UXH153" s="1058"/>
      <c r="UXI153" s="1059"/>
      <c r="UXJ153" s="1058"/>
      <c r="UXK153" s="1059"/>
      <c r="UXL153" s="1058"/>
      <c r="UXM153" s="1059"/>
      <c r="UXN153" s="1058"/>
      <c r="UXO153" s="1059"/>
      <c r="UXP153" s="1058"/>
      <c r="UXQ153" s="1059"/>
      <c r="UXR153" s="1058"/>
      <c r="UXS153" s="1059"/>
      <c r="UXT153" s="1058"/>
      <c r="UXU153" s="1059"/>
      <c r="UXV153" s="1058"/>
      <c r="UXW153" s="1059"/>
      <c r="UXX153" s="1058"/>
      <c r="UXY153" s="1059"/>
      <c r="UXZ153" s="1058"/>
      <c r="UYA153" s="1059"/>
      <c r="UYB153" s="1058"/>
      <c r="UYC153" s="1059"/>
      <c r="UYD153" s="1058"/>
      <c r="UYE153" s="1059"/>
      <c r="UYF153" s="1058"/>
      <c r="UYG153" s="1059"/>
      <c r="UYH153" s="1058"/>
      <c r="UYI153" s="1059"/>
      <c r="UYJ153" s="1058"/>
      <c r="UYK153" s="1059"/>
      <c r="UYL153" s="1058"/>
      <c r="UYM153" s="1059"/>
      <c r="UYN153" s="1058"/>
      <c r="UYO153" s="1059"/>
      <c r="UYP153" s="1058"/>
      <c r="UYQ153" s="1059"/>
      <c r="UYR153" s="1058"/>
      <c r="UYS153" s="1059"/>
      <c r="UYT153" s="1058"/>
      <c r="UYU153" s="1059"/>
      <c r="UYV153" s="1058"/>
      <c r="UYW153" s="1059"/>
      <c r="UYX153" s="1058"/>
      <c r="UYY153" s="1059"/>
      <c r="UYZ153" s="1058"/>
      <c r="UZA153" s="1059"/>
      <c r="UZB153" s="1058"/>
      <c r="UZC153" s="1059"/>
      <c r="UZD153" s="1058"/>
      <c r="UZE153" s="1059"/>
      <c r="UZF153" s="1058"/>
      <c r="UZG153" s="1059"/>
      <c r="UZH153" s="1058"/>
      <c r="UZI153" s="1059"/>
      <c r="UZJ153" s="1058"/>
      <c r="UZK153" s="1059"/>
      <c r="UZL153" s="1058"/>
      <c r="UZM153" s="1059"/>
      <c r="UZN153" s="1058"/>
      <c r="UZO153" s="1059"/>
      <c r="UZP153" s="1058"/>
      <c r="UZQ153" s="1059"/>
      <c r="UZR153" s="1058"/>
      <c r="UZS153" s="1059"/>
      <c r="UZT153" s="1058"/>
      <c r="UZU153" s="1059"/>
      <c r="UZV153" s="1058"/>
      <c r="UZW153" s="1059"/>
      <c r="UZX153" s="1058"/>
      <c r="UZY153" s="1059"/>
      <c r="UZZ153" s="1058"/>
      <c r="VAA153" s="1059"/>
      <c r="VAB153" s="1058"/>
      <c r="VAC153" s="1059"/>
      <c r="VAD153" s="1058"/>
      <c r="VAE153" s="1059"/>
      <c r="VAF153" s="1058"/>
      <c r="VAG153" s="1059"/>
      <c r="VAH153" s="1058"/>
      <c r="VAI153" s="1059"/>
      <c r="VAJ153" s="1058"/>
      <c r="VAK153" s="1059"/>
      <c r="VAL153" s="1058"/>
      <c r="VAM153" s="1059"/>
      <c r="VAN153" s="1058"/>
      <c r="VAO153" s="1059"/>
      <c r="VAP153" s="1058"/>
      <c r="VAQ153" s="1059"/>
      <c r="VAR153" s="1058"/>
      <c r="VAS153" s="1059"/>
      <c r="VAT153" s="1058"/>
      <c r="VAU153" s="1059"/>
      <c r="VAV153" s="1058"/>
      <c r="VAW153" s="1059"/>
      <c r="VAX153" s="1058"/>
      <c r="VAY153" s="1059"/>
      <c r="VAZ153" s="1058"/>
      <c r="VBA153" s="1059"/>
      <c r="VBB153" s="1058"/>
      <c r="VBC153" s="1059"/>
      <c r="VBD153" s="1058"/>
      <c r="VBE153" s="1059"/>
      <c r="VBF153" s="1058"/>
      <c r="VBG153" s="1059"/>
      <c r="VBH153" s="1058"/>
      <c r="VBI153" s="1059"/>
      <c r="VBJ153" s="1058"/>
      <c r="VBK153" s="1059"/>
      <c r="VBL153" s="1058"/>
      <c r="VBM153" s="1059"/>
      <c r="VBN153" s="1058"/>
      <c r="VBO153" s="1059"/>
      <c r="VBP153" s="1058"/>
      <c r="VBQ153" s="1059"/>
      <c r="VBR153" s="1058"/>
      <c r="VBS153" s="1059"/>
      <c r="VBT153" s="1058"/>
      <c r="VBU153" s="1059"/>
      <c r="VBV153" s="1058"/>
      <c r="VBW153" s="1059"/>
      <c r="VBX153" s="1058"/>
      <c r="VBY153" s="1059"/>
      <c r="VBZ153" s="1058"/>
      <c r="VCA153" s="1059"/>
      <c r="VCB153" s="1058"/>
      <c r="VCC153" s="1059"/>
      <c r="VCD153" s="1058"/>
      <c r="VCE153" s="1059"/>
      <c r="VCF153" s="1058"/>
      <c r="VCG153" s="1059"/>
      <c r="VCH153" s="1058"/>
      <c r="VCI153" s="1059"/>
      <c r="VCJ153" s="1058"/>
      <c r="VCK153" s="1059"/>
      <c r="VCL153" s="1058"/>
      <c r="VCM153" s="1059"/>
      <c r="VCN153" s="1058"/>
      <c r="VCO153" s="1059"/>
      <c r="VCP153" s="1058"/>
      <c r="VCQ153" s="1059"/>
      <c r="VCR153" s="1058"/>
      <c r="VCS153" s="1059"/>
      <c r="VCT153" s="1058"/>
      <c r="VCU153" s="1059"/>
      <c r="VCV153" s="1058"/>
      <c r="VCW153" s="1059"/>
      <c r="VCX153" s="1058"/>
      <c r="VCY153" s="1059"/>
      <c r="VCZ153" s="1058"/>
      <c r="VDA153" s="1059"/>
      <c r="VDB153" s="1058"/>
      <c r="VDC153" s="1059"/>
      <c r="VDD153" s="1058"/>
      <c r="VDE153" s="1059"/>
      <c r="VDF153" s="1058"/>
      <c r="VDG153" s="1059"/>
      <c r="VDH153" s="1058"/>
      <c r="VDI153" s="1059"/>
      <c r="VDJ153" s="1058"/>
      <c r="VDK153" s="1059"/>
      <c r="VDL153" s="1058"/>
      <c r="VDM153" s="1059"/>
      <c r="VDN153" s="1058"/>
      <c r="VDO153" s="1059"/>
      <c r="VDP153" s="1058"/>
      <c r="VDQ153" s="1059"/>
      <c r="VDR153" s="1058"/>
      <c r="VDS153" s="1059"/>
      <c r="VDT153" s="1058"/>
      <c r="VDU153" s="1059"/>
      <c r="VDV153" s="1058"/>
      <c r="VDW153" s="1059"/>
      <c r="VDX153" s="1058"/>
      <c r="VDY153" s="1059"/>
      <c r="VDZ153" s="1058"/>
      <c r="VEA153" s="1059"/>
      <c r="VEB153" s="1058"/>
      <c r="VEC153" s="1059"/>
      <c r="VED153" s="1058"/>
      <c r="VEE153" s="1059"/>
      <c r="VEF153" s="1058"/>
      <c r="VEG153" s="1059"/>
      <c r="VEH153" s="1058"/>
      <c r="VEI153" s="1059"/>
      <c r="VEJ153" s="1058"/>
      <c r="VEK153" s="1059"/>
      <c r="VEL153" s="1058"/>
      <c r="VEM153" s="1059"/>
      <c r="VEN153" s="1058"/>
      <c r="VEO153" s="1059"/>
      <c r="VEP153" s="1058"/>
      <c r="VEQ153" s="1059"/>
      <c r="VER153" s="1058"/>
      <c r="VES153" s="1059"/>
      <c r="VET153" s="1058"/>
      <c r="VEU153" s="1059"/>
      <c r="VEV153" s="1058"/>
      <c r="VEW153" s="1059"/>
      <c r="VEX153" s="1058"/>
      <c r="VEY153" s="1059"/>
      <c r="VEZ153" s="1058"/>
      <c r="VFA153" s="1059"/>
      <c r="VFB153" s="1058"/>
      <c r="VFC153" s="1059"/>
      <c r="VFD153" s="1058"/>
      <c r="VFE153" s="1059"/>
      <c r="VFF153" s="1058"/>
      <c r="VFG153" s="1059"/>
      <c r="VFH153" s="1058"/>
      <c r="VFI153" s="1059"/>
      <c r="VFJ153" s="1058"/>
      <c r="VFK153" s="1059"/>
      <c r="VFL153" s="1058"/>
      <c r="VFM153" s="1059"/>
      <c r="VFN153" s="1058"/>
      <c r="VFO153" s="1059"/>
      <c r="VFP153" s="1058"/>
      <c r="VFQ153" s="1059"/>
      <c r="VFR153" s="1058"/>
      <c r="VFS153" s="1059"/>
      <c r="VFT153" s="1058"/>
      <c r="VFU153" s="1059"/>
      <c r="VFV153" s="1058"/>
      <c r="VFW153" s="1059"/>
      <c r="VFX153" s="1058"/>
      <c r="VFY153" s="1059"/>
      <c r="VFZ153" s="1058"/>
      <c r="VGA153" s="1059"/>
      <c r="VGB153" s="1058"/>
      <c r="VGC153" s="1059"/>
      <c r="VGD153" s="1058"/>
      <c r="VGE153" s="1059"/>
      <c r="VGF153" s="1058"/>
      <c r="VGG153" s="1059"/>
      <c r="VGH153" s="1058"/>
      <c r="VGI153" s="1059"/>
      <c r="VGJ153" s="1058"/>
      <c r="VGK153" s="1059"/>
      <c r="VGL153" s="1058"/>
      <c r="VGM153" s="1059"/>
      <c r="VGN153" s="1058"/>
      <c r="VGO153" s="1059"/>
      <c r="VGP153" s="1058"/>
      <c r="VGQ153" s="1059"/>
      <c r="VGR153" s="1058"/>
      <c r="VGS153" s="1059"/>
      <c r="VGT153" s="1058"/>
      <c r="VGU153" s="1059"/>
      <c r="VGV153" s="1058"/>
      <c r="VGW153" s="1059"/>
      <c r="VGX153" s="1058"/>
      <c r="VGY153" s="1059"/>
      <c r="VGZ153" s="1058"/>
      <c r="VHA153" s="1059"/>
      <c r="VHB153" s="1058"/>
      <c r="VHC153" s="1059"/>
      <c r="VHD153" s="1058"/>
      <c r="VHE153" s="1059"/>
      <c r="VHF153" s="1058"/>
      <c r="VHG153" s="1059"/>
      <c r="VHH153" s="1058"/>
      <c r="VHI153" s="1059"/>
      <c r="VHJ153" s="1058"/>
      <c r="VHK153" s="1059"/>
      <c r="VHL153" s="1058"/>
      <c r="VHM153" s="1059"/>
      <c r="VHN153" s="1058"/>
      <c r="VHO153" s="1059"/>
      <c r="VHP153" s="1058"/>
      <c r="VHQ153" s="1059"/>
      <c r="VHR153" s="1058"/>
      <c r="VHS153" s="1059"/>
      <c r="VHT153" s="1058"/>
      <c r="VHU153" s="1059"/>
      <c r="VHV153" s="1058"/>
      <c r="VHW153" s="1059"/>
      <c r="VHX153" s="1058"/>
      <c r="VHY153" s="1059"/>
      <c r="VHZ153" s="1058"/>
      <c r="VIA153" s="1059"/>
      <c r="VIB153" s="1058"/>
      <c r="VIC153" s="1059"/>
      <c r="VID153" s="1058"/>
      <c r="VIE153" s="1059"/>
      <c r="VIF153" s="1058"/>
      <c r="VIG153" s="1059"/>
      <c r="VIH153" s="1058"/>
      <c r="VII153" s="1059"/>
      <c r="VIJ153" s="1058"/>
      <c r="VIK153" s="1059"/>
      <c r="VIL153" s="1058"/>
      <c r="VIM153" s="1059"/>
      <c r="VIN153" s="1058"/>
      <c r="VIO153" s="1059"/>
      <c r="VIP153" s="1058"/>
      <c r="VIQ153" s="1059"/>
      <c r="VIR153" s="1058"/>
      <c r="VIS153" s="1059"/>
      <c r="VIT153" s="1058"/>
      <c r="VIU153" s="1059"/>
      <c r="VIV153" s="1058"/>
      <c r="VIW153" s="1059"/>
      <c r="VIX153" s="1058"/>
      <c r="VIY153" s="1059"/>
      <c r="VIZ153" s="1058"/>
      <c r="VJA153" s="1059"/>
      <c r="VJB153" s="1058"/>
      <c r="VJC153" s="1059"/>
      <c r="VJD153" s="1058"/>
      <c r="VJE153" s="1059"/>
      <c r="VJF153" s="1058"/>
      <c r="VJG153" s="1059"/>
      <c r="VJH153" s="1058"/>
      <c r="VJI153" s="1059"/>
      <c r="VJJ153" s="1058"/>
      <c r="VJK153" s="1059"/>
      <c r="VJL153" s="1058"/>
      <c r="VJM153" s="1059"/>
      <c r="VJN153" s="1058"/>
      <c r="VJO153" s="1059"/>
      <c r="VJP153" s="1058"/>
      <c r="VJQ153" s="1059"/>
      <c r="VJR153" s="1058"/>
      <c r="VJS153" s="1059"/>
      <c r="VJT153" s="1058"/>
      <c r="VJU153" s="1059"/>
      <c r="VJV153" s="1058"/>
      <c r="VJW153" s="1059"/>
      <c r="VJX153" s="1058"/>
      <c r="VJY153" s="1059"/>
      <c r="VJZ153" s="1058"/>
      <c r="VKA153" s="1059"/>
      <c r="VKB153" s="1058"/>
      <c r="VKC153" s="1059"/>
      <c r="VKD153" s="1058"/>
      <c r="VKE153" s="1059"/>
      <c r="VKF153" s="1058"/>
      <c r="VKG153" s="1059"/>
      <c r="VKH153" s="1058"/>
      <c r="VKI153" s="1059"/>
      <c r="VKJ153" s="1058"/>
      <c r="VKK153" s="1059"/>
      <c r="VKL153" s="1058"/>
      <c r="VKM153" s="1059"/>
      <c r="VKN153" s="1058"/>
      <c r="VKO153" s="1059"/>
      <c r="VKP153" s="1058"/>
      <c r="VKQ153" s="1059"/>
      <c r="VKR153" s="1058"/>
      <c r="VKS153" s="1059"/>
      <c r="VKT153" s="1058"/>
      <c r="VKU153" s="1059"/>
      <c r="VKV153" s="1058"/>
      <c r="VKW153" s="1059"/>
      <c r="VKX153" s="1058"/>
      <c r="VKY153" s="1059"/>
      <c r="VKZ153" s="1058"/>
      <c r="VLA153" s="1059"/>
      <c r="VLB153" s="1058"/>
      <c r="VLC153" s="1059"/>
      <c r="VLD153" s="1058"/>
      <c r="VLE153" s="1059"/>
      <c r="VLF153" s="1058"/>
      <c r="VLG153" s="1059"/>
      <c r="VLH153" s="1058"/>
      <c r="VLI153" s="1059"/>
      <c r="VLJ153" s="1058"/>
      <c r="VLK153" s="1059"/>
      <c r="VLL153" s="1058"/>
      <c r="VLM153" s="1059"/>
      <c r="VLN153" s="1058"/>
      <c r="VLO153" s="1059"/>
      <c r="VLP153" s="1058"/>
      <c r="VLQ153" s="1059"/>
      <c r="VLR153" s="1058"/>
      <c r="VLS153" s="1059"/>
      <c r="VLT153" s="1058"/>
      <c r="VLU153" s="1059"/>
      <c r="VLV153" s="1058"/>
      <c r="VLW153" s="1059"/>
      <c r="VLX153" s="1058"/>
      <c r="VLY153" s="1059"/>
      <c r="VLZ153" s="1058"/>
      <c r="VMA153" s="1059"/>
      <c r="VMB153" s="1058"/>
      <c r="VMC153" s="1059"/>
      <c r="VMD153" s="1058"/>
      <c r="VME153" s="1059"/>
      <c r="VMF153" s="1058"/>
      <c r="VMG153" s="1059"/>
      <c r="VMH153" s="1058"/>
      <c r="VMI153" s="1059"/>
      <c r="VMJ153" s="1058"/>
      <c r="VMK153" s="1059"/>
      <c r="VML153" s="1058"/>
      <c r="VMM153" s="1059"/>
      <c r="VMN153" s="1058"/>
      <c r="VMO153" s="1059"/>
      <c r="VMP153" s="1058"/>
      <c r="VMQ153" s="1059"/>
      <c r="VMR153" s="1058"/>
      <c r="VMS153" s="1059"/>
      <c r="VMT153" s="1058"/>
      <c r="VMU153" s="1059"/>
      <c r="VMV153" s="1058"/>
      <c r="VMW153" s="1059"/>
      <c r="VMX153" s="1058"/>
      <c r="VMY153" s="1059"/>
      <c r="VMZ153" s="1058"/>
      <c r="VNA153" s="1059"/>
      <c r="VNB153" s="1058"/>
      <c r="VNC153" s="1059"/>
      <c r="VND153" s="1058"/>
      <c r="VNE153" s="1059"/>
      <c r="VNF153" s="1058"/>
      <c r="VNG153" s="1059"/>
      <c r="VNH153" s="1058"/>
      <c r="VNI153" s="1059"/>
      <c r="VNJ153" s="1058"/>
      <c r="VNK153" s="1059"/>
      <c r="VNL153" s="1058"/>
      <c r="VNM153" s="1059"/>
      <c r="VNN153" s="1058"/>
      <c r="VNO153" s="1059"/>
      <c r="VNP153" s="1058"/>
      <c r="VNQ153" s="1059"/>
      <c r="VNR153" s="1058"/>
      <c r="VNS153" s="1059"/>
      <c r="VNT153" s="1058"/>
      <c r="VNU153" s="1059"/>
      <c r="VNV153" s="1058"/>
      <c r="VNW153" s="1059"/>
      <c r="VNX153" s="1058"/>
      <c r="VNY153" s="1059"/>
      <c r="VNZ153" s="1058"/>
      <c r="VOA153" s="1059"/>
      <c r="VOB153" s="1058"/>
      <c r="VOC153" s="1059"/>
      <c r="VOD153" s="1058"/>
      <c r="VOE153" s="1059"/>
      <c r="VOF153" s="1058"/>
      <c r="VOG153" s="1059"/>
      <c r="VOH153" s="1058"/>
      <c r="VOI153" s="1059"/>
      <c r="VOJ153" s="1058"/>
      <c r="VOK153" s="1059"/>
      <c r="VOL153" s="1058"/>
      <c r="VOM153" s="1059"/>
      <c r="VON153" s="1058"/>
      <c r="VOO153" s="1059"/>
      <c r="VOP153" s="1058"/>
      <c r="VOQ153" s="1059"/>
      <c r="VOR153" s="1058"/>
      <c r="VOS153" s="1059"/>
      <c r="VOT153" s="1058"/>
      <c r="VOU153" s="1059"/>
      <c r="VOV153" s="1058"/>
      <c r="VOW153" s="1059"/>
      <c r="VOX153" s="1058"/>
      <c r="VOY153" s="1059"/>
      <c r="VOZ153" s="1058"/>
      <c r="VPA153" s="1059"/>
      <c r="VPB153" s="1058"/>
      <c r="VPC153" s="1059"/>
      <c r="VPD153" s="1058"/>
      <c r="VPE153" s="1059"/>
      <c r="VPF153" s="1058"/>
      <c r="VPG153" s="1059"/>
      <c r="VPH153" s="1058"/>
      <c r="VPI153" s="1059"/>
      <c r="VPJ153" s="1058"/>
      <c r="VPK153" s="1059"/>
      <c r="VPL153" s="1058"/>
      <c r="VPM153" s="1059"/>
      <c r="VPN153" s="1058"/>
      <c r="VPO153" s="1059"/>
      <c r="VPP153" s="1058"/>
      <c r="VPQ153" s="1059"/>
      <c r="VPR153" s="1058"/>
      <c r="VPS153" s="1059"/>
      <c r="VPT153" s="1058"/>
      <c r="VPU153" s="1059"/>
      <c r="VPV153" s="1058"/>
      <c r="VPW153" s="1059"/>
      <c r="VPX153" s="1058"/>
      <c r="VPY153" s="1059"/>
      <c r="VPZ153" s="1058"/>
      <c r="VQA153" s="1059"/>
      <c r="VQB153" s="1058"/>
      <c r="VQC153" s="1059"/>
      <c r="VQD153" s="1058"/>
      <c r="VQE153" s="1059"/>
      <c r="VQF153" s="1058"/>
      <c r="VQG153" s="1059"/>
      <c r="VQH153" s="1058"/>
      <c r="VQI153" s="1059"/>
      <c r="VQJ153" s="1058"/>
      <c r="VQK153" s="1059"/>
      <c r="VQL153" s="1058"/>
      <c r="VQM153" s="1059"/>
      <c r="VQN153" s="1058"/>
      <c r="VQO153" s="1059"/>
      <c r="VQP153" s="1058"/>
      <c r="VQQ153" s="1059"/>
      <c r="VQR153" s="1058"/>
      <c r="VQS153" s="1059"/>
      <c r="VQT153" s="1058"/>
      <c r="VQU153" s="1059"/>
      <c r="VQV153" s="1058"/>
      <c r="VQW153" s="1059"/>
      <c r="VQX153" s="1058"/>
      <c r="VQY153" s="1059"/>
      <c r="VQZ153" s="1058"/>
      <c r="VRA153" s="1059"/>
      <c r="VRB153" s="1058"/>
      <c r="VRC153" s="1059"/>
      <c r="VRD153" s="1058"/>
      <c r="VRE153" s="1059"/>
      <c r="VRF153" s="1058"/>
      <c r="VRG153" s="1059"/>
      <c r="VRH153" s="1058"/>
      <c r="VRI153" s="1059"/>
      <c r="VRJ153" s="1058"/>
      <c r="VRK153" s="1059"/>
      <c r="VRL153" s="1058"/>
      <c r="VRM153" s="1059"/>
      <c r="VRN153" s="1058"/>
      <c r="VRO153" s="1059"/>
      <c r="VRP153" s="1058"/>
      <c r="VRQ153" s="1059"/>
      <c r="VRR153" s="1058"/>
      <c r="VRS153" s="1059"/>
      <c r="VRT153" s="1058"/>
      <c r="VRU153" s="1059"/>
      <c r="VRV153" s="1058"/>
      <c r="VRW153" s="1059"/>
      <c r="VRX153" s="1058"/>
      <c r="VRY153" s="1059"/>
      <c r="VRZ153" s="1058"/>
      <c r="VSA153" s="1059"/>
      <c r="VSB153" s="1058"/>
      <c r="VSC153" s="1059"/>
      <c r="VSD153" s="1058"/>
      <c r="VSE153" s="1059"/>
      <c r="VSF153" s="1058"/>
      <c r="VSG153" s="1059"/>
      <c r="VSH153" s="1058"/>
      <c r="VSI153" s="1059"/>
      <c r="VSJ153" s="1058"/>
      <c r="VSK153" s="1059"/>
      <c r="VSL153" s="1058"/>
      <c r="VSM153" s="1059"/>
      <c r="VSN153" s="1058"/>
      <c r="VSO153" s="1059"/>
      <c r="VSP153" s="1058"/>
      <c r="VSQ153" s="1059"/>
      <c r="VSR153" s="1058"/>
      <c r="VSS153" s="1059"/>
      <c r="VST153" s="1058"/>
      <c r="VSU153" s="1059"/>
      <c r="VSV153" s="1058"/>
      <c r="VSW153" s="1059"/>
      <c r="VSX153" s="1058"/>
      <c r="VSY153" s="1059"/>
      <c r="VSZ153" s="1058"/>
      <c r="VTA153" s="1059"/>
      <c r="VTB153" s="1058"/>
      <c r="VTC153" s="1059"/>
      <c r="VTD153" s="1058"/>
      <c r="VTE153" s="1059"/>
      <c r="VTF153" s="1058"/>
      <c r="VTG153" s="1059"/>
      <c r="VTH153" s="1058"/>
      <c r="VTI153" s="1059"/>
      <c r="VTJ153" s="1058"/>
      <c r="VTK153" s="1059"/>
      <c r="VTL153" s="1058"/>
      <c r="VTM153" s="1059"/>
      <c r="VTN153" s="1058"/>
      <c r="VTO153" s="1059"/>
      <c r="VTP153" s="1058"/>
      <c r="VTQ153" s="1059"/>
      <c r="VTR153" s="1058"/>
      <c r="VTS153" s="1059"/>
      <c r="VTT153" s="1058"/>
      <c r="VTU153" s="1059"/>
      <c r="VTV153" s="1058"/>
      <c r="VTW153" s="1059"/>
      <c r="VTX153" s="1058"/>
      <c r="VTY153" s="1059"/>
      <c r="VTZ153" s="1058"/>
      <c r="VUA153" s="1059"/>
      <c r="VUB153" s="1058"/>
      <c r="VUC153" s="1059"/>
      <c r="VUD153" s="1058"/>
      <c r="VUE153" s="1059"/>
      <c r="VUF153" s="1058"/>
      <c r="VUG153" s="1059"/>
      <c r="VUH153" s="1058"/>
      <c r="VUI153" s="1059"/>
      <c r="VUJ153" s="1058"/>
      <c r="VUK153" s="1059"/>
      <c r="VUL153" s="1058"/>
      <c r="VUM153" s="1059"/>
      <c r="VUN153" s="1058"/>
      <c r="VUO153" s="1059"/>
      <c r="VUP153" s="1058"/>
      <c r="VUQ153" s="1059"/>
      <c r="VUR153" s="1058"/>
      <c r="VUS153" s="1059"/>
      <c r="VUT153" s="1058"/>
      <c r="VUU153" s="1059"/>
      <c r="VUV153" s="1058"/>
      <c r="VUW153" s="1059"/>
      <c r="VUX153" s="1058"/>
      <c r="VUY153" s="1059"/>
      <c r="VUZ153" s="1058"/>
      <c r="VVA153" s="1059"/>
      <c r="VVB153" s="1058"/>
      <c r="VVC153" s="1059"/>
      <c r="VVD153" s="1058"/>
      <c r="VVE153" s="1059"/>
      <c r="VVF153" s="1058"/>
      <c r="VVG153" s="1059"/>
      <c r="VVH153" s="1058"/>
      <c r="VVI153" s="1059"/>
      <c r="VVJ153" s="1058"/>
      <c r="VVK153" s="1059"/>
      <c r="VVL153" s="1058"/>
      <c r="VVM153" s="1059"/>
      <c r="VVN153" s="1058"/>
      <c r="VVO153" s="1059"/>
      <c r="VVP153" s="1058"/>
      <c r="VVQ153" s="1059"/>
      <c r="VVR153" s="1058"/>
      <c r="VVS153" s="1059"/>
      <c r="VVT153" s="1058"/>
      <c r="VVU153" s="1059"/>
      <c r="VVV153" s="1058"/>
      <c r="VVW153" s="1059"/>
      <c r="VVX153" s="1058"/>
      <c r="VVY153" s="1059"/>
      <c r="VVZ153" s="1058"/>
      <c r="VWA153" s="1059"/>
      <c r="VWB153" s="1058"/>
      <c r="VWC153" s="1059"/>
      <c r="VWD153" s="1058"/>
      <c r="VWE153" s="1059"/>
      <c r="VWF153" s="1058"/>
      <c r="VWG153" s="1059"/>
      <c r="VWH153" s="1058"/>
      <c r="VWI153" s="1059"/>
      <c r="VWJ153" s="1058"/>
      <c r="VWK153" s="1059"/>
      <c r="VWL153" s="1058"/>
      <c r="VWM153" s="1059"/>
      <c r="VWN153" s="1058"/>
      <c r="VWO153" s="1059"/>
      <c r="VWP153" s="1058"/>
      <c r="VWQ153" s="1059"/>
      <c r="VWR153" s="1058"/>
      <c r="VWS153" s="1059"/>
      <c r="VWT153" s="1058"/>
      <c r="VWU153" s="1059"/>
      <c r="VWV153" s="1058"/>
      <c r="VWW153" s="1059"/>
      <c r="VWX153" s="1058"/>
      <c r="VWY153" s="1059"/>
      <c r="VWZ153" s="1058"/>
      <c r="VXA153" s="1059"/>
      <c r="VXB153" s="1058"/>
      <c r="VXC153" s="1059"/>
      <c r="VXD153" s="1058"/>
      <c r="VXE153" s="1059"/>
      <c r="VXF153" s="1058"/>
      <c r="VXG153" s="1059"/>
      <c r="VXH153" s="1058"/>
      <c r="VXI153" s="1059"/>
      <c r="VXJ153" s="1058"/>
      <c r="VXK153" s="1059"/>
      <c r="VXL153" s="1058"/>
      <c r="VXM153" s="1059"/>
      <c r="VXN153" s="1058"/>
      <c r="VXO153" s="1059"/>
      <c r="VXP153" s="1058"/>
      <c r="VXQ153" s="1059"/>
      <c r="VXR153" s="1058"/>
      <c r="VXS153" s="1059"/>
      <c r="VXT153" s="1058"/>
      <c r="VXU153" s="1059"/>
      <c r="VXV153" s="1058"/>
      <c r="VXW153" s="1059"/>
      <c r="VXX153" s="1058"/>
      <c r="VXY153" s="1059"/>
      <c r="VXZ153" s="1058"/>
      <c r="VYA153" s="1059"/>
      <c r="VYB153" s="1058"/>
      <c r="VYC153" s="1059"/>
      <c r="VYD153" s="1058"/>
      <c r="VYE153" s="1059"/>
      <c r="VYF153" s="1058"/>
      <c r="VYG153" s="1059"/>
      <c r="VYH153" s="1058"/>
      <c r="VYI153" s="1059"/>
      <c r="VYJ153" s="1058"/>
      <c r="VYK153" s="1059"/>
      <c r="VYL153" s="1058"/>
      <c r="VYM153" s="1059"/>
      <c r="VYN153" s="1058"/>
      <c r="VYO153" s="1059"/>
      <c r="VYP153" s="1058"/>
      <c r="VYQ153" s="1059"/>
      <c r="VYR153" s="1058"/>
      <c r="VYS153" s="1059"/>
      <c r="VYT153" s="1058"/>
      <c r="VYU153" s="1059"/>
      <c r="VYV153" s="1058"/>
      <c r="VYW153" s="1059"/>
      <c r="VYX153" s="1058"/>
      <c r="VYY153" s="1059"/>
      <c r="VYZ153" s="1058"/>
      <c r="VZA153" s="1059"/>
      <c r="VZB153" s="1058"/>
      <c r="VZC153" s="1059"/>
      <c r="VZD153" s="1058"/>
      <c r="VZE153" s="1059"/>
      <c r="VZF153" s="1058"/>
      <c r="VZG153" s="1059"/>
      <c r="VZH153" s="1058"/>
      <c r="VZI153" s="1059"/>
      <c r="VZJ153" s="1058"/>
      <c r="VZK153" s="1059"/>
      <c r="VZL153" s="1058"/>
      <c r="VZM153" s="1059"/>
      <c r="VZN153" s="1058"/>
      <c r="VZO153" s="1059"/>
      <c r="VZP153" s="1058"/>
      <c r="VZQ153" s="1059"/>
      <c r="VZR153" s="1058"/>
      <c r="VZS153" s="1059"/>
      <c r="VZT153" s="1058"/>
      <c r="VZU153" s="1059"/>
      <c r="VZV153" s="1058"/>
      <c r="VZW153" s="1059"/>
      <c r="VZX153" s="1058"/>
      <c r="VZY153" s="1059"/>
      <c r="VZZ153" s="1058"/>
      <c r="WAA153" s="1059"/>
      <c r="WAB153" s="1058"/>
      <c r="WAC153" s="1059"/>
      <c r="WAD153" s="1058"/>
      <c r="WAE153" s="1059"/>
      <c r="WAF153" s="1058"/>
      <c r="WAG153" s="1059"/>
      <c r="WAH153" s="1058"/>
      <c r="WAI153" s="1059"/>
      <c r="WAJ153" s="1058"/>
      <c r="WAK153" s="1059"/>
      <c r="WAL153" s="1058"/>
      <c r="WAM153" s="1059"/>
      <c r="WAN153" s="1058"/>
      <c r="WAO153" s="1059"/>
      <c r="WAP153" s="1058"/>
      <c r="WAQ153" s="1059"/>
      <c r="WAR153" s="1058"/>
      <c r="WAS153" s="1059"/>
      <c r="WAT153" s="1058"/>
      <c r="WAU153" s="1059"/>
      <c r="WAV153" s="1058"/>
      <c r="WAW153" s="1059"/>
      <c r="WAX153" s="1058"/>
      <c r="WAY153" s="1059"/>
      <c r="WAZ153" s="1058"/>
      <c r="WBA153" s="1059"/>
      <c r="WBB153" s="1058"/>
      <c r="WBC153" s="1059"/>
      <c r="WBD153" s="1058"/>
      <c r="WBE153" s="1059"/>
      <c r="WBF153" s="1058"/>
      <c r="WBG153" s="1059"/>
      <c r="WBH153" s="1058"/>
      <c r="WBI153" s="1059"/>
      <c r="WBJ153" s="1058"/>
      <c r="WBK153" s="1059"/>
      <c r="WBL153" s="1058"/>
      <c r="WBM153" s="1059"/>
      <c r="WBN153" s="1058"/>
      <c r="WBO153" s="1059"/>
      <c r="WBP153" s="1058"/>
      <c r="WBQ153" s="1059"/>
      <c r="WBR153" s="1058"/>
      <c r="WBS153" s="1059"/>
      <c r="WBT153" s="1058"/>
      <c r="WBU153" s="1059"/>
      <c r="WBV153" s="1058"/>
      <c r="WBW153" s="1059"/>
      <c r="WBX153" s="1058"/>
      <c r="WBY153" s="1059"/>
      <c r="WBZ153" s="1058"/>
      <c r="WCA153" s="1059"/>
      <c r="WCB153" s="1058"/>
      <c r="WCC153" s="1059"/>
      <c r="WCD153" s="1058"/>
      <c r="WCE153" s="1059"/>
      <c r="WCF153" s="1058"/>
      <c r="WCG153" s="1059"/>
      <c r="WCH153" s="1058"/>
      <c r="WCI153" s="1059"/>
      <c r="WCJ153" s="1058"/>
      <c r="WCK153" s="1059"/>
      <c r="WCL153" s="1058"/>
      <c r="WCM153" s="1059"/>
      <c r="WCN153" s="1058"/>
      <c r="WCO153" s="1059"/>
      <c r="WCP153" s="1058"/>
      <c r="WCQ153" s="1059"/>
      <c r="WCR153" s="1058"/>
      <c r="WCS153" s="1059"/>
      <c r="WCT153" s="1058"/>
      <c r="WCU153" s="1059"/>
      <c r="WCV153" s="1058"/>
      <c r="WCW153" s="1059"/>
      <c r="WCX153" s="1058"/>
      <c r="WCY153" s="1059"/>
      <c r="WCZ153" s="1058"/>
      <c r="WDA153" s="1059"/>
      <c r="WDB153" s="1058"/>
      <c r="WDC153" s="1059"/>
      <c r="WDD153" s="1058"/>
      <c r="WDE153" s="1059"/>
      <c r="WDF153" s="1058"/>
      <c r="WDG153" s="1059"/>
      <c r="WDH153" s="1058"/>
      <c r="WDI153" s="1059"/>
      <c r="WDJ153" s="1058"/>
      <c r="WDK153" s="1059"/>
      <c r="WDL153" s="1058"/>
      <c r="WDM153" s="1059"/>
      <c r="WDN153" s="1058"/>
      <c r="WDO153" s="1059"/>
      <c r="WDP153" s="1058"/>
      <c r="WDQ153" s="1059"/>
      <c r="WDR153" s="1058"/>
      <c r="WDS153" s="1059"/>
      <c r="WDT153" s="1058"/>
      <c r="WDU153" s="1059"/>
      <c r="WDV153" s="1058"/>
      <c r="WDW153" s="1059"/>
      <c r="WDX153" s="1058"/>
      <c r="WDY153" s="1059"/>
      <c r="WDZ153" s="1058"/>
      <c r="WEA153" s="1059"/>
      <c r="WEB153" s="1058"/>
      <c r="WEC153" s="1059"/>
      <c r="WED153" s="1058"/>
      <c r="WEE153" s="1059"/>
      <c r="WEF153" s="1058"/>
      <c r="WEG153" s="1059"/>
      <c r="WEH153" s="1058"/>
      <c r="WEI153" s="1059"/>
      <c r="WEJ153" s="1058"/>
      <c r="WEK153" s="1059"/>
      <c r="WEL153" s="1058"/>
      <c r="WEM153" s="1059"/>
      <c r="WEN153" s="1058"/>
      <c r="WEO153" s="1059"/>
      <c r="WEP153" s="1058"/>
      <c r="WEQ153" s="1059"/>
      <c r="WER153" s="1058"/>
      <c r="WES153" s="1059"/>
      <c r="WET153" s="1058"/>
      <c r="WEU153" s="1059"/>
      <c r="WEV153" s="1058"/>
      <c r="WEW153" s="1059"/>
      <c r="WEX153" s="1058"/>
      <c r="WEY153" s="1059"/>
      <c r="WEZ153" s="1058"/>
      <c r="WFA153" s="1059"/>
      <c r="WFB153" s="1058"/>
      <c r="WFC153" s="1059"/>
      <c r="WFD153" s="1058"/>
      <c r="WFE153" s="1059"/>
      <c r="WFF153" s="1058"/>
      <c r="WFG153" s="1059"/>
      <c r="WFH153" s="1058"/>
      <c r="WFI153" s="1059"/>
      <c r="WFJ153" s="1058"/>
      <c r="WFK153" s="1059"/>
      <c r="WFL153" s="1058"/>
      <c r="WFM153" s="1059"/>
      <c r="WFN153" s="1058"/>
      <c r="WFO153" s="1059"/>
      <c r="WFP153" s="1058"/>
      <c r="WFQ153" s="1059"/>
      <c r="WFR153" s="1058"/>
      <c r="WFS153" s="1059"/>
      <c r="WFT153" s="1058"/>
      <c r="WFU153" s="1059"/>
      <c r="WFV153" s="1058"/>
      <c r="WFW153" s="1059"/>
      <c r="WFX153" s="1058"/>
      <c r="WFY153" s="1059"/>
      <c r="WFZ153" s="1058"/>
      <c r="WGA153" s="1059"/>
      <c r="WGB153" s="1058"/>
      <c r="WGC153" s="1059"/>
      <c r="WGD153" s="1058"/>
      <c r="WGE153" s="1059"/>
      <c r="WGF153" s="1058"/>
      <c r="WGG153" s="1059"/>
      <c r="WGH153" s="1058"/>
      <c r="WGI153" s="1059"/>
      <c r="WGJ153" s="1058"/>
      <c r="WGK153" s="1059"/>
      <c r="WGL153" s="1058"/>
      <c r="WGM153" s="1059"/>
      <c r="WGN153" s="1058"/>
      <c r="WGO153" s="1059"/>
      <c r="WGP153" s="1058"/>
      <c r="WGQ153" s="1059"/>
      <c r="WGR153" s="1058"/>
      <c r="WGS153" s="1059"/>
      <c r="WGT153" s="1058"/>
      <c r="WGU153" s="1059"/>
      <c r="WGV153" s="1058"/>
      <c r="WGW153" s="1059"/>
      <c r="WGX153" s="1058"/>
      <c r="WGY153" s="1059"/>
      <c r="WGZ153" s="1058"/>
      <c r="WHA153" s="1059"/>
      <c r="WHB153" s="1058"/>
      <c r="WHC153" s="1059"/>
      <c r="WHD153" s="1058"/>
      <c r="WHE153" s="1059"/>
      <c r="WHF153" s="1058"/>
      <c r="WHG153" s="1059"/>
      <c r="WHH153" s="1058"/>
      <c r="WHI153" s="1059"/>
      <c r="WHJ153" s="1058"/>
      <c r="WHK153" s="1059"/>
      <c r="WHL153" s="1058"/>
      <c r="WHM153" s="1059"/>
      <c r="WHN153" s="1058"/>
      <c r="WHO153" s="1059"/>
      <c r="WHP153" s="1058"/>
      <c r="WHQ153" s="1059"/>
      <c r="WHR153" s="1058"/>
      <c r="WHS153" s="1059"/>
      <c r="WHT153" s="1058"/>
      <c r="WHU153" s="1059"/>
      <c r="WHV153" s="1058"/>
      <c r="WHW153" s="1059"/>
      <c r="WHX153" s="1058"/>
      <c r="WHY153" s="1059"/>
      <c r="WHZ153" s="1058"/>
      <c r="WIA153" s="1059"/>
      <c r="WIB153" s="1058"/>
      <c r="WIC153" s="1059"/>
      <c r="WID153" s="1058"/>
      <c r="WIE153" s="1059"/>
      <c r="WIF153" s="1058"/>
      <c r="WIG153" s="1059"/>
      <c r="WIH153" s="1058"/>
      <c r="WII153" s="1059"/>
      <c r="WIJ153" s="1058"/>
      <c r="WIK153" s="1059"/>
      <c r="WIL153" s="1058"/>
      <c r="WIM153" s="1059"/>
      <c r="WIN153" s="1058"/>
      <c r="WIO153" s="1059"/>
      <c r="WIP153" s="1058"/>
      <c r="WIQ153" s="1059"/>
      <c r="WIR153" s="1058"/>
      <c r="WIS153" s="1059"/>
      <c r="WIT153" s="1058"/>
      <c r="WIU153" s="1059"/>
      <c r="WIV153" s="1058"/>
      <c r="WIW153" s="1059"/>
      <c r="WIX153" s="1058"/>
      <c r="WIY153" s="1059"/>
      <c r="WIZ153" s="1058"/>
      <c r="WJA153" s="1059"/>
      <c r="WJB153" s="1058"/>
      <c r="WJC153" s="1059"/>
      <c r="WJD153" s="1058"/>
      <c r="WJE153" s="1059"/>
      <c r="WJF153" s="1058"/>
      <c r="WJG153" s="1059"/>
      <c r="WJH153" s="1058"/>
      <c r="WJI153" s="1059"/>
      <c r="WJJ153" s="1058"/>
      <c r="WJK153" s="1059"/>
      <c r="WJL153" s="1058"/>
      <c r="WJM153" s="1059"/>
      <c r="WJN153" s="1058"/>
      <c r="WJO153" s="1059"/>
      <c r="WJP153" s="1058"/>
      <c r="WJQ153" s="1059"/>
      <c r="WJR153" s="1058"/>
      <c r="WJS153" s="1059"/>
      <c r="WJT153" s="1058"/>
      <c r="WJU153" s="1059"/>
      <c r="WJV153" s="1058"/>
      <c r="WJW153" s="1059"/>
      <c r="WJX153" s="1058"/>
      <c r="WJY153" s="1059"/>
      <c r="WJZ153" s="1058"/>
      <c r="WKA153" s="1059"/>
      <c r="WKB153" s="1058"/>
      <c r="WKC153" s="1059"/>
      <c r="WKD153" s="1058"/>
      <c r="WKE153" s="1059"/>
      <c r="WKF153" s="1058"/>
      <c r="WKG153" s="1059"/>
      <c r="WKH153" s="1058"/>
      <c r="WKI153" s="1059"/>
      <c r="WKJ153" s="1058"/>
      <c r="WKK153" s="1059"/>
      <c r="WKL153" s="1058"/>
      <c r="WKM153" s="1059"/>
      <c r="WKN153" s="1058"/>
      <c r="WKO153" s="1059"/>
      <c r="WKP153" s="1058"/>
      <c r="WKQ153" s="1059"/>
      <c r="WKR153" s="1058"/>
      <c r="WKS153" s="1059"/>
      <c r="WKT153" s="1058"/>
      <c r="WKU153" s="1059"/>
      <c r="WKV153" s="1058"/>
      <c r="WKW153" s="1059"/>
      <c r="WKX153" s="1058"/>
      <c r="WKY153" s="1059"/>
      <c r="WKZ153" s="1058"/>
      <c r="WLA153" s="1059"/>
      <c r="WLB153" s="1058"/>
      <c r="WLC153" s="1059"/>
      <c r="WLD153" s="1058"/>
      <c r="WLE153" s="1059"/>
      <c r="WLF153" s="1058"/>
      <c r="WLG153" s="1059"/>
      <c r="WLH153" s="1058"/>
      <c r="WLI153" s="1059"/>
      <c r="WLJ153" s="1058"/>
      <c r="WLK153" s="1059"/>
      <c r="WLL153" s="1058"/>
      <c r="WLM153" s="1059"/>
      <c r="WLN153" s="1058"/>
      <c r="WLO153" s="1059"/>
      <c r="WLP153" s="1058"/>
      <c r="WLQ153" s="1059"/>
      <c r="WLR153" s="1058"/>
      <c r="WLS153" s="1059"/>
      <c r="WLT153" s="1058"/>
      <c r="WLU153" s="1059"/>
      <c r="WLV153" s="1058"/>
      <c r="WLW153" s="1059"/>
      <c r="WLX153" s="1058"/>
      <c r="WLY153" s="1059"/>
      <c r="WLZ153" s="1058"/>
      <c r="WMA153" s="1059"/>
      <c r="WMB153" s="1058"/>
      <c r="WMC153" s="1059"/>
      <c r="WMD153" s="1058"/>
      <c r="WME153" s="1059"/>
      <c r="WMF153" s="1058"/>
      <c r="WMG153" s="1059"/>
      <c r="WMH153" s="1058"/>
      <c r="WMI153" s="1059"/>
      <c r="WMJ153" s="1058"/>
      <c r="WMK153" s="1059"/>
      <c r="WML153" s="1058"/>
      <c r="WMM153" s="1059"/>
      <c r="WMN153" s="1058"/>
      <c r="WMO153" s="1059"/>
      <c r="WMP153" s="1058"/>
      <c r="WMQ153" s="1059"/>
      <c r="WMR153" s="1058"/>
      <c r="WMS153" s="1059"/>
      <c r="WMT153" s="1058"/>
      <c r="WMU153" s="1059"/>
      <c r="WMV153" s="1058"/>
      <c r="WMW153" s="1059"/>
      <c r="WMX153" s="1058"/>
      <c r="WMY153" s="1059"/>
      <c r="WMZ153" s="1058"/>
      <c r="WNA153" s="1059"/>
      <c r="WNB153" s="1058"/>
      <c r="WNC153" s="1059"/>
      <c r="WND153" s="1058"/>
      <c r="WNE153" s="1059"/>
      <c r="WNF153" s="1058"/>
      <c r="WNG153" s="1059"/>
      <c r="WNH153" s="1058"/>
      <c r="WNI153" s="1059"/>
      <c r="WNJ153" s="1058"/>
      <c r="WNK153" s="1059"/>
      <c r="WNL153" s="1058"/>
      <c r="WNM153" s="1059"/>
      <c r="WNN153" s="1058"/>
      <c r="WNO153" s="1059"/>
      <c r="WNP153" s="1058"/>
      <c r="WNQ153" s="1059"/>
      <c r="WNR153" s="1058"/>
      <c r="WNS153" s="1059"/>
      <c r="WNT153" s="1058"/>
      <c r="WNU153" s="1059"/>
      <c r="WNV153" s="1058"/>
      <c r="WNW153" s="1059"/>
      <c r="WNX153" s="1058"/>
      <c r="WNY153" s="1059"/>
      <c r="WNZ153" s="1058"/>
      <c r="WOA153" s="1059"/>
      <c r="WOB153" s="1058"/>
      <c r="WOC153" s="1059"/>
      <c r="WOD153" s="1058"/>
      <c r="WOE153" s="1059"/>
      <c r="WOF153" s="1058"/>
      <c r="WOG153" s="1059"/>
      <c r="WOH153" s="1058"/>
      <c r="WOI153" s="1059"/>
      <c r="WOJ153" s="1058"/>
      <c r="WOK153" s="1059"/>
      <c r="WOL153" s="1058"/>
      <c r="WOM153" s="1059"/>
      <c r="WON153" s="1058"/>
      <c r="WOO153" s="1059"/>
      <c r="WOP153" s="1058"/>
      <c r="WOQ153" s="1059"/>
      <c r="WOR153" s="1058"/>
      <c r="WOS153" s="1059"/>
      <c r="WOT153" s="1058"/>
      <c r="WOU153" s="1059"/>
      <c r="WOV153" s="1058"/>
      <c r="WOW153" s="1059"/>
      <c r="WOX153" s="1058"/>
      <c r="WOY153" s="1059"/>
      <c r="WOZ153" s="1058"/>
      <c r="WPA153" s="1059"/>
      <c r="WPB153" s="1058"/>
      <c r="WPC153" s="1059"/>
      <c r="WPD153" s="1058"/>
      <c r="WPE153" s="1059"/>
      <c r="WPF153" s="1058"/>
      <c r="WPG153" s="1059"/>
      <c r="WPH153" s="1058"/>
      <c r="WPI153" s="1059"/>
      <c r="WPJ153" s="1058"/>
      <c r="WPK153" s="1059"/>
      <c r="WPL153" s="1058"/>
      <c r="WPM153" s="1059"/>
      <c r="WPN153" s="1058"/>
      <c r="WPO153" s="1059"/>
      <c r="WPP153" s="1058"/>
      <c r="WPQ153" s="1059"/>
      <c r="WPR153" s="1058"/>
      <c r="WPS153" s="1059"/>
      <c r="WPT153" s="1058"/>
      <c r="WPU153" s="1059"/>
      <c r="WPV153" s="1058"/>
      <c r="WPW153" s="1059"/>
      <c r="WPX153" s="1058"/>
      <c r="WPY153" s="1059"/>
      <c r="WPZ153" s="1058"/>
      <c r="WQA153" s="1059"/>
      <c r="WQB153" s="1058"/>
      <c r="WQC153" s="1059"/>
      <c r="WQD153" s="1058"/>
      <c r="WQE153" s="1059"/>
      <c r="WQF153" s="1058"/>
      <c r="WQG153" s="1059"/>
      <c r="WQH153" s="1058"/>
      <c r="WQI153" s="1059"/>
      <c r="WQJ153" s="1058"/>
      <c r="WQK153" s="1059"/>
      <c r="WQL153" s="1058"/>
      <c r="WQM153" s="1059"/>
      <c r="WQN153" s="1058"/>
      <c r="WQO153" s="1059"/>
      <c r="WQP153" s="1058"/>
      <c r="WQQ153" s="1059"/>
      <c r="WQR153" s="1058"/>
      <c r="WQS153" s="1059"/>
      <c r="WQT153" s="1058"/>
      <c r="WQU153" s="1059"/>
      <c r="WQV153" s="1058"/>
      <c r="WQW153" s="1059"/>
      <c r="WQX153" s="1058"/>
      <c r="WQY153" s="1059"/>
      <c r="WQZ153" s="1058"/>
      <c r="WRA153" s="1059"/>
      <c r="WRB153" s="1058"/>
      <c r="WRC153" s="1059"/>
      <c r="WRD153" s="1058"/>
      <c r="WRE153" s="1059"/>
      <c r="WRF153" s="1058"/>
      <c r="WRG153" s="1059"/>
      <c r="WRH153" s="1058"/>
      <c r="WRI153" s="1059"/>
      <c r="WRJ153" s="1058"/>
      <c r="WRK153" s="1059"/>
      <c r="WRL153" s="1058"/>
      <c r="WRM153" s="1059"/>
      <c r="WRN153" s="1058"/>
      <c r="WRO153" s="1059"/>
      <c r="WRP153" s="1058"/>
      <c r="WRQ153" s="1059"/>
      <c r="WRR153" s="1058"/>
      <c r="WRS153" s="1059"/>
      <c r="WRT153" s="1058"/>
      <c r="WRU153" s="1059"/>
      <c r="WRV153" s="1058"/>
      <c r="WRW153" s="1059"/>
      <c r="WRX153" s="1058"/>
      <c r="WRY153" s="1059"/>
      <c r="WRZ153" s="1058"/>
      <c r="WSA153" s="1059"/>
      <c r="WSB153" s="1058"/>
      <c r="WSC153" s="1059"/>
      <c r="WSD153" s="1058"/>
      <c r="WSE153" s="1059"/>
      <c r="WSF153" s="1058"/>
      <c r="WSG153" s="1059"/>
      <c r="WSH153" s="1058"/>
      <c r="WSI153" s="1059"/>
      <c r="WSJ153" s="1058"/>
      <c r="WSK153" s="1059"/>
      <c r="WSL153" s="1058"/>
      <c r="WSM153" s="1059"/>
      <c r="WSN153" s="1058"/>
      <c r="WSO153" s="1059"/>
      <c r="WSP153" s="1058"/>
      <c r="WSQ153" s="1059"/>
      <c r="WSR153" s="1058"/>
      <c r="WSS153" s="1059"/>
      <c r="WST153" s="1058"/>
      <c r="WSU153" s="1059"/>
      <c r="WSV153" s="1058"/>
      <c r="WSW153" s="1059"/>
      <c r="WSX153" s="1058"/>
      <c r="WSY153" s="1059"/>
      <c r="WSZ153" s="1058"/>
      <c r="WTA153" s="1059"/>
      <c r="WTB153" s="1058"/>
      <c r="WTC153" s="1059"/>
      <c r="WTD153" s="1058"/>
      <c r="WTE153" s="1059"/>
      <c r="WTF153" s="1058"/>
      <c r="WTG153" s="1059"/>
      <c r="WTH153" s="1058"/>
      <c r="WTI153" s="1059"/>
      <c r="WTJ153" s="1058"/>
      <c r="WTK153" s="1059"/>
      <c r="WTL153" s="1058"/>
      <c r="WTM153" s="1059"/>
      <c r="WTN153" s="1058"/>
      <c r="WTO153" s="1059"/>
      <c r="WTP153" s="1058"/>
      <c r="WTQ153" s="1059"/>
      <c r="WTR153" s="1058"/>
      <c r="WTS153" s="1059"/>
      <c r="WTT153" s="1058"/>
      <c r="WTU153" s="1059"/>
      <c r="WTV153" s="1058"/>
      <c r="WTW153" s="1059"/>
      <c r="WTX153" s="1058"/>
      <c r="WTY153" s="1059"/>
      <c r="WTZ153" s="1058"/>
      <c r="WUA153" s="1059"/>
      <c r="WUB153" s="1058"/>
      <c r="WUC153" s="1059"/>
      <c r="WUD153" s="1058"/>
      <c r="WUE153" s="1059"/>
      <c r="WUF153" s="1058"/>
      <c r="WUG153" s="1059"/>
      <c r="WUH153" s="1058"/>
      <c r="WUI153" s="1059"/>
      <c r="WUJ153" s="1058"/>
      <c r="WUK153" s="1059"/>
      <c r="WUL153" s="1058"/>
      <c r="WUM153" s="1059"/>
      <c r="WUN153" s="1058"/>
      <c r="WUO153" s="1059"/>
      <c r="WUP153" s="1058"/>
      <c r="WUQ153" s="1059"/>
      <c r="WUR153" s="1058"/>
      <c r="WUS153" s="1059"/>
      <c r="WUT153" s="1058"/>
      <c r="WUU153" s="1059"/>
      <c r="WUV153" s="1058"/>
      <c r="WUW153" s="1059"/>
      <c r="WUX153" s="1058"/>
      <c r="WUY153" s="1059"/>
      <c r="WUZ153" s="1058"/>
      <c r="WVA153" s="1059"/>
      <c r="WVB153" s="1058"/>
      <c r="WVC153" s="1059"/>
      <c r="WVD153" s="1058"/>
      <c r="WVE153" s="1059"/>
      <c r="WVF153" s="1058"/>
      <c r="WVG153" s="1059"/>
      <c r="WVH153" s="1058"/>
      <c r="WVI153" s="1059"/>
      <c r="WVJ153" s="1058"/>
      <c r="WVK153" s="1059"/>
      <c r="WVL153" s="1058"/>
      <c r="WVM153" s="1059"/>
      <c r="WVN153" s="1058"/>
      <c r="WVO153" s="1059"/>
      <c r="WVP153" s="1058"/>
      <c r="WVQ153" s="1059"/>
      <c r="WVR153" s="1058"/>
      <c r="WVS153" s="1059"/>
      <c r="WVT153" s="1058"/>
      <c r="WVU153" s="1059"/>
      <c r="WVV153" s="1058"/>
      <c r="WVW153" s="1059"/>
      <c r="WVX153" s="1058"/>
      <c r="WVY153" s="1059"/>
      <c r="WVZ153" s="1058"/>
      <c r="WWA153" s="1059"/>
      <c r="WWB153" s="1058"/>
      <c r="WWC153" s="1059"/>
      <c r="WWD153" s="1058"/>
      <c r="WWE153" s="1059"/>
      <c r="WWF153" s="1058"/>
      <c r="WWG153" s="1059"/>
      <c r="WWH153" s="1058"/>
      <c r="WWI153" s="1059"/>
      <c r="WWJ153" s="1058"/>
      <c r="WWK153" s="1059"/>
      <c r="WWL153" s="1058"/>
      <c r="WWM153" s="1059"/>
      <c r="WWN153" s="1058"/>
      <c r="WWO153" s="1059"/>
      <c r="WWP153" s="1058"/>
      <c r="WWQ153" s="1059"/>
      <c r="WWR153" s="1058"/>
      <c r="WWS153" s="1059"/>
      <c r="WWT153" s="1058"/>
      <c r="WWU153" s="1059"/>
      <c r="WWV153" s="1058"/>
      <c r="WWW153" s="1059"/>
      <c r="WWX153" s="1058"/>
      <c r="WWY153" s="1059"/>
      <c r="WWZ153" s="1058"/>
      <c r="WXA153" s="1059"/>
      <c r="WXB153" s="1058"/>
      <c r="WXC153" s="1059"/>
      <c r="WXD153" s="1058"/>
      <c r="WXE153" s="1059"/>
      <c r="WXF153" s="1058"/>
      <c r="WXG153" s="1059"/>
      <c r="WXH153" s="1058"/>
      <c r="WXI153" s="1059"/>
      <c r="WXJ153" s="1058"/>
      <c r="WXK153" s="1059"/>
      <c r="WXL153" s="1058"/>
      <c r="WXM153" s="1059"/>
      <c r="WXN153" s="1058"/>
      <c r="WXO153" s="1059"/>
      <c r="WXP153" s="1058"/>
      <c r="WXQ153" s="1059"/>
      <c r="WXR153" s="1058"/>
      <c r="WXS153" s="1059"/>
      <c r="WXT153" s="1058"/>
      <c r="WXU153" s="1059"/>
      <c r="WXV153" s="1058"/>
      <c r="WXW153" s="1059"/>
      <c r="WXX153" s="1058"/>
      <c r="WXY153" s="1059"/>
      <c r="WXZ153" s="1058"/>
      <c r="WYA153" s="1059"/>
      <c r="WYB153" s="1058"/>
      <c r="WYC153" s="1059"/>
      <c r="WYD153" s="1058"/>
      <c r="WYE153" s="1059"/>
      <c r="WYF153" s="1058"/>
      <c r="WYG153" s="1059"/>
      <c r="WYH153" s="1058"/>
      <c r="WYI153" s="1059"/>
      <c r="WYJ153" s="1058"/>
      <c r="WYK153" s="1059"/>
      <c r="WYL153" s="1058"/>
      <c r="WYM153" s="1059"/>
      <c r="WYN153" s="1058"/>
      <c r="WYO153" s="1059"/>
      <c r="WYP153" s="1058"/>
      <c r="WYQ153" s="1059"/>
      <c r="WYR153" s="1058"/>
      <c r="WYS153" s="1059"/>
      <c r="WYT153" s="1058"/>
      <c r="WYU153" s="1059"/>
      <c r="WYV153" s="1058"/>
      <c r="WYW153" s="1059"/>
      <c r="WYX153" s="1058"/>
      <c r="WYY153" s="1059"/>
      <c r="WYZ153" s="1058"/>
      <c r="WZA153" s="1059"/>
      <c r="WZB153" s="1058"/>
      <c r="WZC153" s="1059"/>
      <c r="WZD153" s="1058"/>
      <c r="WZE153" s="1059"/>
      <c r="WZF153" s="1058"/>
      <c r="WZG153" s="1059"/>
      <c r="WZH153" s="1058"/>
      <c r="WZI153" s="1059"/>
      <c r="WZJ153" s="1058"/>
      <c r="WZK153" s="1059"/>
      <c r="WZL153" s="1058"/>
      <c r="WZM153" s="1059"/>
      <c r="WZN153" s="1058"/>
      <c r="WZO153" s="1059"/>
      <c r="WZP153" s="1058"/>
      <c r="WZQ153" s="1059"/>
      <c r="WZR153" s="1058"/>
      <c r="WZS153" s="1059"/>
      <c r="WZT153" s="1058"/>
      <c r="WZU153" s="1059"/>
      <c r="WZV153" s="1058"/>
      <c r="WZW153" s="1059"/>
      <c r="WZX153" s="1058"/>
      <c r="WZY153" s="1059"/>
      <c r="WZZ153" s="1058"/>
      <c r="XAA153" s="1059"/>
      <c r="XAB153" s="1058"/>
      <c r="XAC153" s="1059"/>
      <c r="XAD153" s="1058"/>
      <c r="XAE153" s="1059"/>
      <c r="XAF153" s="1058"/>
      <c r="XAG153" s="1059"/>
      <c r="XAH153" s="1058"/>
      <c r="XAI153" s="1059"/>
      <c r="XAJ153" s="1058"/>
      <c r="XAK153" s="1059"/>
      <c r="XAL153" s="1058"/>
      <c r="XAM153" s="1059"/>
      <c r="XAN153" s="1058"/>
      <c r="XAO153" s="1059"/>
      <c r="XAP153" s="1058"/>
      <c r="XAQ153" s="1059"/>
      <c r="XAR153" s="1058"/>
      <c r="XAS153" s="1059"/>
      <c r="XAT153" s="1058"/>
      <c r="XAU153" s="1059"/>
      <c r="XAV153" s="1058"/>
      <c r="XAW153" s="1059"/>
      <c r="XAX153" s="1058"/>
      <c r="XAY153" s="1059"/>
      <c r="XAZ153" s="1058"/>
      <c r="XBA153" s="1059"/>
      <c r="XBB153" s="1058"/>
      <c r="XBC153" s="1059"/>
      <c r="XBD153" s="1058"/>
      <c r="XBE153" s="1059"/>
      <c r="XBF153" s="1058"/>
      <c r="XBG153" s="1059"/>
      <c r="XBH153" s="1058"/>
      <c r="XBI153" s="1059"/>
      <c r="XBJ153" s="1058"/>
      <c r="XBK153" s="1059"/>
      <c r="XBL153" s="1058"/>
      <c r="XBM153" s="1059"/>
      <c r="XBN153" s="1058"/>
      <c r="XBO153" s="1059"/>
      <c r="XBP153" s="1058"/>
      <c r="XBQ153" s="1059"/>
      <c r="XBR153" s="1058"/>
      <c r="XBS153" s="1059"/>
      <c r="XBT153" s="1058"/>
      <c r="XBU153" s="1059"/>
      <c r="XBV153" s="1058"/>
      <c r="XBW153" s="1059"/>
      <c r="XBX153" s="1058"/>
      <c r="XBY153" s="1059"/>
      <c r="XBZ153" s="1058"/>
      <c r="XCA153" s="1059"/>
      <c r="XCB153" s="1058"/>
      <c r="XCC153" s="1059"/>
      <c r="XCD153" s="1058"/>
      <c r="XCE153" s="1059"/>
      <c r="XCF153" s="1058"/>
      <c r="XCG153" s="1059"/>
      <c r="XCH153" s="1058"/>
      <c r="XCI153" s="1059"/>
      <c r="XCJ153" s="1058"/>
      <c r="XCK153" s="1059"/>
      <c r="XCL153" s="1058"/>
      <c r="XCM153" s="1059"/>
      <c r="XCN153" s="1058"/>
      <c r="XCO153" s="1059"/>
      <c r="XCP153" s="1058"/>
      <c r="XCQ153" s="1059"/>
      <c r="XCR153" s="1058"/>
      <c r="XCS153" s="1059"/>
      <c r="XCT153" s="1058"/>
      <c r="XCU153" s="1059"/>
      <c r="XCV153" s="1058"/>
      <c r="XCW153" s="1059"/>
      <c r="XCX153" s="1058"/>
      <c r="XCY153" s="1059"/>
      <c r="XCZ153" s="1058"/>
      <c r="XDA153" s="1059"/>
      <c r="XDB153" s="1058"/>
      <c r="XDC153" s="1059"/>
      <c r="XDD153" s="1058"/>
      <c r="XDE153" s="1059"/>
      <c r="XDF153" s="1058"/>
      <c r="XDG153" s="1059"/>
      <c r="XDH153" s="1058"/>
      <c r="XDI153" s="1059"/>
      <c r="XDJ153" s="1058"/>
      <c r="XDK153" s="1059"/>
      <c r="XDL153" s="1058"/>
      <c r="XDM153" s="1059"/>
      <c r="XDN153" s="1058"/>
      <c r="XDO153" s="1059"/>
      <c r="XDP153" s="1058"/>
      <c r="XDQ153" s="1059"/>
      <c r="XDR153" s="1058"/>
      <c r="XDS153" s="1059"/>
      <c r="XDT153" s="1058"/>
      <c r="XDU153" s="1059"/>
      <c r="XDV153" s="1058"/>
      <c r="XDW153" s="1059"/>
      <c r="XDX153" s="1058"/>
      <c r="XDY153" s="1059"/>
      <c r="XDZ153" s="1058"/>
      <c r="XEA153" s="1059"/>
      <c r="XEB153" s="1058"/>
      <c r="XEC153" s="1059"/>
      <c r="XED153" s="1058"/>
      <c r="XEE153" s="1059"/>
      <c r="XEF153" s="1058"/>
      <c r="XEG153" s="1059"/>
      <c r="XEH153" s="1058"/>
      <c r="XEI153" s="1059"/>
      <c r="XEJ153" s="1058"/>
      <c r="XEK153" s="1059"/>
      <c r="XEL153" s="1058"/>
      <c r="XEM153" s="1059"/>
      <c r="XEN153" s="1058"/>
      <c r="XEO153" s="1059"/>
      <c r="XEP153" s="1058"/>
      <c r="XEQ153" s="1059"/>
      <c r="XER153" s="1058"/>
      <c r="XES153" s="1059"/>
      <c r="XET153" s="1058"/>
      <c r="XEU153" s="1059"/>
      <c r="XEV153" s="1058"/>
      <c r="XEW153" s="1059"/>
      <c r="XEX153" s="1058"/>
      <c r="XEY153" s="1059"/>
      <c r="XEZ153" s="1058"/>
      <c r="XFA153" s="1059"/>
      <c r="XFB153" s="1058"/>
      <c r="XFC153" s="1059"/>
    </row>
    <row r="154" spans="1:16383">
      <c r="B154" s="192"/>
      <c r="C154" s="192"/>
      <c r="D154" s="590"/>
      <c r="J154" s="511"/>
      <c r="K154" s="536"/>
      <c r="L154" s="511"/>
      <c r="M154" s="536"/>
      <c r="N154" s="536"/>
      <c r="O154" s="188"/>
      <c r="P154" s="536"/>
      <c r="Q154" s="188"/>
    </row>
    <row r="155" spans="1:16383">
      <c r="B155" s="188" t="s">
        <v>918</v>
      </c>
      <c r="C155" s="192"/>
      <c r="D155" s="590"/>
      <c r="J155" s="511"/>
      <c r="K155" s="536"/>
      <c r="L155" s="511"/>
      <c r="M155" s="536"/>
      <c r="N155" s="536"/>
      <c r="O155" s="188"/>
      <c r="P155" s="536"/>
      <c r="Q155" s="188"/>
    </row>
    <row r="156" spans="1:16383">
      <c r="B156" s="9" t="s">
        <v>919</v>
      </c>
      <c r="C156" s="192"/>
      <c r="D156" s="590"/>
      <c r="J156" s="511"/>
      <c r="K156" s="536"/>
      <c r="L156" s="511"/>
      <c r="M156" s="536"/>
      <c r="N156" s="536"/>
      <c r="O156" s="188"/>
      <c r="P156" s="536"/>
      <c r="Q156" s="188"/>
    </row>
    <row r="157" spans="1:16383">
      <c r="B157" s="9" t="s">
        <v>920</v>
      </c>
      <c r="C157" s="192"/>
      <c r="D157" s="590"/>
      <c r="J157" s="511"/>
      <c r="K157" s="536"/>
      <c r="L157" s="511"/>
      <c r="M157" s="536"/>
      <c r="N157" s="536"/>
      <c r="O157" s="188"/>
      <c r="P157" s="536"/>
      <c r="Q157" s="188"/>
    </row>
    <row r="158" spans="1:16383" ht="14.1" customHeight="1">
      <c r="B158" s="191"/>
      <c r="C158" s="191"/>
      <c r="D158" s="590"/>
      <c r="J158" s="511"/>
      <c r="K158" s="536"/>
      <c r="L158" s="511"/>
      <c r="M158" s="536"/>
      <c r="N158" s="536"/>
      <c r="O158" s="188"/>
      <c r="P158" s="536"/>
      <c r="Q158" s="188"/>
    </row>
    <row r="159" spans="1:16383" ht="14.25" customHeight="1">
      <c r="B159" s="512" t="s">
        <v>921</v>
      </c>
      <c r="C159" s="512"/>
      <c r="D159" s="590"/>
      <c r="J159" s="511"/>
      <c r="K159" s="536"/>
      <c r="L159" s="511"/>
      <c r="M159" s="536"/>
      <c r="N159" s="536"/>
      <c r="O159" s="188"/>
      <c r="P159" s="536"/>
      <c r="Q159" s="188"/>
    </row>
    <row r="160" spans="1:16383" ht="14.25" customHeight="1">
      <c r="B160" s="191" t="s">
        <v>922</v>
      </c>
      <c r="C160" s="191"/>
      <c r="D160" s="590"/>
      <c r="J160" s="511"/>
      <c r="K160" s="536"/>
      <c r="L160" s="511"/>
      <c r="M160" s="536"/>
      <c r="N160" s="536"/>
      <c r="O160" s="188"/>
      <c r="P160" s="536"/>
      <c r="Q160" s="188"/>
    </row>
    <row r="161" spans="2:17" ht="14.25" customHeight="1">
      <c r="B161" s="191" t="s">
        <v>923</v>
      </c>
      <c r="C161" s="191"/>
      <c r="D161" s="590"/>
      <c r="J161" s="511"/>
      <c r="K161" s="536"/>
      <c r="L161" s="511"/>
      <c r="M161" s="536"/>
      <c r="N161" s="536"/>
      <c r="O161" s="188"/>
      <c r="P161" s="536"/>
      <c r="Q161" s="188"/>
    </row>
    <row r="162" spans="2:17" ht="14.25" customHeight="1">
      <c r="B162" s="191" t="s">
        <v>924</v>
      </c>
      <c r="C162" s="191"/>
      <c r="D162" s="590"/>
      <c r="J162" s="511"/>
      <c r="K162" s="536"/>
      <c r="L162" s="511"/>
      <c r="M162" s="536"/>
      <c r="N162" s="536"/>
      <c r="O162" s="188"/>
      <c r="P162" s="536"/>
      <c r="Q162" s="188"/>
    </row>
    <row r="163" spans="2:17" ht="14.25" customHeight="1">
      <c r="B163" s="191" t="s">
        <v>925</v>
      </c>
      <c r="C163" s="191"/>
      <c r="D163" s="590"/>
      <c r="J163" s="511"/>
      <c r="K163" s="536"/>
      <c r="L163" s="511"/>
      <c r="M163" s="536"/>
      <c r="N163" s="536"/>
      <c r="O163" s="188"/>
      <c r="P163" s="536"/>
      <c r="Q163" s="188"/>
    </row>
    <row r="164" spans="2:17" ht="14.25" customHeight="1">
      <c r="B164" s="191"/>
      <c r="C164" s="191"/>
      <c r="D164" s="590"/>
      <c r="J164" s="511"/>
      <c r="K164" s="536"/>
      <c r="L164" s="511"/>
      <c r="M164" s="536"/>
      <c r="N164" s="536"/>
      <c r="O164" s="188"/>
      <c r="P164" s="536"/>
      <c r="Q164" s="188"/>
    </row>
    <row r="165" spans="2:17" ht="14.25" customHeight="1">
      <c r="B165" s="1152" t="s">
        <v>926</v>
      </c>
      <c r="C165" s="1152"/>
      <c r="D165" s="1152"/>
      <c r="E165" s="1152"/>
      <c r="F165" s="1152"/>
      <c r="G165" s="1152"/>
      <c r="H165" s="1152"/>
      <c r="I165" s="1152"/>
      <c r="J165" s="1152"/>
      <c r="K165" s="1152"/>
      <c r="L165" s="511"/>
      <c r="M165" s="536"/>
      <c r="N165" s="536"/>
      <c r="O165" s="188"/>
      <c r="P165" s="536"/>
      <c r="Q165" s="188"/>
    </row>
    <row r="166" spans="2:17" ht="14.25" customHeight="1">
      <c r="B166" s="503"/>
      <c r="C166" s="1046"/>
      <c r="D166" s="590"/>
      <c r="J166" s="511"/>
      <c r="K166" s="536"/>
      <c r="L166" s="511"/>
      <c r="M166" s="536"/>
      <c r="N166" s="536"/>
      <c r="O166" s="188"/>
      <c r="P166" s="536"/>
      <c r="Q166" s="188"/>
    </row>
    <row r="167" spans="2:17" ht="14.25" customHeight="1">
      <c r="B167" s="191" t="s">
        <v>927</v>
      </c>
      <c r="C167" s="191"/>
      <c r="D167" s="590"/>
      <c r="J167" s="511"/>
      <c r="K167" s="536"/>
      <c r="L167" s="511"/>
      <c r="M167" s="536"/>
      <c r="N167" s="536"/>
      <c r="O167" s="188"/>
      <c r="P167" s="536"/>
      <c r="Q167" s="188"/>
    </row>
    <row r="168" spans="2:17" ht="14.25" customHeight="1">
      <c r="B168" s="191"/>
      <c r="C168" s="191"/>
      <c r="D168" s="590"/>
      <c r="J168" s="511"/>
      <c r="K168" s="536"/>
      <c r="L168" s="511"/>
      <c r="M168" s="536"/>
      <c r="N168" s="536"/>
      <c r="O168" s="188"/>
      <c r="P168" s="536"/>
      <c r="Q168" s="188"/>
    </row>
    <row r="169" spans="2:17" ht="14.25" customHeight="1">
      <c r="B169" s="191" t="s">
        <v>928</v>
      </c>
      <c r="C169" s="191"/>
      <c r="D169" s="590"/>
      <c r="J169" s="511"/>
      <c r="K169" s="536"/>
      <c r="L169" s="511"/>
      <c r="M169" s="536"/>
      <c r="N169" s="536"/>
      <c r="O169" s="188"/>
      <c r="P169" s="536"/>
      <c r="Q169" s="188"/>
    </row>
    <row r="170" spans="2:17" ht="14.25" customHeight="1">
      <c r="B170" s="513" t="s">
        <v>929</v>
      </c>
      <c r="C170" s="513"/>
      <c r="D170" s="590"/>
      <c r="J170" s="511"/>
      <c r="K170" s="536"/>
      <c r="L170" s="511"/>
      <c r="M170" s="536"/>
      <c r="N170" s="536"/>
      <c r="O170" s="188"/>
      <c r="P170" s="536"/>
      <c r="Q170" s="188"/>
    </row>
    <row r="171" spans="2:17" ht="14.25" customHeight="1">
      <c r="B171" s="514" t="s">
        <v>930</v>
      </c>
      <c r="C171" s="514"/>
      <c r="D171" s="590"/>
      <c r="J171" s="511"/>
      <c r="K171" s="536"/>
      <c r="L171" s="511"/>
      <c r="M171" s="536"/>
      <c r="N171" s="536"/>
      <c r="O171" s="188"/>
      <c r="P171" s="536"/>
      <c r="Q171" s="188"/>
    </row>
    <row r="172" spans="2:17" ht="14.25" customHeight="1">
      <c r="B172" s="513" t="s">
        <v>931</v>
      </c>
      <c r="C172" s="513"/>
      <c r="D172" s="590"/>
      <c r="J172" s="511"/>
      <c r="K172" s="536"/>
      <c r="L172" s="511"/>
      <c r="M172" s="536"/>
      <c r="N172" s="536"/>
      <c r="O172" s="188"/>
      <c r="P172" s="536"/>
      <c r="Q172" s="188"/>
    </row>
    <row r="173" spans="2:17" ht="14.25" customHeight="1">
      <c r="B173" s="514" t="s">
        <v>932</v>
      </c>
      <c r="C173" s="514"/>
      <c r="D173" s="590"/>
      <c r="J173" s="511"/>
      <c r="K173" s="536"/>
      <c r="L173" s="511"/>
      <c r="M173" s="536"/>
      <c r="N173" s="536"/>
      <c r="O173" s="188"/>
      <c r="P173" s="536"/>
      <c r="Q173" s="188"/>
    </row>
    <row r="174" spans="2:17" ht="14.25" customHeight="1">
      <c r="B174" s="279" t="s">
        <v>933</v>
      </c>
      <c r="C174" s="279"/>
      <c r="D174" s="590"/>
      <c r="J174" s="511"/>
      <c r="K174" s="536"/>
      <c r="L174" s="511"/>
      <c r="M174" s="536"/>
      <c r="N174" s="536"/>
      <c r="O174" s="188"/>
      <c r="P174" s="536"/>
      <c r="Q174" s="188"/>
    </row>
    <row r="175" spans="2:17" ht="14.25" customHeight="1">
      <c r="B175" s="513" t="s">
        <v>934</v>
      </c>
      <c r="C175" s="513"/>
      <c r="D175" s="590"/>
      <c r="J175" s="511"/>
      <c r="K175" s="536"/>
      <c r="L175" s="511"/>
      <c r="M175" s="536"/>
      <c r="N175" s="536"/>
      <c r="O175" s="188"/>
      <c r="P175" s="536"/>
      <c r="Q175" s="188"/>
    </row>
    <row r="176" spans="2:17" ht="14.25" customHeight="1">
      <c r="B176" s="513" t="s">
        <v>935</v>
      </c>
      <c r="C176" s="513"/>
      <c r="D176" s="590"/>
      <c r="J176" s="511"/>
      <c r="K176" s="536"/>
      <c r="L176" s="511"/>
      <c r="M176" s="536"/>
      <c r="N176" s="536"/>
      <c r="O176" s="188"/>
      <c r="P176" s="536"/>
      <c r="Q176" s="188"/>
    </row>
    <row r="177" spans="2:22" ht="14.25" customHeight="1">
      <c r="B177" s="43" t="s">
        <v>936</v>
      </c>
      <c r="C177" s="515" t="s">
        <v>937</v>
      </c>
      <c r="D177" s="400"/>
      <c r="E177" s="401"/>
      <c r="F177" s="401"/>
      <c r="G177" s="403"/>
      <c r="H177" s="402"/>
      <c r="K177" s="536"/>
      <c r="M177" s="536"/>
      <c r="N177" s="536"/>
      <c r="O177" s="188"/>
      <c r="P177" s="536"/>
      <c r="Q177" s="188"/>
    </row>
    <row r="178" spans="2:22" ht="14.25" customHeight="1">
      <c r="B178" s="513" t="s">
        <v>938</v>
      </c>
      <c r="C178" s="513"/>
      <c r="D178" s="590"/>
      <c r="J178" s="511"/>
      <c r="K178" s="536"/>
      <c r="L178" s="511"/>
      <c r="M178" s="536"/>
      <c r="N178" s="536"/>
      <c r="O178" s="188"/>
      <c r="P178" s="536"/>
      <c r="Q178" s="188"/>
    </row>
    <row r="179" spans="2:22" ht="14.25" customHeight="1">
      <c r="B179" s="513" t="s">
        <v>939</v>
      </c>
      <c r="C179" s="591"/>
      <c r="D179" s="590"/>
      <c r="J179" s="511"/>
      <c r="K179" s="536"/>
      <c r="L179" s="511"/>
      <c r="M179" s="536"/>
      <c r="N179" s="536"/>
      <c r="O179" s="188"/>
      <c r="P179" s="536"/>
      <c r="Q179" s="188"/>
    </row>
    <row r="180" spans="2:22" ht="14.25" customHeight="1">
      <c r="B180" s="191" t="s">
        <v>940</v>
      </c>
      <c r="C180" s="191"/>
      <c r="D180" s="400"/>
      <c r="E180" s="401"/>
      <c r="F180" s="401"/>
      <c r="G180" s="403"/>
      <c r="H180" s="402"/>
    </row>
    <row r="181" spans="2:22" ht="14.25" customHeight="1">
      <c r="B181" s="1060"/>
      <c r="C181" s="811"/>
      <c r="D181" s="812"/>
      <c r="E181" s="813"/>
      <c r="F181" s="813"/>
      <c r="G181" s="814"/>
      <c r="H181" s="815"/>
      <c r="I181" s="660"/>
      <c r="J181" s="660"/>
      <c r="K181" s="660"/>
      <c r="L181" s="660"/>
      <c r="M181" s="660"/>
      <c r="N181" s="660"/>
      <c r="O181" s="660"/>
      <c r="P181" s="660"/>
      <c r="Q181" s="660"/>
    </row>
    <row r="182" spans="2:22" ht="12" customHeight="1">
      <c r="B182" s="1192"/>
      <c r="C182" s="1192"/>
      <c r="D182" s="1192"/>
      <c r="E182" s="1192"/>
      <c r="F182" s="1192"/>
      <c r="G182" s="1192"/>
      <c r="H182" s="1192"/>
      <c r="I182" s="1192"/>
      <c r="J182" s="1192"/>
      <c r="K182" s="1192"/>
      <c r="L182" s="1192"/>
      <c r="M182" s="1192"/>
      <c r="N182" s="1192"/>
      <c r="O182" s="1192"/>
      <c r="P182" s="1192"/>
      <c r="Q182" s="1192"/>
      <c r="R182" s="1192"/>
      <c r="S182" s="1192"/>
      <c r="T182" s="1192"/>
      <c r="U182" s="1192"/>
      <c r="V182" s="1192"/>
    </row>
    <row r="183" spans="2:22" ht="27.95" customHeight="1">
      <c r="B183" s="816"/>
      <c r="C183" s="399"/>
      <c r="D183" s="400"/>
      <c r="E183" s="401"/>
      <c r="F183" s="401"/>
      <c r="G183" s="403"/>
      <c r="H183" s="402"/>
    </row>
    <row r="184" spans="2:22" ht="27.95" customHeight="1">
      <c r="B184" s="816"/>
      <c r="C184" s="399"/>
      <c r="D184" s="400"/>
      <c r="E184" s="401"/>
      <c r="F184" s="401"/>
      <c r="G184" s="403"/>
      <c r="H184" s="402"/>
    </row>
    <row r="185" spans="2:22" ht="36" customHeight="1">
      <c r="B185" s="816"/>
      <c r="C185" s="399"/>
      <c r="D185" s="400"/>
      <c r="E185" s="401"/>
      <c r="F185" s="401"/>
      <c r="G185" s="403"/>
      <c r="H185" s="402"/>
    </row>
    <row r="186" spans="2:22" ht="14.25" customHeight="1">
      <c r="B186" s="816"/>
      <c r="C186" s="399"/>
      <c r="D186" s="400"/>
      <c r="E186" s="401"/>
      <c r="F186" s="401"/>
      <c r="G186" s="403"/>
      <c r="H186" s="402"/>
    </row>
    <row r="187" spans="2:22">
      <c r="B187" s="816"/>
      <c r="C187" s="399"/>
      <c r="D187" s="400"/>
      <c r="E187" s="401"/>
      <c r="F187" s="401"/>
      <c r="G187" s="403"/>
      <c r="H187" s="402"/>
    </row>
    <row r="188" spans="2:22" ht="27.95" customHeight="1">
      <c r="B188" s="816"/>
      <c r="C188" s="399"/>
      <c r="D188" s="400"/>
      <c r="E188" s="401"/>
      <c r="F188" s="401"/>
      <c r="G188" s="403"/>
      <c r="H188" s="402"/>
    </row>
    <row r="189" spans="2:22" ht="27.95" customHeight="1">
      <c r="B189" s="816"/>
      <c r="C189" s="399"/>
      <c r="D189" s="400"/>
      <c r="E189" s="401"/>
      <c r="F189" s="401"/>
      <c r="G189" s="403"/>
      <c r="H189" s="402"/>
    </row>
    <row r="190" spans="2:22" ht="27.95" customHeight="1">
      <c r="B190" s="816"/>
      <c r="C190" s="399"/>
      <c r="D190" s="400"/>
      <c r="E190" s="401"/>
      <c r="F190" s="401"/>
      <c r="G190" s="403"/>
      <c r="H190" s="402"/>
    </row>
    <row r="191" spans="2:22" ht="27.95" customHeight="1">
      <c r="B191" s="816"/>
      <c r="C191" s="399"/>
      <c r="D191" s="400"/>
      <c r="E191" s="401"/>
      <c r="F191" s="401"/>
      <c r="G191" s="403"/>
      <c r="H191" s="402"/>
    </row>
    <row r="192" spans="2:22" ht="27.95" customHeight="1">
      <c r="B192" s="816"/>
      <c r="C192" s="399"/>
      <c r="D192" s="400"/>
      <c r="E192" s="401"/>
      <c r="F192" s="401"/>
      <c r="G192" s="403"/>
      <c r="H192" s="402"/>
    </row>
    <row r="193" spans="2:8" ht="27.95" customHeight="1">
      <c r="B193" s="816"/>
      <c r="C193" s="399"/>
      <c r="D193" s="400"/>
      <c r="E193" s="401"/>
      <c r="F193" s="401"/>
      <c r="G193" s="403"/>
      <c r="H193" s="402"/>
    </row>
    <row r="194" spans="2:8" ht="27.95" customHeight="1">
      <c r="B194" s="816"/>
      <c r="C194" s="399"/>
      <c r="D194" s="400"/>
      <c r="E194" s="401"/>
      <c r="F194" s="401"/>
      <c r="G194" s="403"/>
      <c r="H194" s="402"/>
    </row>
    <row r="195" spans="2:8" ht="27.95" customHeight="1">
      <c r="B195" s="816"/>
      <c r="C195" s="399"/>
      <c r="D195" s="400"/>
      <c r="E195" s="401"/>
      <c r="F195" s="401"/>
      <c r="G195" s="403"/>
      <c r="H195" s="402"/>
    </row>
    <row r="196" spans="2:8" ht="27.95" customHeight="1">
      <c r="B196" s="816"/>
      <c r="C196" s="399"/>
      <c r="D196" s="400"/>
      <c r="E196" s="401"/>
      <c r="F196" s="401"/>
      <c r="G196" s="403"/>
      <c r="H196" s="402"/>
    </row>
    <row r="197" spans="2:8" ht="27.95" customHeight="1">
      <c r="B197" s="816"/>
      <c r="C197" s="399"/>
      <c r="D197" s="400"/>
      <c r="E197" s="401"/>
      <c r="F197" s="401"/>
      <c r="G197" s="403"/>
      <c r="H197" s="402"/>
    </row>
    <row r="198" spans="2:8" ht="27.95" customHeight="1">
      <c r="B198" s="816"/>
      <c r="C198" s="399"/>
      <c r="D198" s="400"/>
      <c r="E198" s="401"/>
      <c r="F198" s="401"/>
      <c r="G198" s="403"/>
      <c r="H198" s="402"/>
    </row>
    <row r="199" spans="2:8" ht="27.95" customHeight="1">
      <c r="B199" s="816"/>
      <c r="C199" s="399"/>
      <c r="D199" s="400"/>
      <c r="E199" s="401"/>
      <c r="F199" s="401"/>
      <c r="G199" s="403"/>
      <c r="H199" s="402"/>
    </row>
    <row r="200" spans="2:8" ht="27.95" customHeight="1">
      <c r="B200" s="816"/>
      <c r="C200" s="399"/>
      <c r="D200" s="400"/>
      <c r="E200" s="401"/>
      <c r="F200" s="401"/>
      <c r="G200" s="403"/>
      <c r="H200" s="402"/>
    </row>
    <row r="201" spans="2:8" ht="27.95" customHeight="1">
      <c r="B201" s="816"/>
      <c r="C201" s="399"/>
      <c r="D201" s="400"/>
      <c r="E201" s="401"/>
      <c r="F201" s="401"/>
      <c r="G201" s="403"/>
      <c r="H201" s="402"/>
    </row>
    <row r="202" spans="2:8" ht="27.95" customHeight="1">
      <c r="B202" s="816"/>
      <c r="C202" s="399"/>
      <c r="D202" s="400"/>
      <c r="E202" s="401"/>
      <c r="F202" s="401"/>
      <c r="G202" s="403"/>
      <c r="H202" s="402"/>
    </row>
    <row r="203" spans="2:8" ht="27.95" customHeight="1">
      <c r="B203" s="816"/>
      <c r="C203" s="399"/>
      <c r="D203" s="400"/>
      <c r="E203" s="401"/>
      <c r="F203" s="401"/>
      <c r="G203" s="403"/>
      <c r="H203" s="402"/>
    </row>
    <row r="204" spans="2:8" ht="27.95" customHeight="1">
      <c r="B204" s="816"/>
      <c r="C204" s="399"/>
      <c r="D204" s="400"/>
      <c r="E204" s="401"/>
      <c r="F204" s="401"/>
      <c r="G204" s="403"/>
      <c r="H204" s="402"/>
    </row>
    <row r="205" spans="2:8" ht="27.95" customHeight="1">
      <c r="B205" s="816"/>
      <c r="C205" s="399"/>
      <c r="D205" s="400"/>
      <c r="E205" s="401"/>
      <c r="F205" s="401"/>
      <c r="G205" s="403"/>
      <c r="H205" s="402"/>
    </row>
    <row r="206" spans="2:8" ht="27.95" customHeight="1">
      <c r="B206" s="816"/>
      <c r="C206" s="399"/>
      <c r="D206" s="400"/>
      <c r="E206" s="401"/>
      <c r="F206" s="401"/>
      <c r="G206" s="403"/>
      <c r="H206" s="402"/>
    </row>
    <row r="207" spans="2:8" ht="27.95" customHeight="1">
      <c r="B207" s="816"/>
      <c r="C207" s="399"/>
      <c r="D207" s="400"/>
      <c r="E207" s="401"/>
      <c r="F207" s="401"/>
      <c r="G207" s="403"/>
      <c r="H207" s="402"/>
    </row>
    <row r="208" spans="2:8" ht="27.95" customHeight="1">
      <c r="B208" s="816"/>
      <c r="C208" s="399"/>
      <c r="D208" s="400"/>
      <c r="E208" s="401"/>
      <c r="F208" s="401"/>
      <c r="G208" s="403"/>
      <c r="H208" s="402"/>
    </row>
    <row r="209" spans="2:8" ht="27.95" customHeight="1">
      <c r="B209" s="816"/>
      <c r="C209" s="399"/>
      <c r="D209" s="400"/>
      <c r="E209" s="401"/>
      <c r="F209" s="401"/>
      <c r="G209" s="403"/>
      <c r="H209" s="402"/>
    </row>
    <row r="210" spans="2:8" ht="27.95" customHeight="1">
      <c r="B210" s="816"/>
      <c r="C210" s="399"/>
      <c r="D210" s="400"/>
      <c r="E210" s="401"/>
      <c r="F210" s="401"/>
      <c r="G210" s="403"/>
      <c r="H210" s="402"/>
    </row>
    <row r="211" spans="2:8" ht="27.95" customHeight="1">
      <c r="B211" s="816"/>
      <c r="C211" s="399"/>
      <c r="D211" s="400"/>
      <c r="E211" s="401"/>
      <c r="F211" s="401"/>
      <c r="G211" s="403"/>
      <c r="H211" s="402"/>
    </row>
    <row r="212" spans="2:8" ht="27.95" customHeight="1">
      <c r="B212" s="816"/>
      <c r="C212" s="399"/>
      <c r="D212" s="400"/>
      <c r="E212" s="401"/>
      <c r="F212" s="401"/>
      <c r="G212" s="403"/>
      <c r="H212" s="402"/>
    </row>
    <row r="213" spans="2:8" ht="27.95" customHeight="1">
      <c r="B213" s="816"/>
      <c r="C213" s="399"/>
      <c r="D213" s="400"/>
      <c r="E213" s="401"/>
      <c r="F213" s="401"/>
      <c r="G213" s="403"/>
      <c r="H213" s="402"/>
    </row>
    <row r="214" spans="2:8" ht="27.95" customHeight="1">
      <c r="B214" s="816"/>
      <c r="C214" s="399"/>
      <c r="D214" s="400"/>
      <c r="E214" s="401"/>
      <c r="F214" s="401"/>
      <c r="G214" s="403"/>
      <c r="H214" s="402"/>
    </row>
    <row r="215" spans="2:8" ht="27.95" customHeight="1">
      <c r="B215" s="816"/>
      <c r="C215" s="399"/>
      <c r="D215" s="400"/>
      <c r="E215" s="401"/>
      <c r="F215" s="401"/>
      <c r="G215" s="403"/>
      <c r="H215" s="402"/>
    </row>
    <row r="216" spans="2:8" ht="27.95" customHeight="1">
      <c r="B216" s="816"/>
      <c r="C216" s="399"/>
      <c r="D216" s="400"/>
      <c r="E216" s="401"/>
      <c r="F216" s="401"/>
      <c r="G216" s="403"/>
      <c r="H216" s="402"/>
    </row>
    <row r="217" spans="2:8" ht="27.95" customHeight="1">
      <c r="B217" s="816"/>
      <c r="C217" s="399"/>
      <c r="D217" s="400"/>
      <c r="E217" s="401"/>
      <c r="F217" s="401"/>
      <c r="G217" s="403"/>
      <c r="H217" s="402"/>
    </row>
    <row r="218" spans="2:8" ht="27.95" customHeight="1">
      <c r="B218" s="816"/>
      <c r="C218" s="399"/>
      <c r="D218" s="400"/>
      <c r="E218" s="401"/>
      <c r="F218" s="401"/>
      <c r="G218" s="403"/>
      <c r="H218" s="402"/>
    </row>
    <row r="219" spans="2:8" ht="27.95" customHeight="1">
      <c r="B219" s="816"/>
      <c r="C219" s="399"/>
      <c r="D219" s="400"/>
      <c r="E219" s="401"/>
      <c r="F219" s="401"/>
      <c r="G219" s="403"/>
      <c r="H219" s="402"/>
    </row>
    <row r="220" spans="2:8" ht="27.95" customHeight="1">
      <c r="B220" s="816"/>
      <c r="C220" s="399"/>
      <c r="D220" s="400"/>
      <c r="E220" s="401"/>
      <c r="F220" s="401"/>
      <c r="G220" s="403"/>
      <c r="H220" s="402"/>
    </row>
    <row r="221" spans="2:8" ht="27.95" customHeight="1">
      <c r="B221" s="816"/>
      <c r="C221" s="399"/>
      <c r="D221" s="400"/>
      <c r="E221" s="401"/>
      <c r="F221" s="401"/>
      <c r="G221" s="403"/>
      <c r="H221" s="402"/>
    </row>
    <row r="222" spans="2:8" ht="27.95" customHeight="1">
      <c r="B222" s="816"/>
      <c r="C222" s="399"/>
      <c r="D222" s="400"/>
      <c r="E222" s="401"/>
      <c r="F222" s="401"/>
      <c r="G222" s="403"/>
      <c r="H222" s="402"/>
    </row>
    <row r="223" spans="2:8" ht="27.95" customHeight="1">
      <c r="B223" s="816"/>
      <c r="C223" s="399"/>
      <c r="D223" s="400"/>
      <c r="E223" s="401"/>
      <c r="F223" s="401"/>
      <c r="G223" s="403"/>
      <c r="H223" s="402"/>
    </row>
    <row r="224" spans="2:8" ht="27.95" customHeight="1">
      <c r="B224" s="816"/>
      <c r="C224" s="399"/>
      <c r="D224" s="400"/>
      <c r="E224" s="401"/>
      <c r="F224" s="401"/>
      <c r="G224" s="403"/>
      <c r="H224" s="402"/>
    </row>
    <row r="225" spans="2:8" ht="27.95" customHeight="1">
      <c r="B225" s="816"/>
      <c r="C225" s="399"/>
      <c r="D225" s="400"/>
      <c r="E225" s="401"/>
      <c r="F225" s="401"/>
      <c r="G225" s="403"/>
      <c r="H225" s="402"/>
    </row>
    <row r="226" spans="2:8" ht="27.95" customHeight="1">
      <c r="B226" s="816"/>
      <c r="C226" s="399"/>
      <c r="D226" s="400"/>
      <c r="E226" s="401"/>
      <c r="F226" s="401"/>
      <c r="G226" s="403"/>
      <c r="H226" s="402"/>
    </row>
    <row r="227" spans="2:8" ht="27.95" customHeight="1">
      <c r="B227" s="816"/>
      <c r="C227" s="399"/>
      <c r="D227" s="400"/>
      <c r="E227" s="401"/>
      <c r="F227" s="401"/>
      <c r="G227" s="403"/>
      <c r="H227" s="402"/>
    </row>
    <row r="228" spans="2:8" ht="27.95" customHeight="1">
      <c r="B228" s="816"/>
      <c r="C228" s="399"/>
      <c r="D228" s="400"/>
      <c r="E228" s="401"/>
      <c r="F228" s="401"/>
      <c r="G228" s="403"/>
      <c r="H228" s="402"/>
    </row>
    <row r="229" spans="2:8" ht="27.95" customHeight="1">
      <c r="B229" s="816"/>
      <c r="C229" s="399"/>
      <c r="D229" s="400"/>
      <c r="E229" s="401"/>
      <c r="F229" s="401"/>
      <c r="G229" s="403"/>
      <c r="H229" s="402"/>
    </row>
    <row r="230" spans="2:8" ht="27.95" customHeight="1">
      <c r="B230" s="816"/>
      <c r="C230" s="399"/>
      <c r="D230" s="400"/>
      <c r="E230" s="401"/>
      <c r="F230" s="401"/>
      <c r="G230" s="403"/>
      <c r="H230" s="402"/>
    </row>
    <row r="231" spans="2:8" ht="27.95" customHeight="1">
      <c r="B231" s="816"/>
      <c r="C231" s="399"/>
      <c r="D231" s="400"/>
      <c r="E231" s="401"/>
      <c r="F231" s="401"/>
      <c r="G231" s="403"/>
      <c r="H231" s="402"/>
    </row>
    <row r="232" spans="2:8" ht="27.95" customHeight="1">
      <c r="B232" s="816"/>
      <c r="C232" s="399"/>
      <c r="D232" s="400"/>
      <c r="E232" s="401"/>
      <c r="F232" s="401"/>
      <c r="G232" s="403"/>
      <c r="H232" s="402"/>
    </row>
    <row r="233" spans="2:8" ht="27.95" customHeight="1">
      <c r="B233" s="816"/>
      <c r="C233" s="399"/>
      <c r="D233" s="400"/>
      <c r="E233" s="401"/>
      <c r="F233" s="401"/>
      <c r="G233" s="403"/>
      <c r="H233" s="402"/>
    </row>
    <row r="234" spans="2:8" ht="27.95" customHeight="1">
      <c r="B234" s="816"/>
      <c r="C234" s="399"/>
      <c r="D234" s="400"/>
      <c r="E234" s="401"/>
      <c r="F234" s="401"/>
      <c r="G234" s="403"/>
      <c r="H234" s="402"/>
    </row>
    <row r="235" spans="2:8" ht="27.95" customHeight="1">
      <c r="B235" s="816"/>
      <c r="C235" s="399"/>
      <c r="D235" s="400"/>
      <c r="E235" s="401"/>
      <c r="F235" s="401"/>
      <c r="G235" s="403"/>
      <c r="H235" s="402"/>
    </row>
    <row r="236" spans="2:8" ht="27.95" customHeight="1">
      <c r="B236" s="816"/>
      <c r="C236" s="399"/>
      <c r="D236" s="400"/>
      <c r="E236" s="401"/>
      <c r="F236" s="401"/>
      <c r="G236" s="403"/>
      <c r="H236" s="402"/>
    </row>
    <row r="237" spans="2:8" ht="27.95" customHeight="1">
      <c r="B237" s="816"/>
      <c r="C237" s="399"/>
      <c r="D237" s="400"/>
      <c r="E237" s="401"/>
      <c r="F237" s="401"/>
      <c r="G237" s="403"/>
      <c r="H237" s="402"/>
    </row>
    <row r="238" spans="2:8" ht="27.95" customHeight="1">
      <c r="B238" s="816"/>
      <c r="C238" s="399"/>
      <c r="D238" s="400"/>
      <c r="E238" s="401"/>
      <c r="F238" s="401"/>
      <c r="G238" s="403"/>
      <c r="H238" s="402"/>
    </row>
    <row r="239" spans="2:8" ht="27.95" customHeight="1">
      <c r="B239" s="816"/>
      <c r="C239" s="399"/>
      <c r="D239" s="400"/>
      <c r="E239" s="401"/>
      <c r="F239" s="401"/>
      <c r="G239" s="403"/>
      <c r="H239" s="402"/>
    </row>
    <row r="240" spans="2:8" ht="27.95" customHeight="1">
      <c r="B240" s="816"/>
      <c r="C240" s="399"/>
      <c r="D240" s="400"/>
      <c r="E240" s="401"/>
      <c r="F240" s="401"/>
      <c r="G240" s="403"/>
      <c r="H240" s="402"/>
    </row>
    <row r="241" spans="2:8" ht="27.95" customHeight="1">
      <c r="B241" s="816"/>
      <c r="C241" s="399"/>
      <c r="D241" s="400"/>
      <c r="E241" s="401"/>
      <c r="F241" s="401"/>
      <c r="G241" s="403"/>
      <c r="H241" s="402"/>
    </row>
    <row r="242" spans="2:8" ht="27.95" customHeight="1">
      <c r="B242" s="816"/>
      <c r="C242" s="399"/>
      <c r="D242" s="400"/>
      <c r="E242" s="401"/>
      <c r="F242" s="401"/>
      <c r="G242" s="403"/>
      <c r="H242" s="402"/>
    </row>
    <row r="243" spans="2:8" ht="27.95" customHeight="1">
      <c r="B243" s="816"/>
      <c r="C243" s="399"/>
      <c r="D243" s="400"/>
      <c r="E243" s="401"/>
      <c r="F243" s="401"/>
      <c r="G243" s="403"/>
      <c r="H243" s="402"/>
    </row>
    <row r="244" spans="2:8" ht="27.95" customHeight="1">
      <c r="B244" s="816"/>
      <c r="C244" s="399"/>
      <c r="D244" s="400"/>
      <c r="E244" s="401"/>
      <c r="F244" s="401"/>
      <c r="G244" s="403"/>
      <c r="H244" s="402"/>
    </row>
    <row r="245" spans="2:8" ht="27.95" customHeight="1">
      <c r="B245" s="816"/>
      <c r="C245" s="399"/>
      <c r="D245" s="400"/>
      <c r="E245" s="401"/>
      <c r="F245" s="401"/>
      <c r="G245" s="403"/>
      <c r="H245" s="402"/>
    </row>
    <row r="246" spans="2:8" ht="27.95" customHeight="1">
      <c r="B246" s="816"/>
      <c r="C246" s="399"/>
      <c r="D246" s="400"/>
      <c r="E246" s="401"/>
      <c r="F246" s="401"/>
      <c r="G246" s="403"/>
      <c r="H246" s="402"/>
    </row>
    <row r="247" spans="2:8" ht="27.95" customHeight="1">
      <c r="B247" s="816"/>
      <c r="C247" s="399"/>
      <c r="D247" s="400"/>
      <c r="E247" s="401"/>
      <c r="F247" s="401"/>
      <c r="G247" s="403"/>
      <c r="H247" s="402"/>
    </row>
    <row r="248" spans="2:8" ht="27.95" customHeight="1">
      <c r="B248" s="816"/>
      <c r="C248" s="399"/>
      <c r="D248" s="400"/>
      <c r="E248" s="401"/>
      <c r="F248" s="401"/>
      <c r="G248" s="403"/>
      <c r="H248" s="402"/>
    </row>
    <row r="249" spans="2:8" ht="27.95" customHeight="1">
      <c r="B249" s="816"/>
      <c r="C249" s="399"/>
      <c r="D249" s="400"/>
      <c r="E249" s="401"/>
      <c r="F249" s="401"/>
      <c r="G249" s="403"/>
      <c r="H249" s="402"/>
    </row>
    <row r="250" spans="2:8" ht="27.95" customHeight="1">
      <c r="B250" s="816"/>
      <c r="C250" s="399"/>
      <c r="D250" s="400"/>
      <c r="E250" s="401"/>
      <c r="F250" s="401"/>
      <c r="G250" s="403"/>
      <c r="H250" s="402"/>
    </row>
    <row r="251" spans="2:8" ht="27.95" customHeight="1">
      <c r="B251" s="816"/>
      <c r="C251" s="399"/>
      <c r="D251" s="400"/>
      <c r="E251" s="401"/>
      <c r="F251" s="401"/>
      <c r="G251" s="403"/>
      <c r="H251" s="402"/>
    </row>
    <row r="252" spans="2:8" ht="27.95" customHeight="1">
      <c r="B252" s="816"/>
      <c r="C252" s="399"/>
      <c r="D252" s="400"/>
      <c r="E252" s="401"/>
      <c r="F252" s="401"/>
      <c r="G252" s="403"/>
      <c r="H252" s="402"/>
    </row>
    <row r="253" spans="2:8" ht="27.95" customHeight="1">
      <c r="B253" s="816"/>
      <c r="C253" s="399"/>
      <c r="D253" s="400"/>
      <c r="E253" s="401"/>
      <c r="F253" s="401"/>
      <c r="G253" s="403"/>
      <c r="H253" s="402"/>
    </row>
    <row r="254" spans="2:8" ht="27.95" customHeight="1">
      <c r="B254" s="816"/>
      <c r="C254" s="399"/>
      <c r="D254" s="400"/>
      <c r="E254" s="401"/>
      <c r="F254" s="401"/>
      <c r="G254" s="403"/>
      <c r="H254" s="402"/>
    </row>
    <row r="255" spans="2:8" ht="27.95" customHeight="1">
      <c r="B255" s="816"/>
      <c r="C255" s="399"/>
      <c r="D255" s="400"/>
      <c r="E255" s="401"/>
      <c r="F255" s="401"/>
      <c r="G255" s="403"/>
      <c r="H255" s="402"/>
    </row>
    <row r="256" spans="2:8" ht="27.95" customHeight="1">
      <c r="B256" s="816"/>
      <c r="C256" s="399"/>
      <c r="D256" s="400"/>
      <c r="E256" s="401"/>
      <c r="F256" s="401"/>
      <c r="G256" s="403"/>
      <c r="H256" s="402"/>
    </row>
    <row r="257" spans="2:8" ht="27.95" customHeight="1">
      <c r="B257" s="816"/>
      <c r="C257" s="399"/>
      <c r="D257" s="400"/>
      <c r="E257" s="401"/>
      <c r="F257" s="401"/>
      <c r="G257" s="403"/>
      <c r="H257" s="402"/>
    </row>
    <row r="258" spans="2:8" ht="27.95" customHeight="1">
      <c r="B258" s="816"/>
      <c r="C258" s="399"/>
      <c r="D258" s="400"/>
      <c r="E258" s="401"/>
      <c r="F258" s="401"/>
      <c r="G258" s="403"/>
      <c r="H258" s="402"/>
    </row>
    <row r="259" spans="2:8" ht="27.95" customHeight="1">
      <c r="B259" s="816"/>
      <c r="C259" s="399"/>
      <c r="D259" s="400"/>
      <c r="E259" s="401"/>
      <c r="F259" s="401"/>
      <c r="G259" s="403"/>
      <c r="H259" s="402"/>
    </row>
    <row r="260" spans="2:8" ht="27.95" customHeight="1">
      <c r="B260" s="816"/>
      <c r="C260" s="399"/>
      <c r="D260" s="400"/>
      <c r="E260" s="401"/>
      <c r="F260" s="401"/>
      <c r="G260" s="403"/>
      <c r="H260" s="402"/>
    </row>
    <row r="261" spans="2:8" ht="27.95" customHeight="1">
      <c r="B261" s="816"/>
      <c r="C261" s="399"/>
      <c r="D261" s="400"/>
      <c r="E261" s="401"/>
      <c r="F261" s="401"/>
      <c r="G261" s="403"/>
      <c r="H261" s="402"/>
    </row>
    <row r="262" spans="2:8" ht="27.95" customHeight="1">
      <c r="B262" s="816"/>
      <c r="C262" s="399"/>
      <c r="D262" s="400"/>
      <c r="E262" s="401"/>
      <c r="F262" s="401"/>
      <c r="G262" s="403"/>
      <c r="H262" s="402"/>
    </row>
    <row r="263" spans="2:8" ht="27.95" customHeight="1">
      <c r="B263" s="816"/>
      <c r="C263" s="399"/>
      <c r="D263" s="400"/>
      <c r="E263" s="401"/>
      <c r="F263" s="401"/>
      <c r="G263" s="403"/>
      <c r="H263" s="402"/>
    </row>
    <row r="264" spans="2:8" ht="27.95" customHeight="1">
      <c r="B264" s="816"/>
      <c r="C264" s="399"/>
      <c r="D264" s="400"/>
      <c r="E264" s="401"/>
      <c r="F264" s="401"/>
      <c r="G264" s="403"/>
      <c r="H264" s="402"/>
    </row>
    <row r="265" spans="2:8" ht="27.95" customHeight="1">
      <c r="B265" s="816"/>
      <c r="C265" s="399"/>
      <c r="D265" s="400"/>
      <c r="E265" s="401"/>
      <c r="F265" s="401"/>
      <c r="G265" s="403"/>
      <c r="H265" s="402"/>
    </row>
    <row r="266" spans="2:8" ht="27.95" customHeight="1">
      <c r="B266" s="816"/>
      <c r="C266" s="399"/>
      <c r="D266" s="400"/>
      <c r="E266" s="401"/>
      <c r="F266" s="401"/>
      <c r="G266" s="403"/>
      <c r="H266" s="402"/>
    </row>
    <row r="267" spans="2:8" ht="27.95" customHeight="1">
      <c r="B267" s="816"/>
      <c r="C267" s="399"/>
      <c r="D267" s="400"/>
      <c r="E267" s="401"/>
      <c r="F267" s="401"/>
      <c r="G267" s="403"/>
      <c r="H267" s="402"/>
    </row>
    <row r="268" spans="2:8" ht="27.95" customHeight="1">
      <c r="B268" s="816"/>
      <c r="C268" s="399"/>
      <c r="D268" s="400"/>
      <c r="E268" s="401"/>
      <c r="F268" s="401"/>
      <c r="G268" s="403"/>
      <c r="H268" s="402"/>
    </row>
    <row r="269" spans="2:8" ht="27.95" customHeight="1">
      <c r="B269" s="816"/>
      <c r="C269" s="399"/>
      <c r="D269" s="400"/>
      <c r="E269" s="401"/>
      <c r="F269" s="401"/>
      <c r="G269" s="403"/>
      <c r="H269" s="402"/>
    </row>
    <row r="270" spans="2:8" ht="27.95" customHeight="1">
      <c r="B270" s="816"/>
      <c r="C270" s="399"/>
      <c r="D270" s="400"/>
      <c r="E270" s="401"/>
      <c r="F270" s="401"/>
      <c r="G270" s="403"/>
      <c r="H270" s="402"/>
    </row>
    <row r="271" spans="2:8" ht="27.95" customHeight="1">
      <c r="B271" s="816"/>
      <c r="C271" s="399"/>
      <c r="D271" s="400"/>
      <c r="E271" s="401"/>
      <c r="F271" s="401"/>
      <c r="G271" s="403"/>
      <c r="H271" s="402"/>
    </row>
    <row r="272" spans="2:8" ht="27.95" customHeight="1">
      <c r="B272" s="816"/>
      <c r="C272" s="399"/>
      <c r="D272" s="400"/>
      <c r="E272" s="401"/>
      <c r="F272" s="401"/>
      <c r="G272" s="403"/>
      <c r="H272" s="402"/>
    </row>
    <row r="273" spans="2:8" ht="27.95" customHeight="1">
      <c r="B273" s="816"/>
      <c r="C273" s="399"/>
      <c r="D273" s="400"/>
      <c r="E273" s="401"/>
      <c r="F273" s="401"/>
      <c r="G273" s="403"/>
      <c r="H273" s="402"/>
    </row>
    <row r="274" spans="2:8" ht="27.95" customHeight="1">
      <c r="B274" s="816"/>
      <c r="C274" s="399"/>
      <c r="D274" s="400"/>
      <c r="E274" s="401"/>
      <c r="F274" s="401"/>
      <c r="G274" s="403"/>
      <c r="H274" s="402"/>
    </row>
    <row r="275" spans="2:8" ht="27.95" customHeight="1">
      <c r="B275" s="816"/>
      <c r="C275" s="399"/>
      <c r="D275" s="400"/>
      <c r="E275" s="401"/>
      <c r="F275" s="401"/>
      <c r="G275" s="403"/>
      <c r="H275" s="402"/>
    </row>
    <row r="276" spans="2:8" ht="27.95" customHeight="1">
      <c r="B276" s="816"/>
      <c r="C276" s="399"/>
      <c r="D276" s="400"/>
      <c r="E276" s="401"/>
      <c r="F276" s="401"/>
      <c r="G276" s="403"/>
      <c r="H276" s="402"/>
    </row>
    <row r="277" spans="2:8" ht="27.95" customHeight="1">
      <c r="B277" s="816"/>
      <c r="C277" s="399"/>
      <c r="D277" s="400"/>
      <c r="E277" s="401"/>
      <c r="F277" s="401"/>
      <c r="G277" s="403"/>
      <c r="H277" s="402"/>
    </row>
    <row r="278" spans="2:8" ht="27.95" customHeight="1">
      <c r="B278" s="816"/>
      <c r="C278" s="399"/>
      <c r="D278" s="400"/>
      <c r="E278" s="401"/>
      <c r="F278" s="401"/>
      <c r="G278" s="403"/>
      <c r="H278" s="402"/>
    </row>
    <row r="279" spans="2:8" ht="27.95" customHeight="1">
      <c r="B279" s="816"/>
      <c r="C279" s="399"/>
      <c r="D279" s="400"/>
      <c r="E279" s="401"/>
      <c r="F279" s="401"/>
      <c r="G279" s="403"/>
      <c r="H279" s="402"/>
    </row>
    <row r="280" spans="2:8" ht="27.95" customHeight="1">
      <c r="B280" s="816"/>
      <c r="C280" s="399"/>
      <c r="D280" s="400"/>
      <c r="E280" s="401"/>
      <c r="F280" s="401"/>
      <c r="G280" s="403"/>
      <c r="H280" s="402"/>
    </row>
    <row r="281" spans="2:8" ht="27.95" customHeight="1">
      <c r="B281" s="816"/>
      <c r="C281" s="399"/>
      <c r="D281" s="400"/>
      <c r="E281" s="401"/>
      <c r="F281" s="401"/>
      <c r="G281" s="403"/>
      <c r="H281" s="402"/>
    </row>
    <row r="282" spans="2:8" ht="27.95" customHeight="1">
      <c r="B282" s="816"/>
      <c r="C282" s="399"/>
      <c r="D282" s="400"/>
      <c r="E282" s="401"/>
      <c r="F282" s="401"/>
      <c r="G282" s="403"/>
      <c r="H282" s="402"/>
    </row>
    <row r="283" spans="2:8" ht="27.95" customHeight="1">
      <c r="B283" s="816"/>
      <c r="C283" s="399"/>
      <c r="D283" s="400"/>
      <c r="E283" s="401"/>
      <c r="F283" s="401"/>
      <c r="G283" s="403"/>
      <c r="H283" s="402"/>
    </row>
    <row r="284" spans="2:8" ht="27.95" customHeight="1">
      <c r="B284" s="816"/>
      <c r="C284" s="399"/>
      <c r="D284" s="400"/>
      <c r="E284" s="401"/>
      <c r="F284" s="401"/>
      <c r="G284" s="403"/>
      <c r="H284" s="402"/>
    </row>
    <row r="285" spans="2:8" ht="27.95" customHeight="1">
      <c r="B285" s="816"/>
      <c r="C285" s="399"/>
      <c r="D285" s="400"/>
      <c r="E285" s="401"/>
      <c r="F285" s="401"/>
      <c r="G285" s="403"/>
      <c r="H285" s="402"/>
    </row>
    <row r="286" spans="2:8" ht="27.95" customHeight="1">
      <c r="B286" s="816"/>
      <c r="C286" s="399"/>
      <c r="D286" s="400"/>
      <c r="E286" s="401"/>
      <c r="F286" s="401"/>
      <c r="G286" s="403"/>
      <c r="H286" s="402"/>
    </row>
    <row r="287" spans="2:8" ht="27.95" customHeight="1">
      <c r="B287" s="816"/>
      <c r="C287" s="399"/>
      <c r="D287" s="400"/>
      <c r="E287" s="401"/>
      <c r="F287" s="401"/>
      <c r="G287" s="403"/>
      <c r="H287" s="402"/>
    </row>
    <row r="288" spans="2:8" ht="27.95" customHeight="1">
      <c r="B288" s="816"/>
      <c r="C288" s="399"/>
      <c r="D288" s="400"/>
      <c r="E288" s="401"/>
      <c r="F288" s="401"/>
      <c r="G288" s="403"/>
      <c r="H288" s="402"/>
    </row>
    <row r="289" spans="2:8" ht="27.95" customHeight="1">
      <c r="B289" s="816"/>
      <c r="C289" s="399"/>
      <c r="D289" s="400"/>
      <c r="E289" s="401"/>
      <c r="F289" s="401"/>
      <c r="G289" s="403"/>
      <c r="H289" s="402"/>
    </row>
    <row r="290" spans="2:8" ht="27.95" customHeight="1">
      <c r="B290" s="816"/>
      <c r="C290" s="399"/>
      <c r="D290" s="400"/>
      <c r="E290" s="401"/>
      <c r="F290" s="401"/>
      <c r="G290" s="403"/>
      <c r="H290" s="402"/>
    </row>
    <row r="291" spans="2:8" ht="27.95" customHeight="1">
      <c r="B291" s="816"/>
      <c r="C291" s="399"/>
      <c r="D291" s="400"/>
      <c r="E291" s="401"/>
      <c r="F291" s="401"/>
      <c r="G291" s="403"/>
      <c r="H291" s="402"/>
    </row>
    <row r="292" spans="2:8" ht="27.95" customHeight="1">
      <c r="B292" s="816"/>
      <c r="C292" s="399"/>
      <c r="D292" s="400"/>
      <c r="E292" s="401"/>
      <c r="F292" s="401"/>
      <c r="G292" s="403"/>
      <c r="H292" s="402"/>
    </row>
    <row r="293" spans="2:8" ht="27.95" customHeight="1">
      <c r="B293" s="816"/>
      <c r="C293" s="399"/>
      <c r="D293" s="400"/>
      <c r="E293" s="401"/>
      <c r="F293" s="401"/>
      <c r="G293" s="403"/>
      <c r="H293" s="402"/>
    </row>
    <row r="294" spans="2:8" ht="27.95" customHeight="1">
      <c r="B294" s="816"/>
      <c r="C294" s="399"/>
      <c r="D294" s="400"/>
      <c r="E294" s="401"/>
      <c r="F294" s="401"/>
      <c r="G294" s="403"/>
      <c r="H294" s="402"/>
    </row>
    <row r="295" spans="2:8" ht="27.95" customHeight="1">
      <c r="B295" s="816"/>
      <c r="C295" s="399"/>
      <c r="D295" s="400"/>
      <c r="E295" s="401"/>
      <c r="F295" s="401"/>
      <c r="G295" s="403"/>
      <c r="H295" s="402"/>
    </row>
    <row r="296" spans="2:8" ht="27.95" customHeight="1">
      <c r="B296" s="816"/>
      <c r="C296" s="399"/>
      <c r="D296" s="400"/>
      <c r="E296" s="401"/>
      <c r="F296" s="401"/>
      <c r="G296" s="403"/>
      <c r="H296" s="402"/>
    </row>
    <row r="297" spans="2:8" ht="27.95" customHeight="1">
      <c r="B297" s="816"/>
      <c r="C297" s="399"/>
      <c r="D297" s="400"/>
      <c r="E297" s="401"/>
      <c r="F297" s="401"/>
      <c r="G297" s="403"/>
      <c r="H297" s="402"/>
    </row>
    <row r="298" spans="2:8" ht="27.95" customHeight="1">
      <c r="B298" s="816"/>
      <c r="C298" s="399"/>
      <c r="D298" s="400"/>
      <c r="E298" s="401"/>
      <c r="F298" s="401"/>
      <c r="G298" s="403"/>
      <c r="H298" s="402"/>
    </row>
    <row r="299" spans="2:8" ht="27.95" customHeight="1">
      <c r="B299" s="816"/>
      <c r="C299" s="399"/>
      <c r="D299" s="400"/>
      <c r="E299" s="401"/>
      <c r="F299" s="401"/>
      <c r="G299" s="403"/>
      <c r="H299" s="402"/>
    </row>
    <row r="300" spans="2:8" ht="27.95" customHeight="1">
      <c r="B300" s="816"/>
      <c r="C300" s="399"/>
      <c r="D300" s="400"/>
      <c r="E300" s="401"/>
      <c r="F300" s="401"/>
      <c r="G300" s="403"/>
      <c r="H300" s="402"/>
    </row>
    <row r="301" spans="2:8" ht="27.95" customHeight="1">
      <c r="B301" s="816"/>
      <c r="C301" s="399"/>
      <c r="D301" s="400"/>
      <c r="E301" s="401"/>
      <c r="F301" s="401"/>
      <c r="G301" s="403"/>
      <c r="H301" s="402"/>
    </row>
    <row r="302" spans="2:8" ht="27.95" customHeight="1">
      <c r="B302" s="816"/>
      <c r="C302" s="399"/>
      <c r="D302" s="400"/>
      <c r="E302" s="401"/>
      <c r="F302" s="401"/>
      <c r="G302" s="403"/>
      <c r="H302" s="402"/>
    </row>
    <row r="303" spans="2:8" ht="27.95" customHeight="1">
      <c r="B303" s="816"/>
      <c r="C303" s="399"/>
      <c r="D303" s="400"/>
      <c r="E303" s="401"/>
      <c r="F303" s="401"/>
      <c r="G303" s="403"/>
      <c r="H303" s="402"/>
    </row>
    <row r="304" spans="2:8" ht="27.95" customHeight="1">
      <c r="B304" s="816"/>
      <c r="C304" s="399"/>
      <c r="D304" s="400"/>
      <c r="E304" s="401"/>
      <c r="F304" s="401"/>
      <c r="G304" s="403"/>
      <c r="H304" s="402"/>
    </row>
    <row r="305" spans="2:8" ht="27.95" customHeight="1">
      <c r="B305" s="816"/>
      <c r="C305" s="399"/>
      <c r="D305" s="400"/>
      <c r="E305" s="401"/>
      <c r="F305" s="401"/>
      <c r="G305" s="403"/>
      <c r="H305" s="402"/>
    </row>
    <row r="306" spans="2:8" ht="27.95" customHeight="1">
      <c r="B306" s="816"/>
      <c r="C306" s="399"/>
      <c r="D306" s="400"/>
      <c r="E306" s="401"/>
      <c r="F306" s="401"/>
      <c r="G306" s="403"/>
      <c r="H306" s="402"/>
    </row>
    <row r="307" spans="2:8" ht="27.95" customHeight="1">
      <c r="B307" s="816"/>
      <c r="C307" s="399"/>
      <c r="D307" s="400"/>
      <c r="E307" s="401"/>
      <c r="F307" s="401"/>
      <c r="G307" s="403"/>
      <c r="H307" s="402"/>
    </row>
    <row r="308" spans="2:8" ht="27.95" customHeight="1">
      <c r="B308" s="816"/>
      <c r="C308" s="399"/>
      <c r="D308" s="400"/>
      <c r="E308" s="401"/>
      <c r="F308" s="401"/>
      <c r="G308" s="403"/>
      <c r="H308" s="402"/>
    </row>
    <row r="309" spans="2:8" ht="27.95" customHeight="1">
      <c r="B309" s="816"/>
      <c r="C309" s="399"/>
      <c r="D309" s="400"/>
      <c r="E309" s="401"/>
      <c r="F309" s="401"/>
      <c r="G309" s="403"/>
      <c r="H309" s="402"/>
    </row>
    <row r="310" spans="2:8" ht="27.95" customHeight="1">
      <c r="B310" s="816"/>
      <c r="C310" s="399"/>
      <c r="D310" s="400"/>
      <c r="E310" s="401"/>
      <c r="F310" s="401"/>
      <c r="G310" s="403"/>
      <c r="H310" s="402"/>
    </row>
    <row r="311" spans="2:8" ht="27.95" customHeight="1">
      <c r="B311" s="816"/>
      <c r="C311" s="399"/>
      <c r="D311" s="400"/>
      <c r="E311" s="401"/>
      <c r="F311" s="401"/>
      <c r="G311" s="403"/>
      <c r="H311" s="402"/>
    </row>
    <row r="312" spans="2:8" ht="27.95" customHeight="1">
      <c r="B312" s="816"/>
      <c r="C312" s="399"/>
      <c r="D312" s="400"/>
      <c r="E312" s="401"/>
      <c r="F312" s="401"/>
      <c r="G312" s="403"/>
      <c r="H312" s="402"/>
    </row>
    <row r="313" spans="2:8" ht="27.95" customHeight="1">
      <c r="B313" s="816"/>
      <c r="C313" s="399"/>
      <c r="D313" s="400"/>
      <c r="E313" s="401"/>
      <c r="F313" s="401"/>
      <c r="G313" s="403"/>
      <c r="H313" s="402"/>
    </row>
    <row r="314" spans="2:8" ht="27.95" customHeight="1">
      <c r="B314" s="816"/>
      <c r="C314" s="399"/>
      <c r="D314" s="400"/>
      <c r="E314" s="401"/>
      <c r="F314" s="401"/>
      <c r="G314" s="403"/>
      <c r="H314" s="402"/>
    </row>
    <row r="315" spans="2:8" ht="27.95" customHeight="1">
      <c r="B315" s="816"/>
      <c r="C315" s="399"/>
      <c r="D315" s="400"/>
      <c r="E315" s="401"/>
      <c r="F315" s="401"/>
      <c r="G315" s="403"/>
      <c r="H315" s="402"/>
    </row>
    <row r="316" spans="2:8" ht="27.95" customHeight="1">
      <c r="B316" s="816"/>
      <c r="C316" s="399"/>
      <c r="D316" s="400"/>
      <c r="E316" s="401"/>
      <c r="F316" s="401"/>
      <c r="G316" s="403"/>
      <c r="H316" s="402"/>
    </row>
    <row r="317" spans="2:8" ht="27.95" customHeight="1">
      <c r="B317" s="816"/>
      <c r="C317" s="399"/>
      <c r="D317" s="400"/>
      <c r="E317" s="401"/>
      <c r="F317" s="401"/>
      <c r="G317" s="403"/>
      <c r="H317" s="402"/>
    </row>
    <row r="318" spans="2:8" ht="27.95" customHeight="1">
      <c r="B318" s="816"/>
      <c r="C318" s="399"/>
      <c r="D318" s="400"/>
      <c r="E318" s="401"/>
      <c r="F318" s="401"/>
      <c r="G318" s="403"/>
      <c r="H318" s="402"/>
    </row>
    <row r="319" spans="2:8" ht="27.95" customHeight="1">
      <c r="B319" s="816"/>
      <c r="C319" s="399"/>
      <c r="D319" s="400"/>
      <c r="E319" s="401"/>
      <c r="F319" s="401"/>
      <c r="G319" s="403"/>
      <c r="H319" s="402"/>
    </row>
    <row r="320" spans="2:8" ht="27.95" customHeight="1">
      <c r="B320" s="816"/>
      <c r="C320" s="399"/>
      <c r="D320" s="400"/>
      <c r="E320" s="401"/>
      <c r="F320" s="401"/>
      <c r="G320" s="403"/>
      <c r="H320" s="402"/>
    </row>
    <row r="321" spans="2:8" ht="27.95" customHeight="1">
      <c r="B321" s="816"/>
      <c r="C321" s="399"/>
      <c r="D321" s="400"/>
      <c r="E321" s="401"/>
      <c r="F321" s="401"/>
      <c r="G321" s="403"/>
      <c r="H321" s="402"/>
    </row>
    <row r="322" spans="2:8" ht="27.95" customHeight="1">
      <c r="B322" s="816"/>
      <c r="C322" s="399"/>
      <c r="D322" s="400"/>
      <c r="E322" s="401"/>
      <c r="F322" s="401"/>
      <c r="G322" s="403"/>
      <c r="H322" s="402"/>
    </row>
    <row r="323" spans="2:8" ht="27.95" customHeight="1">
      <c r="B323" s="816"/>
      <c r="C323" s="399"/>
      <c r="D323" s="400"/>
      <c r="E323" s="401"/>
      <c r="F323" s="401"/>
      <c r="G323" s="403"/>
      <c r="H323" s="402"/>
    </row>
    <row r="324" spans="2:8" ht="27.95" customHeight="1">
      <c r="B324" s="816"/>
      <c r="C324" s="399"/>
      <c r="D324" s="400"/>
      <c r="E324" s="401"/>
      <c r="F324" s="401"/>
      <c r="G324" s="403"/>
      <c r="H324" s="402"/>
    </row>
    <row r="325" spans="2:8" ht="27.95" customHeight="1">
      <c r="B325" s="816"/>
      <c r="C325" s="399"/>
      <c r="D325" s="400"/>
      <c r="E325" s="401"/>
      <c r="F325" s="401"/>
      <c r="G325" s="403"/>
      <c r="H325" s="402"/>
    </row>
    <row r="326" spans="2:8" ht="27.95" customHeight="1">
      <c r="B326" s="816"/>
      <c r="C326" s="399"/>
      <c r="D326" s="400"/>
      <c r="E326" s="401"/>
      <c r="F326" s="401"/>
      <c r="G326" s="403"/>
      <c r="H326" s="402"/>
    </row>
    <row r="327" spans="2:8" ht="27.95" customHeight="1">
      <c r="B327" s="816"/>
      <c r="C327" s="399"/>
      <c r="D327" s="400"/>
      <c r="E327" s="401"/>
      <c r="F327" s="401"/>
      <c r="G327" s="403"/>
      <c r="H327" s="402"/>
    </row>
    <row r="328" spans="2:8" ht="27.95" customHeight="1">
      <c r="B328" s="1191"/>
      <c r="C328" s="1191"/>
      <c r="D328" s="1191"/>
      <c r="E328" s="1191"/>
      <c r="F328" s="1191"/>
      <c r="G328" s="1191"/>
      <c r="H328" s="1191"/>
    </row>
    <row r="329" spans="2:8" ht="27.95" customHeight="1">
      <c r="B329" s="1191"/>
      <c r="C329" s="1191"/>
      <c r="D329" s="1191"/>
      <c r="E329" s="1191"/>
      <c r="F329" s="1191"/>
      <c r="G329" s="1191"/>
      <c r="H329" s="1191"/>
    </row>
    <row r="330" spans="2:8" ht="27.95" customHeight="1">
      <c r="B330" s="1191"/>
      <c r="C330" s="1191"/>
      <c r="D330" s="1191"/>
      <c r="E330" s="1191"/>
      <c r="F330" s="1191"/>
      <c r="G330" s="1191"/>
      <c r="H330" s="1191"/>
    </row>
    <row r="331" spans="2:8" ht="27.95" customHeight="1">
      <c r="B331" s="189"/>
      <c r="C331" s="945"/>
      <c r="D331" s="398"/>
      <c r="E331" s="946"/>
      <c r="F331" s="946"/>
      <c r="G331" s="946"/>
      <c r="H331" s="946"/>
    </row>
    <row r="332" spans="2:8" ht="27.95" customHeight="1">
      <c r="B332" s="189"/>
      <c r="C332" s="945"/>
      <c r="D332" s="947"/>
      <c r="E332" s="946"/>
      <c r="F332" s="946"/>
      <c r="G332" s="946"/>
      <c r="H332" s="946"/>
    </row>
    <row r="333" spans="2:8" ht="12.75" customHeight="1">
      <c r="B333" s="948"/>
      <c r="C333" s="949"/>
      <c r="D333" s="949"/>
      <c r="E333" s="949"/>
      <c r="F333" s="949"/>
      <c r="G333" s="949"/>
      <c r="H333" s="949"/>
    </row>
    <row r="334" spans="2:8" ht="12.75" customHeight="1">
      <c r="B334" s="950"/>
      <c r="C334" s="949"/>
      <c r="D334" s="949"/>
      <c r="E334" s="949"/>
      <c r="F334" s="949"/>
      <c r="G334" s="949"/>
      <c r="H334" s="949"/>
    </row>
    <row r="335" spans="2:8" ht="12.75" customHeight="1">
      <c r="B335" s="951"/>
      <c r="C335" s="949"/>
      <c r="D335" s="949"/>
      <c r="E335" s="949"/>
      <c r="F335" s="949"/>
      <c r="G335" s="949"/>
      <c r="H335" s="949"/>
    </row>
    <row r="336" spans="2:8">
      <c r="B336" s="951"/>
      <c r="C336" s="949"/>
      <c r="D336" s="949"/>
      <c r="E336" s="949"/>
      <c r="F336" s="949"/>
      <c r="G336" s="949"/>
      <c r="H336" s="949"/>
    </row>
    <row r="337" spans="2:8">
      <c r="B337" s="951"/>
      <c r="C337" s="949"/>
      <c r="D337" s="949"/>
      <c r="E337" s="949"/>
      <c r="F337" s="949"/>
      <c r="G337" s="949"/>
      <c r="H337" s="949"/>
    </row>
    <row r="338" spans="2:8" ht="12" customHeight="1">
      <c r="B338" s="951"/>
      <c r="C338" s="949"/>
      <c r="D338" s="949"/>
      <c r="E338" s="949"/>
      <c r="F338" s="949"/>
      <c r="G338" s="949"/>
      <c r="H338" s="949"/>
    </row>
    <row r="339" spans="2:8" ht="12" customHeight="1">
      <c r="B339" s="950"/>
      <c r="C339" s="949"/>
      <c r="D339" s="949"/>
      <c r="E339" s="949"/>
      <c r="F339" s="949"/>
      <c r="G339" s="949"/>
      <c r="H339" s="949"/>
    </row>
    <row r="340" spans="2:8" ht="12" customHeight="1">
      <c r="B340" s="952"/>
      <c r="C340" s="949"/>
      <c r="D340" s="949"/>
      <c r="E340" s="949"/>
      <c r="F340" s="949"/>
      <c r="G340" s="949"/>
      <c r="H340" s="949"/>
    </row>
    <row r="341" spans="2:8" ht="12" customHeight="1">
      <c r="B341" s="952"/>
      <c r="C341" s="949"/>
      <c r="D341" s="949"/>
      <c r="E341" s="949"/>
      <c r="F341" s="949"/>
      <c r="G341" s="949"/>
      <c r="H341" s="949"/>
    </row>
    <row r="342" spans="2:8" ht="12" customHeight="1">
      <c r="B342" s="950"/>
      <c r="C342" s="953"/>
      <c r="D342" s="954"/>
      <c r="E342" s="954"/>
      <c r="F342" s="953"/>
      <c r="G342" s="953"/>
      <c r="H342" s="953"/>
    </row>
    <row r="343" spans="2:8" ht="12" customHeight="1">
      <c r="B343" s="950"/>
      <c r="C343" s="953"/>
      <c r="D343" s="954"/>
      <c r="E343" s="954"/>
      <c r="F343" s="953"/>
      <c r="G343" s="953"/>
      <c r="H343" s="953"/>
    </row>
    <row r="344" spans="2:8" ht="12" customHeight="1">
      <c r="B344" s="953"/>
      <c r="C344" s="950"/>
      <c r="D344" s="954"/>
      <c r="E344" s="954"/>
      <c r="F344" s="953"/>
      <c r="G344" s="953"/>
      <c r="H344" s="953"/>
    </row>
    <row r="345" spans="2:8" ht="12" customHeight="1">
      <c r="B345" s="953"/>
      <c r="C345" s="955"/>
      <c r="D345" s="956"/>
      <c r="E345" s="956"/>
      <c r="F345" s="953"/>
      <c r="G345" s="953"/>
      <c r="H345" s="953"/>
    </row>
    <row r="346" spans="2:8" ht="12" customHeight="1">
      <c r="B346" s="953"/>
      <c r="C346" s="953"/>
      <c r="D346" s="954"/>
      <c r="E346" s="954"/>
      <c r="F346" s="953"/>
      <c r="G346" s="953"/>
      <c r="H346" s="953"/>
    </row>
    <row r="347" spans="2:8" ht="12" customHeight="1">
      <c r="B347" s="953"/>
      <c r="C347" s="953"/>
      <c r="D347" s="954"/>
      <c r="E347" s="954"/>
      <c r="F347" s="953"/>
      <c r="G347" s="953"/>
      <c r="H347" s="953"/>
    </row>
    <row r="348" spans="2:8" ht="12" customHeight="1">
      <c r="B348" s="953"/>
      <c r="C348" s="953"/>
      <c r="D348" s="954"/>
      <c r="E348" s="954"/>
      <c r="F348" s="953"/>
      <c r="G348" s="953"/>
      <c r="H348" s="953"/>
    </row>
    <row r="349" spans="2:8" ht="12" customHeight="1">
      <c r="B349" s="953"/>
      <c r="C349" s="953"/>
      <c r="D349" s="954"/>
      <c r="E349" s="954"/>
      <c r="F349" s="953"/>
      <c r="G349" s="953"/>
      <c r="H349" s="953"/>
    </row>
    <row r="350" spans="2:8" ht="12" customHeight="1">
      <c r="B350" s="953"/>
      <c r="C350" s="953"/>
      <c r="D350" s="954"/>
      <c r="E350" s="954"/>
      <c r="F350" s="953"/>
      <c r="G350" s="953"/>
      <c r="H350" s="953"/>
    </row>
    <row r="351" spans="2:8" ht="12" customHeight="1">
      <c r="B351" s="953"/>
      <c r="C351" s="950"/>
      <c r="D351" s="954"/>
      <c r="E351" s="954"/>
      <c r="F351" s="953"/>
      <c r="G351" s="953"/>
      <c r="H351" s="953"/>
    </row>
    <row r="352" spans="2:8" ht="12" customHeight="1">
      <c r="B352" s="953"/>
      <c r="C352" s="950"/>
      <c r="D352" s="954"/>
      <c r="E352" s="954"/>
      <c r="F352" s="953"/>
      <c r="G352" s="953"/>
      <c r="H352" s="953"/>
    </row>
    <row r="353" spans="2:8" ht="12" customHeight="1">
      <c r="B353" s="954"/>
      <c r="C353" s="957"/>
      <c r="D353" s="954"/>
      <c r="E353" s="954"/>
      <c r="F353" s="953"/>
      <c r="G353" s="953"/>
      <c r="H353" s="953"/>
    </row>
    <row r="354" spans="2:8" ht="12" customHeight="1">
      <c r="B354" s="958"/>
      <c r="C354" s="949"/>
      <c r="D354" s="949"/>
      <c r="E354" s="949"/>
      <c r="F354" s="949"/>
      <c r="G354" s="949"/>
      <c r="H354" s="949"/>
    </row>
    <row r="355" spans="2:8" ht="12" customHeight="1">
      <c r="B355" s="958"/>
      <c r="C355" s="949"/>
      <c r="D355" s="949"/>
      <c r="E355" s="949"/>
      <c r="F355" s="949"/>
      <c r="G355" s="949"/>
      <c r="H355" s="949"/>
    </row>
    <row r="356" spans="2:8" ht="12" customHeight="1">
      <c r="B356" s="958"/>
      <c r="C356" s="949"/>
      <c r="D356" s="949"/>
      <c r="E356" s="949"/>
      <c r="F356" s="949"/>
      <c r="G356" s="949"/>
      <c r="H356" s="949"/>
    </row>
    <row r="357" spans="2:8" ht="12" customHeight="1">
      <c r="B357" s="959"/>
      <c r="C357" s="949"/>
      <c r="D357" s="949"/>
      <c r="E357" s="949"/>
      <c r="F357" s="949"/>
      <c r="G357" s="949"/>
      <c r="H357" s="949"/>
    </row>
    <row r="358" spans="2:8" ht="12" customHeight="1">
      <c r="B358" s="953"/>
      <c r="C358" s="949"/>
      <c r="D358" s="949"/>
      <c r="E358" s="949"/>
      <c r="F358" s="949"/>
      <c r="G358" s="949"/>
      <c r="H358" s="949"/>
    </row>
    <row r="359" spans="2:8" ht="12" customHeight="1">
      <c r="B359" s="953"/>
      <c r="C359" s="949"/>
      <c r="D359" s="949"/>
      <c r="E359" s="949"/>
      <c r="F359" s="949"/>
      <c r="G359" s="949"/>
      <c r="H359" s="949"/>
    </row>
    <row r="360" spans="2:8" ht="12" customHeight="1">
      <c r="B360" s="953"/>
      <c r="C360" s="949"/>
      <c r="D360" s="949"/>
      <c r="E360" s="949"/>
      <c r="F360" s="949"/>
      <c r="G360" s="949"/>
      <c r="H360" s="949"/>
    </row>
    <row r="361" spans="2:8" ht="12" customHeight="1">
      <c r="B361" s="953"/>
      <c r="C361" s="949"/>
      <c r="D361" s="949"/>
      <c r="E361" s="949"/>
      <c r="F361" s="949"/>
      <c r="G361" s="949"/>
      <c r="H361" s="949"/>
    </row>
    <row r="362" spans="2:8" ht="12" customHeight="1">
      <c r="B362" s="953"/>
      <c r="C362" s="949"/>
      <c r="D362" s="949"/>
      <c r="E362" s="949"/>
      <c r="F362" s="949"/>
      <c r="G362" s="949"/>
      <c r="H362" s="949"/>
    </row>
    <row r="363" spans="2:8" ht="12" customHeight="1">
      <c r="B363" s="953"/>
      <c r="C363" s="949"/>
      <c r="D363" s="949"/>
      <c r="E363" s="949"/>
      <c r="F363" s="949"/>
      <c r="G363" s="949"/>
      <c r="H363" s="949"/>
    </row>
    <row r="364" spans="2:8" ht="12" customHeight="1">
      <c r="B364" s="953"/>
      <c r="C364" s="949"/>
      <c r="D364" s="949"/>
      <c r="E364" s="949"/>
      <c r="F364" s="949"/>
      <c r="G364" s="949"/>
      <c r="H364" s="949"/>
    </row>
    <row r="365" spans="2:8" ht="12" customHeight="1">
      <c r="B365" s="953"/>
      <c r="C365" s="949"/>
      <c r="D365" s="949"/>
      <c r="E365" s="949"/>
      <c r="F365" s="949"/>
      <c r="G365" s="949"/>
      <c r="H365" s="949"/>
    </row>
    <row r="366" spans="2:8" ht="12" customHeight="1">
      <c r="B366" s="953"/>
      <c r="C366" s="945"/>
      <c r="D366" s="949"/>
      <c r="E366" s="949"/>
      <c r="F366" s="949"/>
      <c r="G366" s="949"/>
      <c r="H366" s="949"/>
    </row>
    <row r="367" spans="2:8" ht="12" customHeight="1">
      <c r="B367" s="953"/>
      <c r="C367" s="945"/>
      <c r="D367" s="960"/>
      <c r="E367" s="961"/>
      <c r="F367" s="961"/>
      <c r="G367" s="961"/>
      <c r="H367" s="961"/>
    </row>
    <row r="368" spans="2:8" ht="12" customHeight="1">
      <c r="B368" s="958"/>
      <c r="C368" s="949"/>
      <c r="D368" s="960"/>
      <c r="E368" s="961"/>
      <c r="F368" s="961"/>
      <c r="G368" s="961"/>
      <c r="H368" s="961"/>
    </row>
    <row r="369" spans="2:8" ht="12" customHeight="1">
      <c r="B369" s="958"/>
      <c r="C369" s="949"/>
      <c r="D369" s="960"/>
      <c r="E369" s="961"/>
      <c r="F369" s="961"/>
      <c r="G369" s="961"/>
      <c r="H369" s="961"/>
    </row>
    <row r="370" spans="2:8" ht="12" customHeight="1">
      <c r="B370" s="953"/>
      <c r="C370" s="962"/>
      <c r="D370" s="960"/>
      <c r="E370" s="961"/>
      <c r="F370" s="961"/>
      <c r="G370" s="961"/>
      <c r="H370" s="961"/>
    </row>
    <row r="371" spans="2:8" ht="12" customHeight="1">
      <c r="B371" s="959"/>
      <c r="C371" s="962"/>
      <c r="D371" s="960"/>
      <c r="E371" s="961"/>
      <c r="F371" s="961"/>
      <c r="G371" s="961"/>
      <c r="H371" s="961"/>
    </row>
    <row r="372" spans="2:8" ht="12" customHeight="1">
      <c r="B372" s="958"/>
      <c r="C372" s="962"/>
      <c r="D372" s="960"/>
      <c r="E372" s="961"/>
      <c r="F372" s="961"/>
      <c r="G372" s="961"/>
      <c r="H372" s="961"/>
    </row>
    <row r="373" spans="2:8" ht="12" customHeight="1">
      <c r="D373" s="963"/>
      <c r="E373" s="963"/>
      <c r="F373" s="963"/>
      <c r="G373" s="963"/>
      <c r="H373" s="963"/>
    </row>
    <row r="422" spans="2:2">
      <c r="B422" s="189"/>
    </row>
  </sheetData>
  <mergeCells count="58">
    <mergeCell ref="B329:H329"/>
    <mergeCell ref="B330:H330"/>
    <mergeCell ref="B91:B92"/>
    <mergeCell ref="C91:C92"/>
    <mergeCell ref="D91:D92"/>
    <mergeCell ref="B133:L133"/>
    <mergeCell ref="B131:L131"/>
    <mergeCell ref="B132:L132"/>
    <mergeCell ref="B94:B95"/>
    <mergeCell ref="C94:C95"/>
    <mergeCell ref="D94:D95"/>
    <mergeCell ref="B96:B98"/>
    <mergeCell ref="B182:V182"/>
    <mergeCell ref="B328:H328"/>
    <mergeCell ref="D80:D81"/>
    <mergeCell ref="B82:B84"/>
    <mergeCell ref="C82:C83"/>
    <mergeCell ref="D82:D83"/>
    <mergeCell ref="B88:B90"/>
    <mergeCell ref="C88:C89"/>
    <mergeCell ref="D88:D89"/>
    <mergeCell ref="C23:W23"/>
    <mergeCell ref="B39:C39"/>
    <mergeCell ref="C56:W56"/>
    <mergeCell ref="B66:C66"/>
    <mergeCell ref="B75:B76"/>
    <mergeCell ref="C75:C76"/>
    <mergeCell ref="D75:D76"/>
    <mergeCell ref="C41:W41"/>
    <mergeCell ref="B44:C44"/>
    <mergeCell ref="C46:W46"/>
    <mergeCell ref="C51:W51"/>
    <mergeCell ref="B53:C53"/>
    <mergeCell ref="C69:W69"/>
    <mergeCell ref="B70:B72"/>
    <mergeCell ref="C70:C71"/>
    <mergeCell ref="D70:D71"/>
    <mergeCell ref="C3:H3"/>
    <mergeCell ref="G12:L12"/>
    <mergeCell ref="G13:L13"/>
    <mergeCell ref="E17:N17"/>
    <mergeCell ref="X20:Z20"/>
    <mergeCell ref="B73:B74"/>
    <mergeCell ref="C73:C74"/>
    <mergeCell ref="D73:D74"/>
    <mergeCell ref="B130:L130"/>
    <mergeCell ref="B165:K165"/>
    <mergeCell ref="C96:C97"/>
    <mergeCell ref="D96:D97"/>
    <mergeCell ref="C101:W101"/>
    <mergeCell ref="C119:W119"/>
    <mergeCell ref="C126:W126"/>
    <mergeCell ref="B134:L134"/>
    <mergeCell ref="B77:B79"/>
    <mergeCell ref="C77:C78"/>
    <mergeCell ref="D77:D78"/>
    <mergeCell ref="B80:B81"/>
    <mergeCell ref="C80:C81"/>
  </mergeCells>
  <hyperlinks>
    <hyperlink ref="C177" r:id="rId1" xr:uid="{05C436BA-EF99-4C07-A76D-A30987234285}"/>
  </hyperlinks>
  <pageMargins left="0.1" right="7.0000000000000007E-2" top="0.17" bottom="0.17" header="0.17" footer="0.17"/>
  <pageSetup paperSize="9" scale="32" fitToHeight="2" orientation="portrait"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2B317-EDEC-4A1F-A5AB-4E2D9AE31B54}">
  <sheetPr>
    <tabColor theme="0" tint="-0.14999847407452621"/>
    <pageSetUpPr fitToPage="1"/>
  </sheetPr>
  <dimension ref="B1:L121"/>
  <sheetViews>
    <sheetView zoomScale="90" zoomScaleNormal="90" workbookViewId="0"/>
  </sheetViews>
  <sheetFormatPr defaultColWidth="11.42578125" defaultRowHeight="28.5" customHeight="1"/>
  <cols>
    <col min="1" max="1" width="2.7109375" style="592" customWidth="1"/>
    <col min="2" max="2" width="2.85546875" style="592" customWidth="1"/>
    <col min="3" max="3" width="57.7109375" style="592" customWidth="1"/>
    <col min="4" max="4" width="20.7109375" style="592" customWidth="1"/>
    <col min="5" max="7" width="20.85546875" style="593" customWidth="1"/>
    <col min="8" max="9" width="20.85546875" style="594" customWidth="1"/>
    <col min="10" max="12" width="20.85546875" style="592" customWidth="1"/>
    <col min="13" max="16384" width="11.42578125" style="592"/>
  </cols>
  <sheetData>
    <row r="1" spans="2:12" ht="13.5" customHeight="1" thickBot="1"/>
    <row r="2" spans="2:12" ht="15" customHeight="1">
      <c r="C2" s="595"/>
      <c r="D2" s="596"/>
      <c r="E2" s="597"/>
      <c r="F2" s="597"/>
      <c r="G2" s="597"/>
      <c r="H2" s="598"/>
      <c r="I2" s="359"/>
      <c r="J2" s="360"/>
      <c r="K2" s="360"/>
      <c r="L2" s="361"/>
    </row>
    <row r="3" spans="2:12" ht="12.75">
      <c r="C3" s="1194" t="s">
        <v>470</v>
      </c>
      <c r="D3" s="1195"/>
      <c r="E3" s="1195"/>
      <c r="F3" s="1195"/>
      <c r="G3" s="1195"/>
      <c r="H3" s="1195"/>
      <c r="I3" s="1195"/>
      <c r="J3" s="1195"/>
      <c r="K3" s="1195"/>
      <c r="L3" s="1196"/>
    </row>
    <row r="4" spans="2:12" ht="15" customHeight="1">
      <c r="C4" s="1197" t="s">
        <v>941</v>
      </c>
      <c r="D4" s="1198"/>
      <c r="E4" s="1198"/>
      <c r="F4" s="1198"/>
      <c r="G4" s="1198"/>
      <c r="H4" s="1198"/>
      <c r="I4" s="1198"/>
      <c r="J4" s="1198"/>
      <c r="K4" s="1198"/>
      <c r="L4" s="1199"/>
    </row>
    <row r="5" spans="2:12" ht="15" customHeight="1">
      <c r="C5" s="1200" t="s">
        <v>942</v>
      </c>
      <c r="D5" s="1201"/>
      <c r="E5" s="1201"/>
      <c r="F5" s="1201"/>
      <c r="G5" s="1201"/>
      <c r="H5" s="1201"/>
      <c r="I5" s="1201"/>
      <c r="J5" s="1201"/>
      <c r="K5" s="1201"/>
      <c r="L5" s="1202"/>
    </row>
    <row r="6" spans="2:12" ht="15" customHeight="1">
      <c r="C6" s="1203" t="s">
        <v>943</v>
      </c>
      <c r="D6" s="1204"/>
      <c r="E6" s="1204"/>
      <c r="F6" s="1204"/>
      <c r="G6" s="1204"/>
      <c r="H6" s="1204"/>
      <c r="I6" s="1204"/>
      <c r="J6" s="1204"/>
      <c r="K6" s="1204"/>
      <c r="L6" s="1205"/>
    </row>
    <row r="7" spans="2:12" ht="15" customHeight="1" thickBot="1">
      <c r="C7" s="599"/>
      <c r="D7" s="600"/>
      <c r="E7" s="653"/>
      <c r="F7" s="653"/>
      <c r="G7" s="653"/>
      <c r="H7" s="654"/>
      <c r="I7" s="654"/>
      <c r="J7" s="362"/>
      <c r="K7" s="362"/>
      <c r="L7" s="363"/>
    </row>
    <row r="8" spans="2:12" ht="13.15" customHeight="1">
      <c r="E8" s="655"/>
      <c r="F8" s="655"/>
      <c r="G8" s="655"/>
      <c r="H8" s="656"/>
      <c r="I8" s="656"/>
      <c r="J8" s="655"/>
    </row>
    <row r="9" spans="2:12" s="5" customFormat="1" ht="15" customHeight="1">
      <c r="B9" s="592"/>
      <c r="C9" s="1206" t="s">
        <v>944</v>
      </c>
      <c r="D9" s="1206"/>
      <c r="E9" s="1206"/>
      <c r="F9" s="1206"/>
      <c r="G9" s="1206"/>
      <c r="H9" s="1206"/>
      <c r="I9" s="1206"/>
      <c r="J9" s="1206"/>
      <c r="K9" s="1206"/>
      <c r="L9" s="1206"/>
    </row>
    <row r="10" spans="2:12" s="5" customFormat="1" ht="15" customHeight="1">
      <c r="B10" s="592"/>
      <c r="C10" s="1193" t="s">
        <v>945</v>
      </c>
      <c r="D10" s="1193"/>
      <c r="E10" s="1193"/>
      <c r="F10" s="1193"/>
      <c r="G10" s="1193"/>
      <c r="H10" s="1193"/>
      <c r="I10" s="1193"/>
      <c r="J10" s="1193"/>
      <c r="K10" s="1193"/>
      <c r="L10" s="1193"/>
    </row>
    <row r="11" spans="2:12" s="5" customFormat="1" ht="13.15" customHeight="1">
      <c r="B11" s="592"/>
      <c r="C11" s="1207" t="s">
        <v>946</v>
      </c>
      <c r="D11" s="1207"/>
      <c r="E11" s="1207"/>
      <c r="F11" s="1207"/>
      <c r="G11" s="1207"/>
      <c r="H11" s="1207"/>
      <c r="I11" s="1207"/>
      <c r="J11" s="1207"/>
      <c r="K11" s="1207"/>
      <c r="L11" s="1207"/>
    </row>
    <row r="12" spans="2:12" s="5" customFormat="1" ht="12.75">
      <c r="B12" s="592"/>
      <c r="C12" s="1207"/>
      <c r="D12" s="1207"/>
      <c r="E12" s="1207"/>
      <c r="F12" s="1207"/>
      <c r="G12" s="1207"/>
      <c r="H12" s="1207"/>
      <c r="I12" s="1207"/>
      <c r="J12" s="1207"/>
      <c r="K12" s="1207"/>
      <c r="L12" s="1207"/>
    </row>
    <row r="13" spans="2:12" s="5" customFormat="1" ht="12.75" customHeight="1">
      <c r="B13" s="592"/>
      <c r="C13" s="1208" t="s">
        <v>947</v>
      </c>
      <c r="D13" s="1208"/>
      <c r="E13" s="1208"/>
      <c r="F13" s="1208"/>
      <c r="G13" s="1208"/>
      <c r="H13" s="1208"/>
      <c r="I13" s="1208"/>
      <c r="J13" s="1208"/>
      <c r="K13" s="1208"/>
      <c r="L13" s="1208"/>
    </row>
    <row r="14" spans="2:12" s="5" customFormat="1" ht="12.75">
      <c r="B14" s="592"/>
      <c r="C14" s="1208"/>
      <c r="D14" s="1208"/>
      <c r="E14" s="1208"/>
      <c r="F14" s="1208"/>
      <c r="G14" s="1208"/>
      <c r="H14" s="1208"/>
      <c r="I14" s="1208"/>
      <c r="J14" s="1208"/>
      <c r="K14" s="1208"/>
      <c r="L14" s="1208"/>
    </row>
    <row r="15" spans="2:12" s="5" customFormat="1" ht="12.75">
      <c r="B15" s="592"/>
      <c r="C15" s="404"/>
      <c r="D15" s="404"/>
      <c r="E15" s="404"/>
      <c r="F15" s="404"/>
      <c r="G15" s="404"/>
      <c r="H15" s="404"/>
      <c r="I15" s="404"/>
      <c r="J15" s="404"/>
      <c r="K15" s="404"/>
      <c r="L15" s="404"/>
    </row>
    <row r="16" spans="2:12" s="5" customFormat="1" ht="15" customHeight="1" thickBot="1">
      <c r="B16" s="592"/>
      <c r="C16" s="1209" t="s">
        <v>948</v>
      </c>
      <c r="D16" s="1209"/>
      <c r="E16" s="1209"/>
      <c r="F16" s="1209"/>
      <c r="G16" s="1209"/>
      <c r="H16" s="1209"/>
      <c r="I16" s="1209"/>
      <c r="J16" s="1209"/>
      <c r="K16" s="1209"/>
      <c r="L16" s="1209"/>
    </row>
    <row r="17" spans="2:12" s="5" customFormat="1" ht="17.25" customHeight="1" thickBot="1">
      <c r="B17" s="592"/>
      <c r="C17" s="592"/>
      <c r="D17" s="592"/>
      <c r="E17" s="1210" t="s">
        <v>949</v>
      </c>
      <c r="F17" s="1211"/>
      <c r="G17" s="1210" t="s">
        <v>950</v>
      </c>
      <c r="H17" s="1211"/>
      <c r="I17" s="1212" t="s">
        <v>951</v>
      </c>
      <c r="J17" s="1212"/>
      <c r="K17" s="1212" t="s">
        <v>952</v>
      </c>
      <c r="L17" s="1212"/>
    </row>
    <row r="18" spans="2:12" ht="17.25" customHeight="1">
      <c r="C18" s="364" t="s">
        <v>953</v>
      </c>
      <c r="D18" s="365" t="s">
        <v>954</v>
      </c>
      <c r="E18" s="365" t="s">
        <v>955</v>
      </c>
      <c r="F18" s="365" t="s">
        <v>956</v>
      </c>
      <c r="G18" s="365" t="s">
        <v>955</v>
      </c>
      <c r="H18" s="365" t="s">
        <v>956</v>
      </c>
      <c r="I18" s="365" t="s">
        <v>957</v>
      </c>
      <c r="J18" s="365" t="s">
        <v>956</v>
      </c>
      <c r="K18" s="365" t="s">
        <v>957</v>
      </c>
      <c r="L18" s="366" t="s">
        <v>956</v>
      </c>
    </row>
    <row r="19" spans="2:12" ht="15" customHeight="1">
      <c r="C19" s="465" t="s">
        <v>958</v>
      </c>
      <c r="D19" s="466" t="s">
        <v>959</v>
      </c>
      <c r="E19" s="466">
        <v>1244</v>
      </c>
      <c r="F19" s="466">
        <v>1700</v>
      </c>
      <c r="G19" s="466">
        <v>1244</v>
      </c>
      <c r="H19" s="466">
        <v>1700</v>
      </c>
      <c r="I19" s="466">
        <v>1344</v>
      </c>
      <c r="J19" s="466">
        <v>1800</v>
      </c>
      <c r="K19" s="467" t="s">
        <v>960</v>
      </c>
      <c r="L19" s="468" t="s">
        <v>960</v>
      </c>
    </row>
    <row r="20" spans="2:12" ht="15" customHeight="1">
      <c r="C20" s="465" t="s">
        <v>961</v>
      </c>
      <c r="D20" s="466" t="s">
        <v>959</v>
      </c>
      <c r="E20" s="466">
        <v>1544</v>
      </c>
      <c r="F20" s="466">
        <v>2000</v>
      </c>
      <c r="G20" s="466">
        <v>1544</v>
      </c>
      <c r="H20" s="466">
        <v>2000</v>
      </c>
      <c r="I20" s="466">
        <v>1644</v>
      </c>
      <c r="J20" s="466">
        <v>2100</v>
      </c>
      <c r="K20" s="467" t="s">
        <v>960</v>
      </c>
      <c r="L20" s="468" t="s">
        <v>960</v>
      </c>
    </row>
    <row r="21" spans="2:12" ht="15" customHeight="1">
      <c r="C21" s="465" t="s">
        <v>223</v>
      </c>
      <c r="D21" s="466" t="s">
        <v>959</v>
      </c>
      <c r="E21" s="466">
        <v>3200</v>
      </c>
      <c r="F21" s="466">
        <v>3100</v>
      </c>
      <c r="G21" s="466">
        <v>3200</v>
      </c>
      <c r="H21" s="466">
        <v>3100</v>
      </c>
      <c r="I21" s="466">
        <v>3200</v>
      </c>
      <c r="J21" s="466">
        <v>3100</v>
      </c>
      <c r="K21" s="467" t="s">
        <v>960</v>
      </c>
      <c r="L21" s="468" t="s">
        <v>960</v>
      </c>
    </row>
    <row r="22" spans="2:12" ht="15" customHeight="1">
      <c r="C22" s="465" t="s">
        <v>224</v>
      </c>
      <c r="D22" s="466" t="s">
        <v>959</v>
      </c>
      <c r="E22" s="466">
        <v>3200</v>
      </c>
      <c r="F22" s="466">
        <v>3100</v>
      </c>
      <c r="G22" s="466">
        <v>3200</v>
      </c>
      <c r="H22" s="466">
        <v>3100</v>
      </c>
      <c r="I22" s="466">
        <v>3200</v>
      </c>
      <c r="J22" s="466">
        <v>3100</v>
      </c>
      <c r="K22" s="467" t="s">
        <v>960</v>
      </c>
      <c r="L22" s="468" t="s">
        <v>960</v>
      </c>
    </row>
    <row r="23" spans="2:12" ht="15" customHeight="1">
      <c r="C23" s="465" t="s">
        <v>250</v>
      </c>
      <c r="D23" s="466" t="s">
        <v>959</v>
      </c>
      <c r="E23" s="466">
        <v>1400</v>
      </c>
      <c r="F23" s="466">
        <v>1300</v>
      </c>
      <c r="G23" s="466">
        <v>1500</v>
      </c>
      <c r="H23" s="466">
        <v>1400</v>
      </c>
      <c r="I23" s="466">
        <v>1600</v>
      </c>
      <c r="J23" s="466">
        <v>1500</v>
      </c>
      <c r="K23" s="466">
        <v>1600</v>
      </c>
      <c r="L23" s="469">
        <v>1500</v>
      </c>
    </row>
    <row r="24" spans="2:12" ht="15" customHeight="1">
      <c r="C24" s="465" t="s">
        <v>129</v>
      </c>
      <c r="D24" s="466" t="s">
        <v>959</v>
      </c>
      <c r="E24" s="466">
        <v>1300</v>
      </c>
      <c r="F24" s="466">
        <v>1200</v>
      </c>
      <c r="G24" s="466">
        <v>1400</v>
      </c>
      <c r="H24" s="466">
        <v>1300</v>
      </c>
      <c r="I24" s="466">
        <v>1500</v>
      </c>
      <c r="J24" s="466">
        <v>1400</v>
      </c>
      <c r="K24" s="466">
        <v>1500</v>
      </c>
      <c r="L24" s="469">
        <v>1400</v>
      </c>
    </row>
    <row r="25" spans="2:12" ht="15" customHeight="1">
      <c r="C25" s="465" t="s">
        <v>277</v>
      </c>
      <c r="D25" s="466" t="s">
        <v>959</v>
      </c>
      <c r="E25" s="466">
        <v>2200</v>
      </c>
      <c r="F25" s="466">
        <v>2100</v>
      </c>
      <c r="G25" s="466">
        <v>2300</v>
      </c>
      <c r="H25" s="466">
        <v>2200</v>
      </c>
      <c r="I25" s="466">
        <v>2400</v>
      </c>
      <c r="J25" s="466">
        <v>2300</v>
      </c>
      <c r="K25" s="467" t="s">
        <v>960</v>
      </c>
      <c r="L25" s="468" t="s">
        <v>960</v>
      </c>
    </row>
    <row r="26" spans="2:12" ht="15" customHeight="1">
      <c r="C26" s="465" t="s">
        <v>962</v>
      </c>
      <c r="D26" s="466" t="s">
        <v>959</v>
      </c>
      <c r="E26" s="466">
        <v>1720</v>
      </c>
      <c r="F26" s="466">
        <v>1620</v>
      </c>
      <c r="G26" s="466">
        <v>1820</v>
      </c>
      <c r="H26" s="466">
        <v>1720</v>
      </c>
      <c r="I26" s="466">
        <v>1920</v>
      </c>
      <c r="J26" s="466">
        <v>1820</v>
      </c>
      <c r="K26" s="467" t="s">
        <v>960</v>
      </c>
      <c r="L26" s="468" t="s">
        <v>960</v>
      </c>
    </row>
    <row r="27" spans="2:12" ht="15" customHeight="1">
      <c r="C27" s="465" t="s">
        <v>280</v>
      </c>
      <c r="D27" s="466" t="s">
        <v>959</v>
      </c>
      <c r="E27" s="466">
        <v>3300</v>
      </c>
      <c r="F27" s="466">
        <v>3200</v>
      </c>
      <c r="G27" s="466">
        <v>3400</v>
      </c>
      <c r="H27" s="466">
        <v>3300</v>
      </c>
      <c r="I27" s="466">
        <v>3400</v>
      </c>
      <c r="J27" s="466">
        <v>3300</v>
      </c>
      <c r="K27" s="466">
        <v>3400</v>
      </c>
      <c r="L27" s="469">
        <v>3300</v>
      </c>
    </row>
    <row r="28" spans="2:12" ht="15" customHeight="1">
      <c r="C28" s="465" t="s">
        <v>132</v>
      </c>
      <c r="D28" s="466" t="s">
        <v>959</v>
      </c>
      <c r="E28" s="466">
        <v>1000</v>
      </c>
      <c r="F28" s="466">
        <v>900</v>
      </c>
      <c r="G28" s="466">
        <v>1100</v>
      </c>
      <c r="H28" s="466">
        <v>1000</v>
      </c>
      <c r="I28" s="466">
        <v>1200</v>
      </c>
      <c r="J28" s="466">
        <v>1100</v>
      </c>
      <c r="K28" s="467" t="s">
        <v>960</v>
      </c>
      <c r="L28" s="468" t="s">
        <v>960</v>
      </c>
    </row>
    <row r="29" spans="2:12" ht="15" customHeight="1">
      <c r="C29" s="465" t="s">
        <v>126</v>
      </c>
      <c r="D29" s="466" t="s">
        <v>959</v>
      </c>
      <c r="E29" s="466">
        <v>3200</v>
      </c>
      <c r="F29" s="466">
        <v>3100</v>
      </c>
      <c r="G29" s="466">
        <v>3200</v>
      </c>
      <c r="H29" s="466">
        <v>3100</v>
      </c>
      <c r="I29" s="466">
        <v>3200</v>
      </c>
      <c r="J29" s="466">
        <v>3100</v>
      </c>
      <c r="K29" s="470" t="s">
        <v>960</v>
      </c>
      <c r="L29" s="468" t="s">
        <v>960</v>
      </c>
    </row>
    <row r="30" spans="2:12" ht="15" customHeight="1">
      <c r="C30" s="465" t="s">
        <v>301</v>
      </c>
      <c r="D30" s="466" t="s">
        <v>959</v>
      </c>
      <c r="E30" s="466">
        <v>1300</v>
      </c>
      <c r="F30" s="466">
        <v>1200</v>
      </c>
      <c r="G30" s="466">
        <v>1400</v>
      </c>
      <c r="H30" s="466">
        <v>1300</v>
      </c>
      <c r="I30" s="466">
        <v>1500</v>
      </c>
      <c r="J30" s="466">
        <v>1400</v>
      </c>
      <c r="K30" s="466">
        <v>1500</v>
      </c>
      <c r="L30" s="471">
        <v>1400</v>
      </c>
    </row>
    <row r="31" spans="2:12" ht="15" customHeight="1">
      <c r="C31" s="465" t="s">
        <v>305</v>
      </c>
      <c r="D31" s="466" t="s">
        <v>959</v>
      </c>
      <c r="E31" s="466">
        <v>1500</v>
      </c>
      <c r="F31" s="466">
        <v>1400</v>
      </c>
      <c r="G31" s="466">
        <v>1600</v>
      </c>
      <c r="H31" s="466">
        <v>1500</v>
      </c>
      <c r="I31" s="466">
        <v>1700</v>
      </c>
      <c r="J31" s="466">
        <v>1600</v>
      </c>
      <c r="K31" s="472">
        <v>1700</v>
      </c>
      <c r="L31" s="469">
        <v>1600</v>
      </c>
    </row>
    <row r="32" spans="2:12" ht="15" customHeight="1">
      <c r="C32" s="465" t="s">
        <v>307</v>
      </c>
      <c r="D32" s="466" t="s">
        <v>959</v>
      </c>
      <c r="E32" s="466">
        <v>1600</v>
      </c>
      <c r="F32" s="466">
        <v>1500</v>
      </c>
      <c r="G32" s="466">
        <v>1700</v>
      </c>
      <c r="H32" s="466">
        <v>1600</v>
      </c>
      <c r="I32" s="466">
        <v>1800</v>
      </c>
      <c r="J32" s="466">
        <v>1700</v>
      </c>
      <c r="K32" s="472">
        <v>1800</v>
      </c>
      <c r="L32" s="469">
        <v>1700</v>
      </c>
    </row>
    <row r="33" spans="3:12" ht="15" customHeight="1">
      <c r="C33" s="465" t="s">
        <v>147</v>
      </c>
      <c r="D33" s="466" t="s">
        <v>959</v>
      </c>
      <c r="E33" s="466">
        <v>1690</v>
      </c>
      <c r="F33" s="466">
        <v>1590</v>
      </c>
      <c r="G33" s="466">
        <v>1790</v>
      </c>
      <c r="H33" s="466">
        <v>1690</v>
      </c>
      <c r="I33" s="466">
        <v>1890</v>
      </c>
      <c r="J33" s="466">
        <v>1790</v>
      </c>
      <c r="K33" s="472">
        <v>1890</v>
      </c>
      <c r="L33" s="469">
        <v>1790</v>
      </c>
    </row>
    <row r="34" spans="3:12" ht="15" customHeight="1">
      <c r="C34" s="465" t="s">
        <v>134</v>
      </c>
      <c r="D34" s="466" t="s">
        <v>959</v>
      </c>
      <c r="E34" s="466">
        <v>1500</v>
      </c>
      <c r="F34" s="466">
        <v>1400</v>
      </c>
      <c r="G34" s="466">
        <v>1600</v>
      </c>
      <c r="H34" s="466">
        <v>1500</v>
      </c>
      <c r="I34" s="466">
        <v>1700</v>
      </c>
      <c r="J34" s="466">
        <v>1600</v>
      </c>
      <c r="K34" s="467" t="s">
        <v>960</v>
      </c>
      <c r="L34" s="468" t="s">
        <v>960</v>
      </c>
    </row>
    <row r="35" spans="3:12" ht="15" customHeight="1">
      <c r="C35" s="465" t="s">
        <v>963</v>
      </c>
      <c r="D35" s="466" t="s">
        <v>959</v>
      </c>
      <c r="E35" s="466">
        <v>1100</v>
      </c>
      <c r="F35" s="466">
        <v>1000</v>
      </c>
      <c r="G35" s="520" t="s">
        <v>960</v>
      </c>
      <c r="H35" s="520" t="s">
        <v>960</v>
      </c>
      <c r="I35" s="466">
        <v>1300</v>
      </c>
      <c r="J35" s="466">
        <v>1200</v>
      </c>
      <c r="K35" s="467" t="s">
        <v>960</v>
      </c>
      <c r="L35" s="468" t="s">
        <v>960</v>
      </c>
    </row>
    <row r="36" spans="3:12" ht="15" customHeight="1">
      <c r="C36" s="465" t="s">
        <v>315</v>
      </c>
      <c r="D36" s="466" t="s">
        <v>959</v>
      </c>
      <c r="E36" s="466">
        <v>1300</v>
      </c>
      <c r="F36" s="466">
        <v>1200</v>
      </c>
      <c r="G36" s="466">
        <v>1400</v>
      </c>
      <c r="H36" s="466">
        <v>1300</v>
      </c>
      <c r="I36" s="466">
        <v>1500</v>
      </c>
      <c r="J36" s="466">
        <v>1400</v>
      </c>
      <c r="K36" s="472">
        <v>1500</v>
      </c>
      <c r="L36" s="469">
        <v>1400</v>
      </c>
    </row>
    <row r="37" spans="3:12" ht="15" customHeight="1">
      <c r="C37" s="465" t="s">
        <v>153</v>
      </c>
      <c r="D37" s="466" t="s">
        <v>959</v>
      </c>
      <c r="E37" s="466">
        <v>1500</v>
      </c>
      <c r="F37" s="466">
        <v>1400</v>
      </c>
      <c r="G37" s="466">
        <v>1600</v>
      </c>
      <c r="H37" s="466">
        <v>1500</v>
      </c>
      <c r="I37" s="466">
        <v>1700</v>
      </c>
      <c r="J37" s="466">
        <v>1600</v>
      </c>
      <c r="K37" s="472">
        <v>1700</v>
      </c>
      <c r="L37" s="469">
        <v>1600</v>
      </c>
    </row>
    <row r="38" spans="3:12" ht="15" customHeight="1">
      <c r="C38" s="465" t="s">
        <v>149</v>
      </c>
      <c r="D38" s="466" t="s">
        <v>959</v>
      </c>
      <c r="E38" s="466">
        <v>2200</v>
      </c>
      <c r="F38" s="466">
        <v>2100</v>
      </c>
      <c r="G38" s="466">
        <v>2200</v>
      </c>
      <c r="H38" s="466">
        <v>2100</v>
      </c>
      <c r="I38" s="466">
        <v>2200</v>
      </c>
      <c r="J38" s="466">
        <v>2100</v>
      </c>
      <c r="K38" s="467" t="s">
        <v>960</v>
      </c>
      <c r="L38" s="468" t="s">
        <v>960</v>
      </c>
    </row>
    <row r="39" spans="3:12" ht="15" customHeight="1">
      <c r="C39" s="367" t="s">
        <v>151</v>
      </c>
      <c r="D39" s="1214" t="s">
        <v>964</v>
      </c>
      <c r="E39" s="1215"/>
      <c r="F39" s="1215"/>
      <c r="G39" s="1215"/>
      <c r="H39" s="1215"/>
      <c r="I39" s="1215"/>
      <c r="J39" s="1215"/>
      <c r="K39" s="1215"/>
      <c r="L39" s="1216"/>
    </row>
    <row r="40" spans="3:12" ht="15" customHeight="1">
      <c r="C40" s="465" t="s">
        <v>322</v>
      </c>
      <c r="D40" s="466" t="s">
        <v>959</v>
      </c>
      <c r="E40" s="466">
        <v>1600</v>
      </c>
      <c r="F40" s="466">
        <v>1500</v>
      </c>
      <c r="G40" s="466">
        <v>1700</v>
      </c>
      <c r="H40" s="466">
        <v>1600</v>
      </c>
      <c r="I40" s="466">
        <v>1800</v>
      </c>
      <c r="J40" s="466">
        <v>1700</v>
      </c>
      <c r="K40" s="467" t="s">
        <v>960</v>
      </c>
      <c r="L40" s="468" t="s">
        <v>960</v>
      </c>
    </row>
    <row r="41" spans="3:12" ht="15" customHeight="1">
      <c r="C41" s="465" t="s">
        <v>159</v>
      </c>
      <c r="D41" s="466" t="s">
        <v>959</v>
      </c>
      <c r="E41" s="466">
        <v>1000</v>
      </c>
      <c r="F41" s="466">
        <v>900</v>
      </c>
      <c r="G41" s="466">
        <v>1100</v>
      </c>
      <c r="H41" s="466">
        <v>1000</v>
      </c>
      <c r="I41" s="466">
        <v>1200</v>
      </c>
      <c r="J41" s="466">
        <v>1100</v>
      </c>
      <c r="K41" s="467" t="s">
        <v>960</v>
      </c>
      <c r="L41" s="468" t="s">
        <v>960</v>
      </c>
    </row>
    <row r="42" spans="3:12" ht="15" customHeight="1">
      <c r="C42" s="367" t="s">
        <v>965</v>
      </c>
      <c r="D42" s="1214" t="s">
        <v>964</v>
      </c>
      <c r="E42" s="1215"/>
      <c r="F42" s="1215"/>
      <c r="G42" s="1215"/>
      <c r="H42" s="1215"/>
      <c r="I42" s="1215"/>
      <c r="J42" s="1215"/>
      <c r="K42" s="1215"/>
      <c r="L42" s="1216"/>
    </row>
    <row r="43" spans="3:12" ht="15" customHeight="1">
      <c r="C43" s="465" t="s">
        <v>332</v>
      </c>
      <c r="D43" s="466" t="s">
        <v>959</v>
      </c>
      <c r="E43" s="466">
        <v>1400</v>
      </c>
      <c r="F43" s="466">
        <v>1300</v>
      </c>
      <c r="G43" s="466">
        <v>1500</v>
      </c>
      <c r="H43" s="466">
        <v>1400</v>
      </c>
      <c r="I43" s="466">
        <v>1600</v>
      </c>
      <c r="J43" s="466">
        <v>1500</v>
      </c>
      <c r="K43" s="470" t="s">
        <v>960</v>
      </c>
      <c r="L43" s="468" t="s">
        <v>960</v>
      </c>
    </row>
    <row r="44" spans="3:12" ht="15" customHeight="1">
      <c r="C44" s="465" t="s">
        <v>155</v>
      </c>
      <c r="D44" s="466" t="s">
        <v>959</v>
      </c>
      <c r="E44" s="466">
        <v>1400</v>
      </c>
      <c r="F44" s="466">
        <v>1300</v>
      </c>
      <c r="G44" s="466">
        <v>1500</v>
      </c>
      <c r="H44" s="466">
        <v>1400</v>
      </c>
      <c r="I44" s="466">
        <v>1600</v>
      </c>
      <c r="J44" s="466">
        <v>1500</v>
      </c>
      <c r="K44" s="472">
        <v>1600</v>
      </c>
      <c r="L44" s="469">
        <v>1500</v>
      </c>
    </row>
    <row r="45" spans="3:12" ht="15" customHeight="1">
      <c r="C45" s="465" t="s">
        <v>344</v>
      </c>
      <c r="D45" s="466" t="s">
        <v>959</v>
      </c>
      <c r="E45" s="466">
        <v>1500</v>
      </c>
      <c r="F45" s="466">
        <v>1400</v>
      </c>
      <c r="G45" s="466">
        <v>1600</v>
      </c>
      <c r="H45" s="466">
        <v>1500</v>
      </c>
      <c r="I45" s="466">
        <v>1700</v>
      </c>
      <c r="J45" s="466">
        <v>1600</v>
      </c>
      <c r="K45" s="472">
        <v>1700</v>
      </c>
      <c r="L45" s="469">
        <v>1600</v>
      </c>
    </row>
    <row r="46" spans="3:12" ht="15" customHeight="1">
      <c r="C46" s="465" t="s">
        <v>345</v>
      </c>
      <c r="D46" s="466" t="s">
        <v>959</v>
      </c>
      <c r="E46" s="466">
        <v>1600</v>
      </c>
      <c r="F46" s="466">
        <v>1500</v>
      </c>
      <c r="G46" s="466">
        <v>1700</v>
      </c>
      <c r="H46" s="466">
        <v>1600</v>
      </c>
      <c r="I46" s="466">
        <v>1800</v>
      </c>
      <c r="J46" s="466">
        <v>1700</v>
      </c>
      <c r="K46" s="466">
        <v>1800</v>
      </c>
      <c r="L46" s="469">
        <v>1700</v>
      </c>
    </row>
    <row r="47" spans="3:12" ht="15" customHeight="1">
      <c r="C47" s="465" t="s">
        <v>349</v>
      </c>
      <c r="D47" s="466" t="s">
        <v>959</v>
      </c>
      <c r="E47" s="466">
        <v>1600</v>
      </c>
      <c r="F47" s="466">
        <v>1500</v>
      </c>
      <c r="G47" s="466">
        <v>1700</v>
      </c>
      <c r="H47" s="466">
        <v>1600</v>
      </c>
      <c r="I47" s="466">
        <v>1800</v>
      </c>
      <c r="J47" s="466">
        <v>1700</v>
      </c>
      <c r="K47" s="472">
        <v>1800</v>
      </c>
      <c r="L47" s="469">
        <v>1700</v>
      </c>
    </row>
    <row r="48" spans="3:12" ht="15" customHeight="1">
      <c r="C48" s="465" t="s">
        <v>356</v>
      </c>
      <c r="D48" s="466" t="s">
        <v>959</v>
      </c>
      <c r="E48" s="466">
        <v>2200</v>
      </c>
      <c r="F48" s="466">
        <v>2100</v>
      </c>
      <c r="G48" s="466">
        <v>2300</v>
      </c>
      <c r="H48" s="466">
        <v>2200</v>
      </c>
      <c r="I48" s="466">
        <v>2400</v>
      </c>
      <c r="J48" s="466">
        <v>2300</v>
      </c>
      <c r="K48" s="467" t="s">
        <v>960</v>
      </c>
      <c r="L48" s="468" t="s">
        <v>960</v>
      </c>
    </row>
    <row r="49" spans="3:12" ht="15" customHeight="1">
      <c r="C49" s="473" t="s">
        <v>359</v>
      </c>
      <c r="D49" s="474" t="s">
        <v>959</v>
      </c>
      <c r="E49" s="474">
        <v>2000</v>
      </c>
      <c r="F49" s="474">
        <v>1900</v>
      </c>
      <c r="G49" s="474">
        <v>2100</v>
      </c>
      <c r="H49" s="474">
        <v>2000</v>
      </c>
      <c r="I49" s="475">
        <v>2200</v>
      </c>
      <c r="J49" s="474">
        <v>2100</v>
      </c>
      <c r="K49" s="467" t="s">
        <v>960</v>
      </c>
      <c r="L49" s="468" t="s">
        <v>960</v>
      </c>
    </row>
    <row r="50" spans="3:12" ht="15" customHeight="1">
      <c r="C50" s="476" t="s">
        <v>966</v>
      </c>
      <c r="D50" s="475" t="s">
        <v>959</v>
      </c>
      <c r="E50" s="475">
        <v>1400</v>
      </c>
      <c r="F50" s="475">
        <v>1300</v>
      </c>
      <c r="G50" s="475">
        <v>1500</v>
      </c>
      <c r="H50" s="475">
        <v>1400</v>
      </c>
      <c r="I50" s="475">
        <v>1600</v>
      </c>
      <c r="J50" s="475">
        <v>1500</v>
      </c>
      <c r="K50" s="472">
        <v>1600</v>
      </c>
      <c r="L50" s="477">
        <v>1500</v>
      </c>
    </row>
    <row r="51" spans="3:12" ht="15" customHeight="1">
      <c r="C51" s="465" t="s">
        <v>136</v>
      </c>
      <c r="D51" s="466" t="s">
        <v>959</v>
      </c>
      <c r="E51" s="466">
        <v>1300</v>
      </c>
      <c r="F51" s="466">
        <v>1200</v>
      </c>
      <c r="G51" s="466">
        <v>1400</v>
      </c>
      <c r="H51" s="466">
        <v>1300</v>
      </c>
      <c r="I51" s="466">
        <v>1500</v>
      </c>
      <c r="J51" s="466">
        <v>1400</v>
      </c>
      <c r="K51" s="466">
        <v>1500</v>
      </c>
      <c r="L51" s="477">
        <v>1400</v>
      </c>
    </row>
    <row r="52" spans="3:12" ht="15" customHeight="1">
      <c r="C52" s="465" t="s">
        <v>137</v>
      </c>
      <c r="D52" s="466" t="s">
        <v>959</v>
      </c>
      <c r="E52" s="466">
        <v>1000</v>
      </c>
      <c r="F52" s="466">
        <v>900</v>
      </c>
      <c r="G52" s="466">
        <v>1100</v>
      </c>
      <c r="H52" s="466">
        <v>1000</v>
      </c>
      <c r="I52" s="466">
        <v>1200</v>
      </c>
      <c r="J52" s="466">
        <v>1100</v>
      </c>
      <c r="K52" s="472">
        <v>1200</v>
      </c>
      <c r="L52" s="469">
        <v>1100</v>
      </c>
    </row>
    <row r="53" spans="3:12" ht="15" customHeight="1">
      <c r="C53" s="465" t="s">
        <v>967</v>
      </c>
      <c r="D53" s="466" t="s">
        <v>959</v>
      </c>
      <c r="E53" s="466">
        <v>1400</v>
      </c>
      <c r="F53" s="466">
        <v>1300</v>
      </c>
      <c r="G53" s="466">
        <v>1500</v>
      </c>
      <c r="H53" s="466">
        <v>1400</v>
      </c>
      <c r="I53" s="466">
        <v>1600</v>
      </c>
      <c r="J53" s="466">
        <v>1500</v>
      </c>
      <c r="K53" s="472">
        <v>1600</v>
      </c>
      <c r="L53" s="469">
        <v>1500</v>
      </c>
    </row>
    <row r="54" spans="3:12" ht="15" customHeight="1">
      <c r="C54" s="465" t="s">
        <v>382</v>
      </c>
      <c r="D54" s="466" t="s">
        <v>959</v>
      </c>
      <c r="E54" s="466">
        <v>1600</v>
      </c>
      <c r="F54" s="466">
        <v>1500</v>
      </c>
      <c r="G54" s="466">
        <v>1700</v>
      </c>
      <c r="H54" s="466">
        <v>1600</v>
      </c>
      <c r="I54" s="466">
        <v>1800</v>
      </c>
      <c r="J54" s="466">
        <v>1700</v>
      </c>
      <c r="K54" s="472">
        <v>1800</v>
      </c>
      <c r="L54" s="469">
        <v>1700</v>
      </c>
    </row>
    <row r="55" spans="3:12" ht="15" customHeight="1">
      <c r="C55" s="465" t="s">
        <v>386</v>
      </c>
      <c r="D55" s="466" t="s">
        <v>959</v>
      </c>
      <c r="E55" s="466">
        <v>1600</v>
      </c>
      <c r="F55" s="466">
        <v>1500</v>
      </c>
      <c r="G55" s="466">
        <v>1700</v>
      </c>
      <c r="H55" s="466">
        <v>1600</v>
      </c>
      <c r="I55" s="466">
        <v>1800</v>
      </c>
      <c r="J55" s="466">
        <v>1700</v>
      </c>
      <c r="K55" s="472">
        <v>1800</v>
      </c>
      <c r="L55" s="469">
        <v>1700</v>
      </c>
    </row>
    <row r="56" spans="3:12" ht="15" customHeight="1">
      <c r="C56" s="465" t="s">
        <v>138</v>
      </c>
      <c r="D56" s="466" t="s">
        <v>959</v>
      </c>
      <c r="E56" s="466">
        <v>1000</v>
      </c>
      <c r="F56" s="466">
        <v>900</v>
      </c>
      <c r="G56" s="466">
        <v>1100</v>
      </c>
      <c r="H56" s="466">
        <v>1000</v>
      </c>
      <c r="I56" s="466">
        <v>1200</v>
      </c>
      <c r="J56" s="466">
        <v>1100</v>
      </c>
      <c r="K56" s="467" t="s">
        <v>960</v>
      </c>
      <c r="L56" s="468" t="s">
        <v>960</v>
      </c>
    </row>
    <row r="57" spans="3:12" ht="15" customHeight="1">
      <c r="C57" s="465" t="s">
        <v>140</v>
      </c>
      <c r="D57" s="466" t="s">
        <v>959</v>
      </c>
      <c r="E57" s="466">
        <v>1000</v>
      </c>
      <c r="F57" s="466">
        <v>900</v>
      </c>
      <c r="G57" s="466">
        <v>1100</v>
      </c>
      <c r="H57" s="466">
        <v>1000</v>
      </c>
      <c r="I57" s="466">
        <v>1200</v>
      </c>
      <c r="J57" s="466">
        <v>1100</v>
      </c>
      <c r="K57" s="466">
        <v>1200</v>
      </c>
      <c r="L57" s="469">
        <v>1100</v>
      </c>
    </row>
    <row r="58" spans="3:12" ht="15" customHeight="1">
      <c r="C58" s="465" t="s">
        <v>400</v>
      </c>
      <c r="D58" s="466" t="s">
        <v>959</v>
      </c>
      <c r="E58" s="466">
        <v>1500</v>
      </c>
      <c r="F58" s="466">
        <v>1400</v>
      </c>
      <c r="G58" s="466">
        <v>1600</v>
      </c>
      <c r="H58" s="466">
        <v>1500</v>
      </c>
      <c r="I58" s="466">
        <v>1700</v>
      </c>
      <c r="J58" s="466">
        <v>1600</v>
      </c>
      <c r="K58" s="467" t="s">
        <v>960</v>
      </c>
      <c r="L58" s="468" t="s">
        <v>960</v>
      </c>
    </row>
    <row r="59" spans="3:12" ht="15" customHeight="1">
      <c r="C59" s="465" t="s">
        <v>141</v>
      </c>
      <c r="D59" s="466" t="s">
        <v>959</v>
      </c>
      <c r="E59" s="466">
        <v>1000</v>
      </c>
      <c r="F59" s="466">
        <v>900</v>
      </c>
      <c r="G59" s="466">
        <v>1100</v>
      </c>
      <c r="H59" s="466">
        <v>1000</v>
      </c>
      <c r="I59" s="466">
        <v>1200</v>
      </c>
      <c r="J59" s="466">
        <v>1100</v>
      </c>
      <c r="K59" s="472">
        <v>1200</v>
      </c>
      <c r="L59" s="469">
        <v>1100</v>
      </c>
    </row>
    <row r="60" spans="3:12" ht="15" customHeight="1">
      <c r="C60" s="465" t="s">
        <v>228</v>
      </c>
      <c r="D60" s="466" t="s">
        <v>959</v>
      </c>
      <c r="E60" s="466">
        <v>2970</v>
      </c>
      <c r="F60" s="466">
        <v>2870</v>
      </c>
      <c r="G60" s="466">
        <v>3070</v>
      </c>
      <c r="H60" s="466">
        <v>2970</v>
      </c>
      <c r="I60" s="466">
        <v>3170</v>
      </c>
      <c r="J60" s="466">
        <v>3070</v>
      </c>
      <c r="K60" s="467" t="s">
        <v>960</v>
      </c>
      <c r="L60" s="468" t="s">
        <v>960</v>
      </c>
    </row>
    <row r="61" spans="3:12" ht="15" customHeight="1">
      <c r="C61" s="465" t="s">
        <v>578</v>
      </c>
      <c r="D61" s="466" t="s">
        <v>959</v>
      </c>
      <c r="E61" s="466">
        <v>1300</v>
      </c>
      <c r="F61" s="466">
        <v>1200</v>
      </c>
      <c r="G61" s="466">
        <v>1400</v>
      </c>
      <c r="H61" s="466">
        <v>1300</v>
      </c>
      <c r="I61" s="466">
        <v>1500</v>
      </c>
      <c r="J61" s="466">
        <v>1400</v>
      </c>
      <c r="K61" s="472">
        <v>1500</v>
      </c>
      <c r="L61" s="469">
        <v>1400</v>
      </c>
    </row>
    <row r="62" spans="3:12" ht="15" customHeight="1">
      <c r="C62" s="465" t="s">
        <v>968</v>
      </c>
      <c r="D62" s="466" t="s">
        <v>959</v>
      </c>
      <c r="E62" s="466">
        <v>1900</v>
      </c>
      <c r="F62" s="466">
        <v>1800</v>
      </c>
      <c r="G62" s="466">
        <v>2000</v>
      </c>
      <c r="H62" s="466">
        <v>1900</v>
      </c>
      <c r="I62" s="466">
        <v>2100</v>
      </c>
      <c r="J62" s="466">
        <v>2000</v>
      </c>
      <c r="K62" s="472">
        <v>2100</v>
      </c>
      <c r="L62" s="469">
        <v>2000</v>
      </c>
    </row>
    <row r="63" spans="3:12" ht="15" customHeight="1">
      <c r="C63" s="465" t="s">
        <v>142</v>
      </c>
      <c r="D63" s="466" t="s">
        <v>959</v>
      </c>
      <c r="E63" s="466">
        <v>1300</v>
      </c>
      <c r="F63" s="466">
        <v>1200</v>
      </c>
      <c r="G63" s="466">
        <v>1400</v>
      </c>
      <c r="H63" s="466">
        <v>1300</v>
      </c>
      <c r="I63" s="466">
        <v>1500</v>
      </c>
      <c r="J63" s="466">
        <v>1400</v>
      </c>
      <c r="K63" s="472">
        <v>1200</v>
      </c>
      <c r="L63" s="469">
        <v>1100</v>
      </c>
    </row>
    <row r="64" spans="3:12" ht="15" customHeight="1">
      <c r="C64" s="465" t="s">
        <v>412</v>
      </c>
      <c r="D64" s="466" t="s">
        <v>959</v>
      </c>
      <c r="E64" s="466">
        <v>1500</v>
      </c>
      <c r="F64" s="466">
        <v>1400</v>
      </c>
      <c r="G64" s="466">
        <v>1600</v>
      </c>
      <c r="H64" s="466">
        <v>1500</v>
      </c>
      <c r="I64" s="466">
        <v>1700</v>
      </c>
      <c r="J64" s="466">
        <v>1600</v>
      </c>
      <c r="K64" s="472">
        <v>1700</v>
      </c>
      <c r="L64" s="469">
        <v>1600</v>
      </c>
    </row>
    <row r="65" spans="2:12" ht="15" customHeight="1">
      <c r="C65" s="465" t="s">
        <v>414</v>
      </c>
      <c r="D65" s="466" t="s">
        <v>959</v>
      </c>
      <c r="E65" s="466">
        <v>1400</v>
      </c>
      <c r="F65" s="466">
        <v>1300</v>
      </c>
      <c r="G65" s="466">
        <v>1500</v>
      </c>
      <c r="H65" s="466">
        <v>1400</v>
      </c>
      <c r="I65" s="466">
        <v>1600</v>
      </c>
      <c r="J65" s="466">
        <v>1500</v>
      </c>
      <c r="K65" s="467" t="s">
        <v>960</v>
      </c>
      <c r="L65" s="468" t="s">
        <v>960</v>
      </c>
    </row>
    <row r="66" spans="2:12" ht="15" customHeight="1">
      <c r="C66" s="465" t="s">
        <v>143</v>
      </c>
      <c r="D66" s="466" t="s">
        <v>959</v>
      </c>
      <c r="E66" s="466">
        <v>1000</v>
      </c>
      <c r="F66" s="466">
        <v>900</v>
      </c>
      <c r="G66" s="466">
        <v>1100</v>
      </c>
      <c r="H66" s="466">
        <v>1000</v>
      </c>
      <c r="I66" s="466">
        <v>1200</v>
      </c>
      <c r="J66" s="466">
        <v>1100</v>
      </c>
      <c r="K66" s="467" t="s">
        <v>960</v>
      </c>
      <c r="L66" s="468" t="s">
        <v>960</v>
      </c>
    </row>
    <row r="67" spans="2:12" s="377" customFormat="1" ht="15" customHeight="1">
      <c r="C67" s="465" t="s">
        <v>969</v>
      </c>
      <c r="D67" s="466" t="s">
        <v>959</v>
      </c>
      <c r="E67" s="466">
        <v>1000</v>
      </c>
      <c r="F67" s="466">
        <v>900</v>
      </c>
      <c r="G67" s="520" t="s">
        <v>960</v>
      </c>
      <c r="H67" s="520" t="s">
        <v>960</v>
      </c>
      <c r="I67" s="466">
        <v>1200</v>
      </c>
      <c r="J67" s="466">
        <v>1100</v>
      </c>
      <c r="K67" s="466" t="s">
        <v>960</v>
      </c>
      <c r="L67" s="468" t="s">
        <v>960</v>
      </c>
    </row>
    <row r="68" spans="2:12" ht="15" customHeight="1">
      <c r="C68" s="465" t="s">
        <v>158</v>
      </c>
      <c r="D68" s="466" t="s">
        <v>959</v>
      </c>
      <c r="E68" s="466">
        <v>1400</v>
      </c>
      <c r="F68" s="466">
        <v>1300</v>
      </c>
      <c r="G68" s="466">
        <v>1500</v>
      </c>
      <c r="H68" s="466">
        <v>1400</v>
      </c>
      <c r="I68" s="466">
        <v>1600</v>
      </c>
      <c r="J68" s="466">
        <v>1500</v>
      </c>
      <c r="K68" s="472">
        <v>1600</v>
      </c>
      <c r="L68" s="469">
        <v>1500</v>
      </c>
    </row>
    <row r="69" spans="2:12" ht="15" customHeight="1">
      <c r="C69" s="465" t="s">
        <v>970</v>
      </c>
      <c r="D69" s="466" t="s">
        <v>959</v>
      </c>
      <c r="E69" s="466">
        <v>1000</v>
      </c>
      <c r="F69" s="466">
        <v>900</v>
      </c>
      <c r="G69" s="478" t="s">
        <v>960</v>
      </c>
      <c r="H69" s="478" t="s">
        <v>960</v>
      </c>
      <c r="I69" s="466">
        <v>1200</v>
      </c>
      <c r="J69" s="466">
        <v>1100</v>
      </c>
      <c r="K69" s="472">
        <v>1200</v>
      </c>
      <c r="L69" s="479">
        <v>1100</v>
      </c>
    </row>
    <row r="70" spans="2:12" ht="15" customHeight="1">
      <c r="C70" s="465" t="s">
        <v>145</v>
      </c>
      <c r="D70" s="466" t="s">
        <v>959</v>
      </c>
      <c r="E70" s="466">
        <v>1000</v>
      </c>
      <c r="F70" s="466">
        <v>900</v>
      </c>
      <c r="G70" s="466">
        <v>1100</v>
      </c>
      <c r="H70" s="466">
        <v>1000</v>
      </c>
      <c r="I70" s="466">
        <v>1200</v>
      </c>
      <c r="J70" s="466">
        <v>1100</v>
      </c>
      <c r="K70" s="478" t="s">
        <v>960</v>
      </c>
      <c r="L70" s="480" t="s">
        <v>960</v>
      </c>
    </row>
    <row r="71" spans="2:12" ht="15" customHeight="1">
      <c r="C71" s="465" t="s">
        <v>146</v>
      </c>
      <c r="D71" s="466" t="s">
        <v>959</v>
      </c>
      <c r="E71" s="466">
        <v>1000</v>
      </c>
      <c r="F71" s="466">
        <v>900</v>
      </c>
      <c r="G71" s="466">
        <v>1100</v>
      </c>
      <c r="H71" s="466">
        <v>1000</v>
      </c>
      <c r="I71" s="466">
        <v>1200</v>
      </c>
      <c r="J71" s="466">
        <v>1100</v>
      </c>
      <c r="K71" s="481">
        <v>1200</v>
      </c>
      <c r="L71" s="469">
        <v>1100</v>
      </c>
    </row>
    <row r="72" spans="2:12" ht="15" customHeight="1" thickBot="1">
      <c r="C72" s="482" t="s">
        <v>461</v>
      </c>
      <c r="D72" s="483" t="s">
        <v>959</v>
      </c>
      <c r="E72" s="483">
        <v>1500</v>
      </c>
      <c r="F72" s="483">
        <v>1400</v>
      </c>
      <c r="G72" s="483">
        <v>1600</v>
      </c>
      <c r="H72" s="483">
        <v>1500</v>
      </c>
      <c r="I72" s="483">
        <v>1700</v>
      </c>
      <c r="J72" s="483">
        <v>1600</v>
      </c>
      <c r="K72" s="484">
        <v>1700</v>
      </c>
      <c r="L72" s="485">
        <v>1600</v>
      </c>
    </row>
    <row r="73" spans="2:12" ht="17.25" customHeight="1" thickBot="1">
      <c r="C73" s="486"/>
      <c r="D73" s="486"/>
      <c r="E73" s="486"/>
      <c r="F73" s="486"/>
      <c r="G73" s="368"/>
      <c r="H73" s="368"/>
      <c r="I73" s="368"/>
      <c r="J73" s="368"/>
      <c r="K73" s="368"/>
      <c r="L73" s="368"/>
    </row>
    <row r="74" spans="2:12" ht="15" customHeight="1">
      <c r="B74" s="601"/>
      <c r="C74" s="487" t="s">
        <v>971</v>
      </c>
      <c r="D74" s="1217" t="s">
        <v>972</v>
      </c>
      <c r="E74" s="1218"/>
      <c r="F74" s="1219"/>
      <c r="G74" s="368"/>
      <c r="H74" s="368"/>
      <c r="I74" s="368"/>
      <c r="J74" s="368"/>
    </row>
    <row r="75" spans="2:12" ht="15" customHeight="1">
      <c r="B75" s="601"/>
      <c r="C75" s="488" t="s">
        <v>973</v>
      </c>
      <c r="D75" s="405" t="s">
        <v>954</v>
      </c>
      <c r="E75" s="405" t="s">
        <v>957</v>
      </c>
      <c r="F75" s="489" t="s">
        <v>956</v>
      </c>
      <c r="G75" s="368"/>
      <c r="H75" s="368"/>
      <c r="I75" s="368"/>
      <c r="J75" s="368"/>
    </row>
    <row r="76" spans="2:12" ht="15" customHeight="1">
      <c r="B76" s="601"/>
      <c r="C76" s="490" t="s">
        <v>974</v>
      </c>
      <c r="D76" s="406" t="s">
        <v>959</v>
      </c>
      <c r="E76" s="491">
        <v>2300</v>
      </c>
      <c r="F76" s="492">
        <v>3200</v>
      </c>
      <c r="G76" s="368"/>
      <c r="H76" s="368"/>
      <c r="I76" s="368"/>
      <c r="J76" s="368"/>
    </row>
    <row r="77" spans="2:12" ht="15" customHeight="1">
      <c r="B77" s="601"/>
      <c r="C77" s="490" t="s">
        <v>975</v>
      </c>
      <c r="D77" s="406" t="s">
        <v>959</v>
      </c>
      <c r="E77" s="491">
        <v>2300</v>
      </c>
      <c r="F77" s="492">
        <v>3200</v>
      </c>
      <c r="G77" s="368"/>
      <c r="H77" s="368"/>
      <c r="I77" s="368"/>
      <c r="J77" s="368"/>
    </row>
    <row r="78" spans="2:12" ht="15" customHeight="1">
      <c r="B78" s="601"/>
      <c r="C78" s="490" t="s">
        <v>976</v>
      </c>
      <c r="D78" s="406" t="s">
        <v>959</v>
      </c>
      <c r="E78" s="491">
        <v>2300</v>
      </c>
      <c r="F78" s="492">
        <v>3200</v>
      </c>
      <c r="G78" s="368"/>
      <c r="H78" s="368"/>
      <c r="I78" s="368"/>
      <c r="J78" s="368"/>
    </row>
    <row r="79" spans="2:12" ht="15" customHeight="1">
      <c r="B79" s="601"/>
      <c r="C79" s="490" t="s">
        <v>977</v>
      </c>
      <c r="D79" s="406" t="s">
        <v>959</v>
      </c>
      <c r="E79" s="491">
        <v>2300</v>
      </c>
      <c r="F79" s="492">
        <v>3200</v>
      </c>
      <c r="G79" s="368"/>
      <c r="H79" s="368"/>
      <c r="I79" s="368"/>
      <c r="J79" s="368"/>
    </row>
    <row r="80" spans="2:12" ht="15" customHeight="1">
      <c r="B80" s="601"/>
      <c r="C80" s="490" t="s">
        <v>978</v>
      </c>
      <c r="D80" s="406" t="s">
        <v>959</v>
      </c>
      <c r="E80" s="491">
        <v>2300</v>
      </c>
      <c r="F80" s="492">
        <v>3200</v>
      </c>
      <c r="G80" s="368"/>
      <c r="H80" s="368"/>
      <c r="I80" s="368"/>
      <c r="J80" s="368"/>
    </row>
    <row r="81" spans="2:10" ht="15" customHeight="1">
      <c r="B81" s="601"/>
      <c r="C81" s="490" t="s">
        <v>979</v>
      </c>
      <c r="D81" s="406" t="s">
        <v>959</v>
      </c>
      <c r="E81" s="491">
        <v>2300</v>
      </c>
      <c r="F81" s="492">
        <v>3200</v>
      </c>
      <c r="G81" s="368"/>
      <c r="H81" s="368"/>
      <c r="I81" s="368"/>
      <c r="J81" s="368"/>
    </row>
    <row r="82" spans="2:10" ht="15" customHeight="1">
      <c r="B82" s="601"/>
      <c r="C82" s="490" t="s">
        <v>980</v>
      </c>
      <c r="D82" s="406" t="s">
        <v>959</v>
      </c>
      <c r="E82" s="491">
        <v>2300</v>
      </c>
      <c r="F82" s="492">
        <v>3200</v>
      </c>
      <c r="G82" s="368"/>
      <c r="H82" s="368"/>
      <c r="I82" s="368"/>
    </row>
    <row r="83" spans="2:10" ht="15" customHeight="1">
      <c r="B83" s="601"/>
      <c r="C83" s="490" t="s">
        <v>981</v>
      </c>
      <c r="D83" s="406" t="s">
        <v>959</v>
      </c>
      <c r="E83" s="491">
        <v>2300</v>
      </c>
      <c r="F83" s="492">
        <v>3200</v>
      </c>
      <c r="G83" s="368"/>
      <c r="H83" s="368"/>
      <c r="I83" s="368"/>
    </row>
    <row r="84" spans="2:10" ht="15" customHeight="1">
      <c r="B84" s="601"/>
      <c r="C84" s="490" t="s">
        <v>982</v>
      </c>
      <c r="D84" s="406" t="s">
        <v>959</v>
      </c>
      <c r="E84" s="491">
        <v>2300</v>
      </c>
      <c r="F84" s="492">
        <v>3200</v>
      </c>
      <c r="G84" s="368"/>
      <c r="H84" s="368"/>
      <c r="I84" s="368"/>
    </row>
    <row r="85" spans="2:10" ht="15" customHeight="1" thickBot="1">
      <c r="B85" s="601"/>
      <c r="C85" s="493" t="s">
        <v>983</v>
      </c>
      <c r="D85" s="494" t="s">
        <v>959</v>
      </c>
      <c r="E85" s="495">
        <v>2300</v>
      </c>
      <c r="F85" s="496">
        <v>3200</v>
      </c>
      <c r="G85" s="368"/>
      <c r="H85" s="368"/>
      <c r="I85" s="368"/>
    </row>
    <row r="86" spans="2:10" ht="15" customHeight="1" thickBot="1">
      <c r="C86" s="497"/>
      <c r="D86" s="497"/>
      <c r="E86" s="497"/>
      <c r="F86" s="368"/>
      <c r="G86" s="368"/>
      <c r="H86" s="372"/>
      <c r="I86" s="368"/>
    </row>
    <row r="87" spans="2:10" ht="15" customHeight="1">
      <c r="C87" s="364" t="s">
        <v>984</v>
      </c>
      <c r="D87" s="1220" t="s">
        <v>985</v>
      </c>
      <c r="E87" s="1221"/>
      <c r="F87" s="1222"/>
      <c r="G87" s="368"/>
      <c r="H87" s="368"/>
      <c r="I87" s="368"/>
    </row>
    <row r="88" spans="2:10" ht="15" customHeight="1">
      <c r="C88" s="369" t="s">
        <v>986</v>
      </c>
      <c r="D88" s="370" t="s">
        <v>987</v>
      </c>
      <c r="E88" s="370" t="s">
        <v>988</v>
      </c>
      <c r="F88" s="371" t="s">
        <v>989</v>
      </c>
      <c r="G88" s="368"/>
      <c r="H88" s="368"/>
      <c r="I88" s="368"/>
    </row>
    <row r="89" spans="2:10" ht="15" customHeight="1">
      <c r="C89" s="465" t="s">
        <v>645</v>
      </c>
      <c r="D89" s="466" t="s">
        <v>990</v>
      </c>
      <c r="E89" s="474" t="s">
        <v>991</v>
      </c>
      <c r="F89" s="469" t="s">
        <v>992</v>
      </c>
      <c r="G89" s="368"/>
      <c r="H89" s="368"/>
      <c r="I89" s="368"/>
    </row>
    <row r="90" spans="2:10" s="602" customFormat="1" ht="15" customHeight="1">
      <c r="C90" s="465" t="s">
        <v>993</v>
      </c>
      <c r="D90" s="466" t="s">
        <v>895</v>
      </c>
      <c r="E90" s="474" t="s">
        <v>994</v>
      </c>
      <c r="F90" s="469" t="s">
        <v>995</v>
      </c>
      <c r="G90" s="380"/>
      <c r="H90" s="380"/>
      <c r="I90" s="380"/>
    </row>
    <row r="91" spans="2:10" ht="15" customHeight="1">
      <c r="C91" s="465" t="s">
        <v>894</v>
      </c>
      <c r="D91" s="466" t="s">
        <v>895</v>
      </c>
      <c r="E91" s="475" t="s">
        <v>996</v>
      </c>
      <c r="F91" s="469" t="s">
        <v>995</v>
      </c>
      <c r="G91" s="368"/>
      <c r="H91" s="368"/>
      <c r="I91" s="368"/>
    </row>
    <row r="92" spans="2:10" ht="15" customHeight="1">
      <c r="C92" s="881" t="s">
        <v>997</v>
      </c>
      <c r="D92" s="882" t="s">
        <v>990</v>
      </c>
      <c r="E92" s="475" t="s">
        <v>991</v>
      </c>
      <c r="F92" s="883" t="s">
        <v>998</v>
      </c>
      <c r="G92" s="368"/>
      <c r="H92" s="368"/>
      <c r="I92" s="368"/>
    </row>
    <row r="93" spans="2:10" ht="15" customHeight="1">
      <c r="C93" s="881" t="s">
        <v>999</v>
      </c>
      <c r="D93" s="882" t="s">
        <v>990</v>
      </c>
      <c r="E93" s="475" t="s">
        <v>991</v>
      </c>
      <c r="F93" s="883" t="s">
        <v>998</v>
      </c>
      <c r="G93" s="658"/>
      <c r="H93" s="658"/>
      <c r="I93" s="368"/>
    </row>
    <row r="94" spans="2:10" ht="15" customHeight="1">
      <c r="C94" s="881" t="s">
        <v>1000</v>
      </c>
      <c r="D94" s="882" t="s">
        <v>990</v>
      </c>
      <c r="E94" s="475" t="s">
        <v>991</v>
      </c>
      <c r="F94" s="883" t="s">
        <v>998</v>
      </c>
      <c r="G94" s="658"/>
      <c r="H94" s="658"/>
      <c r="I94" s="368"/>
    </row>
    <row r="95" spans="2:10" ht="15" customHeight="1">
      <c r="C95" s="881" t="s">
        <v>648</v>
      </c>
      <c r="D95" s="882" t="s">
        <v>990</v>
      </c>
      <c r="E95" s="475" t="s">
        <v>991</v>
      </c>
      <c r="F95" s="883" t="s">
        <v>998</v>
      </c>
      <c r="G95" s="658"/>
      <c r="H95" s="658"/>
      <c r="I95" s="368"/>
    </row>
    <row r="96" spans="2:10" ht="15" customHeight="1">
      <c r="C96" s="881" t="s">
        <v>643</v>
      </c>
      <c r="D96" s="882" t="s">
        <v>990</v>
      </c>
      <c r="E96" s="475" t="s">
        <v>991</v>
      </c>
      <c r="F96" s="883" t="s">
        <v>998</v>
      </c>
      <c r="G96" s="381"/>
      <c r="H96" s="190"/>
      <c r="I96" s="368"/>
    </row>
    <row r="97" spans="3:9" ht="15" customHeight="1" thickBot="1">
      <c r="C97" s="498" t="s">
        <v>1001</v>
      </c>
      <c r="D97" s="499" t="s">
        <v>990</v>
      </c>
      <c r="E97" s="499" t="s">
        <v>991</v>
      </c>
      <c r="F97" s="500" t="s">
        <v>1002</v>
      </c>
      <c r="G97" s="381"/>
      <c r="H97" s="190"/>
      <c r="I97" s="368"/>
    </row>
    <row r="98" spans="3:9" ht="17.25" customHeight="1">
      <c r="C98" s="884" t="s">
        <v>1003</v>
      </c>
      <c r="D98" s="657"/>
      <c r="E98" s="658"/>
      <c r="F98" s="658"/>
      <c r="G98" s="381"/>
      <c r="H98" s="190"/>
      <c r="I98" s="368"/>
    </row>
    <row r="99" spans="3:9" ht="17.25" customHeight="1">
      <c r="C99" s="657"/>
      <c r="D99" s="657"/>
      <c r="E99" s="658"/>
      <c r="F99" s="658"/>
      <c r="G99" s="374"/>
      <c r="H99" s="374"/>
      <c r="I99" s="368"/>
    </row>
    <row r="100" spans="3:9" ht="17.25" customHeight="1">
      <c r="C100" s="657"/>
      <c r="D100" s="657"/>
      <c r="E100" s="658"/>
      <c r="F100" s="658"/>
      <c r="G100" s="375"/>
      <c r="H100" s="375"/>
      <c r="I100" s="368"/>
    </row>
    <row r="101" spans="3:9" ht="17.25" customHeight="1">
      <c r="C101" s="1213" t="s">
        <v>1004</v>
      </c>
      <c r="D101" s="1213"/>
      <c r="E101" s="381"/>
      <c r="F101" s="381"/>
      <c r="G101" s="376"/>
      <c r="H101" s="376"/>
      <c r="I101" s="368"/>
    </row>
    <row r="102" spans="3:9" ht="15" customHeight="1">
      <c r="C102" s="1213" t="s">
        <v>1005</v>
      </c>
      <c r="D102" s="1213"/>
      <c r="E102" s="381"/>
      <c r="F102" s="381"/>
      <c r="G102" s="374"/>
      <c r="H102" s="374"/>
      <c r="I102" s="368"/>
    </row>
    <row r="103" spans="3:9" ht="15" customHeight="1">
      <c r="C103" s="1213" t="s">
        <v>1006</v>
      </c>
      <c r="D103" s="1213"/>
      <c r="E103" s="381"/>
      <c r="F103" s="381"/>
      <c r="G103" s="885"/>
      <c r="H103" s="886"/>
      <c r="I103" s="368"/>
    </row>
    <row r="104" spans="3:9" ht="15" customHeight="1">
      <c r="C104" s="373"/>
      <c r="D104" s="373"/>
      <c r="E104" s="374"/>
      <c r="F104" s="374"/>
      <c r="G104" s="594"/>
      <c r="H104" s="374"/>
      <c r="I104" s="368"/>
    </row>
    <row r="105" spans="3:9" ht="15" customHeight="1">
      <c r="C105" s="43" t="s">
        <v>1007</v>
      </c>
      <c r="D105" s="191"/>
      <c r="E105" s="375"/>
      <c r="F105" s="375"/>
      <c r="G105" s="594"/>
      <c r="H105" s="374"/>
      <c r="I105" s="368"/>
    </row>
    <row r="106" spans="3:9" s="189" customFormat="1" ht="15" customHeight="1">
      <c r="C106" s="191" t="s">
        <v>526</v>
      </c>
      <c r="D106" s="191"/>
      <c r="E106" s="376"/>
      <c r="F106" s="376"/>
      <c r="G106" s="594"/>
      <c r="H106" s="374"/>
      <c r="I106" s="368"/>
    </row>
    <row r="107" spans="3:9" s="189" customFormat="1" ht="15" customHeight="1">
      <c r="C107" s="104" t="s">
        <v>527</v>
      </c>
      <c r="D107" s="244"/>
      <c r="E107" s="374"/>
      <c r="F107" s="374"/>
      <c r="G107" s="887"/>
      <c r="H107" s="888"/>
      <c r="I107" s="368"/>
    </row>
    <row r="108" spans="3:9" s="890" customFormat="1" ht="15" customHeight="1">
      <c r="C108" s="193" t="s">
        <v>1008</v>
      </c>
      <c r="D108" s="889" t="s">
        <v>1009</v>
      </c>
      <c r="E108" s="885"/>
      <c r="F108" s="885"/>
      <c r="G108" s="887"/>
      <c r="H108" s="888"/>
      <c r="I108" s="368"/>
    </row>
    <row r="109" spans="3:9" ht="15" customHeight="1">
      <c r="C109" s="193" t="s">
        <v>1010</v>
      </c>
      <c r="D109" s="889" t="s">
        <v>1009</v>
      </c>
      <c r="E109" s="594"/>
      <c r="F109" s="594"/>
      <c r="G109" s="887"/>
      <c r="H109" s="888"/>
      <c r="I109" s="368"/>
    </row>
    <row r="110" spans="3:9" ht="15" customHeight="1">
      <c r="C110" s="193" t="s">
        <v>1011</v>
      </c>
      <c r="D110" s="889" t="s">
        <v>1009</v>
      </c>
      <c r="E110" s="594"/>
      <c r="F110" s="594"/>
      <c r="G110" s="603"/>
      <c r="H110" s="603"/>
      <c r="I110" s="368"/>
    </row>
    <row r="111" spans="3:9" ht="15" customHeight="1">
      <c r="C111" s="193" t="s">
        <v>1012</v>
      </c>
      <c r="D111" s="889" t="s">
        <v>1009</v>
      </c>
      <c r="E111" s="594"/>
      <c r="F111" s="594"/>
      <c r="G111" s="594"/>
      <c r="I111" s="368"/>
    </row>
    <row r="112" spans="3:9" ht="15" customHeight="1">
      <c r="C112" s="891" t="s">
        <v>1013</v>
      </c>
      <c r="D112" s="889" t="s">
        <v>1009</v>
      </c>
      <c r="E112" s="887"/>
      <c r="F112" s="887"/>
      <c r="G112" s="368"/>
      <c r="H112" s="368"/>
      <c r="I112" s="368"/>
    </row>
    <row r="113" spans="3:9" ht="15" customHeight="1">
      <c r="C113" s="891" t="s">
        <v>1014</v>
      </c>
      <c r="D113" s="889" t="s">
        <v>1009</v>
      </c>
      <c r="E113" s="887"/>
      <c r="F113" s="887"/>
      <c r="G113" s="594"/>
      <c r="H113"/>
      <c r="I113" s="368"/>
    </row>
    <row r="114" spans="3:9" ht="15" customHeight="1">
      <c r="C114" s="891" t="s">
        <v>1015</v>
      </c>
      <c r="D114" s="889" t="s">
        <v>1009</v>
      </c>
    </row>
    <row r="115" spans="3:9" ht="19.5" customHeight="1">
      <c r="C115" s="104" t="s">
        <v>1016</v>
      </c>
      <c r="D115" s="382" t="s">
        <v>1017</v>
      </c>
    </row>
    <row r="116" spans="3:9" ht="16.5" customHeight="1">
      <c r="C116" s="104" t="s">
        <v>1018</v>
      </c>
      <c r="D116" s="379" t="s">
        <v>1019</v>
      </c>
    </row>
    <row r="117" spans="3:9" ht="18" customHeight="1">
      <c r="C117" s="104" t="s">
        <v>1020</v>
      </c>
      <c r="D117" s="379" t="s">
        <v>1021</v>
      </c>
    </row>
    <row r="118" spans="3:9" ht="18" customHeight="1">
      <c r="C118" s="104" t="s">
        <v>1022</v>
      </c>
      <c r="D118" s="379" t="s">
        <v>1023</v>
      </c>
    </row>
    <row r="119" spans="3:9" ht="17.25" customHeight="1">
      <c r="C119" s="378" t="s">
        <v>1024</v>
      </c>
      <c r="D119" s="373" t="s">
        <v>1025</v>
      </c>
    </row>
    <row r="120" spans="3:9" ht="19.5" customHeight="1">
      <c r="C120" s="104" t="s">
        <v>538</v>
      </c>
      <c r="D120" s="373" t="s">
        <v>1026</v>
      </c>
    </row>
    <row r="121" spans="3:9" ht="18" customHeight="1">
      <c r="C121" s="104" t="s">
        <v>1027</v>
      </c>
      <c r="D121" s="373" t="s">
        <v>1028</v>
      </c>
    </row>
  </sheetData>
  <autoFilter ref="C17:L17" xr:uid="{6E0CE891-2E7F-4679-9975-FA8707DC0867}">
    <filterColumn colId="2" showButton="0"/>
    <filterColumn colId="4" showButton="0"/>
    <filterColumn colId="6" showButton="0"/>
    <filterColumn colId="8" showButton="0"/>
  </autoFilter>
  <mergeCells count="20">
    <mergeCell ref="C103:D103"/>
    <mergeCell ref="D39:L39"/>
    <mergeCell ref="D42:L42"/>
    <mergeCell ref="D74:F74"/>
    <mergeCell ref="D87:F87"/>
    <mergeCell ref="C101:D101"/>
    <mergeCell ref="C102:D102"/>
    <mergeCell ref="C11:L12"/>
    <mergeCell ref="C13:L14"/>
    <mergeCell ref="C16:L16"/>
    <mergeCell ref="E17:F17"/>
    <mergeCell ref="G17:H17"/>
    <mergeCell ref="I17:J17"/>
    <mergeCell ref="K17:L17"/>
    <mergeCell ref="C10:L10"/>
    <mergeCell ref="C3:L3"/>
    <mergeCell ref="C4:L4"/>
    <mergeCell ref="C5:L5"/>
    <mergeCell ref="C6:L6"/>
    <mergeCell ref="C9:L9"/>
  </mergeCells>
  <pageMargins left="0.2" right="0.7" top="0.75" bottom="0.75" header="0.3" footer="0.3"/>
  <pageSetup scale="35"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2E07F-DD8E-4463-A7AC-54FF9E450B54}">
  <sheetPr>
    <tabColor theme="1" tint="0.499984740745262"/>
    <pageSetUpPr fitToPage="1"/>
  </sheetPr>
  <dimension ref="B2:AG9"/>
  <sheetViews>
    <sheetView zoomScale="90" zoomScaleNormal="90" workbookViewId="0"/>
  </sheetViews>
  <sheetFormatPr defaultColWidth="28.7109375" defaultRowHeight="12.75"/>
  <cols>
    <col min="1" max="1" width="2.7109375" style="606" customWidth="1"/>
    <col min="2" max="2" width="2.85546875" style="606" customWidth="1"/>
    <col min="3" max="3" width="25.7109375" style="606" customWidth="1"/>
    <col min="4" max="4" width="15.7109375" style="606" customWidth="1"/>
    <col min="5" max="6" width="15.140625" style="606" customWidth="1"/>
    <col min="7" max="7" width="15.140625" style="605" customWidth="1"/>
    <col min="8" max="8" width="15.5703125" style="605" customWidth="1"/>
    <col min="9" max="12" width="20.42578125" style="605" customWidth="1"/>
    <col min="13" max="13" width="28.42578125" style="605" customWidth="1"/>
    <col min="14" max="14" width="14.42578125" style="605" customWidth="1"/>
    <col min="15" max="15" width="15.7109375" style="605" customWidth="1"/>
    <col min="16" max="16" width="17" style="605" customWidth="1"/>
    <col min="17" max="17" width="28.7109375" style="605"/>
    <col min="18" max="18" width="26.5703125" style="606" customWidth="1"/>
    <col min="19" max="21" width="17.42578125" style="606" customWidth="1"/>
    <col min="22" max="22" width="2.85546875" style="606" customWidth="1"/>
    <col min="23" max="33" width="28.7109375" style="605"/>
    <col min="34" max="16384" width="28.7109375" style="606"/>
  </cols>
  <sheetData>
    <row r="2" spans="2:25">
      <c r="B2" s="604"/>
      <c r="C2" s="604"/>
      <c r="D2" s="604"/>
      <c r="E2" s="604"/>
      <c r="F2" s="604"/>
      <c r="G2" s="221"/>
      <c r="H2" s="221"/>
      <c r="R2" s="1224"/>
      <c r="S2" s="1224"/>
      <c r="T2" s="1224"/>
      <c r="U2" s="1224"/>
    </row>
    <row r="3" spans="2:25" ht="13.5" customHeight="1">
      <c r="B3" s="604"/>
      <c r="C3" s="604"/>
      <c r="D3" s="604"/>
      <c r="E3" s="604"/>
      <c r="F3" s="604"/>
      <c r="G3" s="221"/>
      <c r="H3" s="221"/>
      <c r="R3" s="162"/>
      <c r="S3" s="162"/>
      <c r="T3" s="162"/>
      <c r="U3" s="162"/>
    </row>
    <row r="4" spans="2:25" ht="27.75" customHeight="1" thickBot="1">
      <c r="B4" s="604"/>
      <c r="C4" s="604"/>
      <c r="D4" s="604"/>
      <c r="E4" s="604"/>
      <c r="F4" s="604"/>
      <c r="G4" s="221"/>
      <c r="H4" s="221"/>
      <c r="I4" s="221"/>
      <c r="J4" s="221"/>
      <c r="K4" s="221"/>
      <c r="L4" s="221"/>
      <c r="R4" s="162"/>
      <c r="S4" s="162"/>
      <c r="T4" s="162"/>
      <c r="U4" s="162"/>
    </row>
    <row r="5" spans="2:25" ht="15" customHeight="1" thickBot="1">
      <c r="C5" s="1223" t="s">
        <v>1029</v>
      </c>
      <c r="D5" s="1140"/>
      <c r="E5" s="1140"/>
      <c r="F5" s="1140"/>
      <c r="G5" s="1141"/>
      <c r="I5" s="1223" t="s">
        <v>1030</v>
      </c>
      <c r="J5" s="1140"/>
      <c r="K5" s="1140"/>
      <c r="L5" s="1141"/>
      <c r="Q5" s="606"/>
      <c r="R5" s="605"/>
      <c r="S5" s="605"/>
      <c r="T5" s="605"/>
      <c r="U5" s="605"/>
      <c r="V5" s="605"/>
    </row>
    <row r="6" spans="2:25" s="605" customFormat="1" ht="15" customHeight="1" thickBot="1">
      <c r="C6" s="162"/>
      <c r="D6" s="162"/>
      <c r="E6" s="162"/>
      <c r="F6" s="162"/>
      <c r="M6" s="162"/>
      <c r="N6" s="162"/>
      <c r="O6" s="162"/>
      <c r="P6" s="162"/>
    </row>
    <row r="7" spans="2:25" ht="15" customHeight="1" thickBot="1">
      <c r="C7" s="1223" t="s">
        <v>1031</v>
      </c>
      <c r="D7" s="1140"/>
      <c r="E7" s="1140"/>
      <c r="F7" s="1140"/>
      <c r="G7" s="1141"/>
      <c r="I7" s="1223" t="s">
        <v>1032</v>
      </c>
      <c r="J7" s="1140"/>
      <c r="K7" s="1140"/>
      <c r="L7" s="1141"/>
      <c r="Q7" s="116"/>
      <c r="R7" s="605"/>
      <c r="S7" s="605"/>
      <c r="T7" s="605"/>
      <c r="U7" s="605"/>
      <c r="V7" s="605"/>
    </row>
    <row r="8" spans="2:25" ht="15" customHeight="1" thickBot="1">
      <c r="C8" s="117"/>
      <c r="M8" s="117"/>
      <c r="N8" s="606"/>
      <c r="O8" s="606"/>
      <c r="P8" s="606"/>
      <c r="Q8" s="606"/>
      <c r="R8" s="605"/>
      <c r="S8" s="605"/>
      <c r="T8" s="605"/>
      <c r="U8" s="605"/>
      <c r="V8" s="605"/>
      <c r="W8" s="11"/>
      <c r="X8" s="11"/>
      <c r="Y8" s="11"/>
    </row>
    <row r="9" spans="2:25" ht="15" customHeight="1" thickBot="1">
      <c r="C9" s="1223" t="s">
        <v>1033</v>
      </c>
      <c r="D9" s="1140"/>
      <c r="E9" s="1140"/>
      <c r="F9" s="1140"/>
      <c r="G9" s="1141"/>
      <c r="H9" s="11"/>
      <c r="Q9" s="11"/>
      <c r="R9" s="11"/>
      <c r="S9" s="11"/>
      <c r="T9" s="11"/>
      <c r="U9" s="11"/>
      <c r="V9" s="605"/>
      <c r="W9" s="606"/>
      <c r="X9" s="606"/>
      <c r="Y9" s="606"/>
    </row>
  </sheetData>
  <mergeCells count="6">
    <mergeCell ref="C9:G9"/>
    <mergeCell ref="I7:L7"/>
    <mergeCell ref="C5:G5"/>
    <mergeCell ref="C7:G7"/>
    <mergeCell ref="R2:U2"/>
    <mergeCell ref="I5:L5"/>
  </mergeCells>
  <hyperlinks>
    <hyperlink ref="I5" r:id="rId1" display="CLICK ME!  Fahrplan / Schedule" xr:uid="{9B33E831-5FF7-4C33-9FA2-97DFB0BFD801}"/>
    <hyperlink ref="C5" r:id="rId2" display="CLICK ME!" xr:uid="{E6E559C3-36A1-476A-AA5E-7150259FD315}"/>
    <hyperlink ref="C7" r:id="rId3" display="CLICK ME! demurrage - detention - restrictions" xr:uid="{8C61F4CD-FA90-4820-B402-43A66D9A567B}"/>
    <hyperlink ref="I7" r:id="rId4" display="https://www.oocl.com/eng/ourservices/eservices/inlandtariffenquiry/termsandconditions/Documents/ODEZ_Inland_Terms_and_Conditions.pdf" xr:uid="{AADB1456-759E-4B41-B0B5-B3CBDB8C6B2D}"/>
    <hyperlink ref="C9" r:id="rId5" display="OOCL - Pick Up and Drop Off charges German hinterland" xr:uid="{617188E0-4C48-4287-A8B3-2D14DD38DD8D}"/>
    <hyperlink ref="C9:G9" r:id="rId6" display="OOCL - Pick Up and Drop Off charges German hinterland &gt;&gt; CLICK ME!" xr:uid="{953A9992-FAD2-4BAE-B5F5-F5C2A1B95A0F}"/>
    <hyperlink ref="I7:L7" r:id="rId7" display="ODEZ_Inland_Terms_and_Conditions. &gt;&gt; CLICK ME!" xr:uid="{627231DD-A464-4F67-9E8C-1038BBABCFE2}"/>
  </hyperlinks>
  <pageMargins left="0.7" right="0.7" top="0.75" bottom="0.75" header="0.3" footer="0.3"/>
  <pageSetup scale="48" orientation="portrait" r:id="rId8"/>
  <drawing r:id="rId9"/>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0" tint="-0.14999847407452621"/>
    <pageSetUpPr fitToPage="1"/>
  </sheetPr>
  <dimension ref="B2:P121"/>
  <sheetViews>
    <sheetView showGridLines="0" zoomScale="90" zoomScaleNormal="90" workbookViewId="0"/>
  </sheetViews>
  <sheetFormatPr defaultColWidth="11.42578125" defaultRowHeight="12.75"/>
  <cols>
    <col min="1" max="2" width="2.85546875" style="9" customWidth="1"/>
    <col min="3" max="3" width="45.85546875" style="9" customWidth="1"/>
    <col min="4" max="4" width="23.42578125" style="9" customWidth="1"/>
    <col min="5" max="5" width="15.28515625" style="9" customWidth="1"/>
    <col min="6" max="6" width="17.85546875" style="9" customWidth="1"/>
    <col min="7" max="8" width="7.5703125" style="9" customWidth="1"/>
    <col min="9" max="9" width="14" style="9" customWidth="1"/>
    <col min="10" max="10" width="10.140625" style="9" customWidth="1"/>
    <col min="11" max="11" width="14.85546875" style="9" customWidth="1"/>
    <col min="12" max="12" width="16.42578125" style="560" customWidth="1"/>
    <col min="13" max="13" width="14.140625" style="9" customWidth="1"/>
    <col min="14" max="14" width="22.7109375" style="9" customWidth="1"/>
    <col min="15" max="15" width="2.85546875" style="9" customWidth="1"/>
    <col min="16" max="16384" width="11.42578125" style="9"/>
  </cols>
  <sheetData>
    <row r="2" spans="2:16" ht="15" customHeight="1">
      <c r="D2" s="607"/>
      <c r="F2" s="1225"/>
      <c r="G2" s="1225"/>
      <c r="H2" s="1225"/>
      <c r="I2" s="1225"/>
      <c r="J2" s="1225"/>
      <c r="K2" s="1225"/>
      <c r="L2" s="1225"/>
    </row>
    <row r="3" spans="2:16" ht="15" customHeight="1">
      <c r="D3" s="13"/>
      <c r="E3" s="13"/>
      <c r="F3" s="1232"/>
      <c r="G3" s="1232"/>
      <c r="H3" s="1232"/>
      <c r="I3" s="1232"/>
      <c r="J3" s="1232"/>
      <c r="K3" s="1232"/>
      <c r="L3" s="1232"/>
      <c r="M3" s="13"/>
    </row>
    <row r="4" spans="2:16" ht="15" customHeight="1">
      <c r="D4" s="13"/>
      <c r="E4" s="13"/>
      <c r="F4" s="1233"/>
      <c r="G4" s="1233"/>
      <c r="H4" s="1233"/>
      <c r="I4" s="1233"/>
      <c r="J4" s="1233"/>
      <c r="K4" s="1233"/>
      <c r="L4" s="1233"/>
      <c r="M4" s="84"/>
      <c r="N4" s="84"/>
    </row>
    <row r="5" spans="2:16">
      <c r="D5" s="14"/>
    </row>
    <row r="6" spans="2:16">
      <c r="B6" s="549"/>
      <c r="C6" s="43"/>
      <c r="D6" s="38" t="s">
        <v>1034</v>
      </c>
      <c r="E6" s="15"/>
      <c r="F6" s="2"/>
      <c r="H6" s="15"/>
      <c r="I6" s="15"/>
      <c r="J6" s="15"/>
      <c r="K6" s="15"/>
      <c r="L6" s="608"/>
      <c r="M6" s="549"/>
      <c r="N6" s="549"/>
      <c r="O6" s="549"/>
    </row>
    <row r="7" spans="2:16">
      <c r="B7" s="549"/>
      <c r="D7" s="38" t="s">
        <v>1035</v>
      </c>
      <c r="E7" s="16"/>
      <c r="F7" s="2"/>
      <c r="H7" s="609"/>
      <c r="I7" s="609"/>
      <c r="J7" s="609"/>
      <c r="K7" s="609"/>
      <c r="L7" s="608"/>
      <c r="M7" s="549"/>
      <c r="N7" s="549"/>
      <c r="O7" s="549"/>
    </row>
    <row r="8" spans="2:16" ht="13.5" thickBot="1">
      <c r="B8" s="549"/>
      <c r="C8" s="20"/>
      <c r="E8" s="17"/>
      <c r="F8" s="21"/>
      <c r="G8" s="21"/>
      <c r="H8" s="21"/>
      <c r="I8" s="22"/>
      <c r="J8" s="19"/>
      <c r="K8" s="609"/>
      <c r="L8" s="9"/>
      <c r="M8" s="560"/>
      <c r="N8" s="549"/>
      <c r="O8" s="549"/>
      <c r="P8" s="549"/>
    </row>
    <row r="9" spans="2:16" ht="12" customHeight="1">
      <c r="B9" s="549"/>
      <c r="C9" s="1234" t="s">
        <v>1036</v>
      </c>
      <c r="D9" s="1235"/>
      <c r="E9" s="1235"/>
      <c r="F9" s="1235"/>
      <c r="G9" s="1235"/>
      <c r="H9" s="1235"/>
      <c r="I9" s="1235"/>
      <c r="J9" s="1235"/>
      <c r="K9" s="1235"/>
      <c r="L9" s="1235"/>
      <c r="M9" s="1235"/>
      <c r="N9" s="1236"/>
      <c r="O9" s="549"/>
      <c r="P9" s="549"/>
    </row>
    <row r="10" spans="2:16" ht="12" customHeight="1">
      <c r="B10" s="549"/>
      <c r="C10" s="1237" t="s">
        <v>1037</v>
      </c>
      <c r="D10" s="1193"/>
      <c r="E10" s="1193"/>
      <c r="F10" s="1193"/>
      <c r="G10" s="1193"/>
      <c r="H10" s="1193"/>
      <c r="I10" s="1193"/>
      <c r="J10" s="1193"/>
      <c r="K10" s="1193"/>
      <c r="L10" s="1193"/>
      <c r="M10" s="1193"/>
      <c r="N10" s="1238"/>
      <c r="O10" s="549"/>
      <c r="P10" s="549"/>
    </row>
    <row r="11" spans="2:16" ht="12" customHeight="1">
      <c r="B11" s="549"/>
      <c r="C11" s="51"/>
      <c r="D11" s="43"/>
      <c r="E11" s="1005"/>
      <c r="F11" s="1005"/>
      <c r="G11" s="1005"/>
      <c r="H11" s="1005"/>
      <c r="I11" s="1006"/>
      <c r="J11" s="43"/>
      <c r="K11" s="45"/>
      <c r="L11" s="46"/>
      <c r="M11" s="43"/>
      <c r="N11" s="52"/>
      <c r="O11" s="549"/>
      <c r="P11" s="549"/>
    </row>
    <row r="12" spans="2:16" ht="12" customHeight="1">
      <c r="B12" s="549"/>
      <c r="C12" s="51"/>
      <c r="D12" s="43"/>
      <c r="E12" s="1005"/>
      <c r="F12" s="1005"/>
      <c r="G12" s="1005"/>
      <c r="H12" s="1005"/>
      <c r="I12" s="1006"/>
      <c r="J12" s="43"/>
      <c r="K12" s="45"/>
      <c r="L12" s="46"/>
      <c r="M12" s="43"/>
      <c r="N12" s="52"/>
      <c r="O12" s="549"/>
      <c r="P12" s="549"/>
    </row>
    <row r="13" spans="2:16" ht="12" customHeight="1">
      <c r="B13" s="549"/>
      <c r="C13" s="1007" t="s">
        <v>1038</v>
      </c>
      <c r="D13" s="1008"/>
      <c r="E13" s="1009"/>
      <c r="F13" s="1009"/>
      <c r="G13" s="1009"/>
      <c r="H13" s="17"/>
      <c r="I13" s="1010"/>
      <c r="K13" s="1011"/>
      <c r="N13" s="610"/>
      <c r="O13" s="549"/>
      <c r="P13" s="549"/>
    </row>
    <row r="14" spans="2:16" ht="12" customHeight="1">
      <c r="B14" s="549"/>
      <c r="C14" s="611"/>
      <c r="E14" s="17"/>
      <c r="F14" s="17"/>
      <c r="G14" s="17"/>
      <c r="H14" s="17"/>
      <c r="I14" s="1010"/>
      <c r="K14" s="1011"/>
      <c r="N14" s="610"/>
      <c r="O14" s="549"/>
      <c r="P14" s="549"/>
    </row>
    <row r="15" spans="2:16" ht="12" customHeight="1">
      <c r="B15" s="549"/>
      <c r="C15" s="612"/>
      <c r="D15" s="1012"/>
      <c r="E15" s="1012"/>
      <c r="F15" s="1012"/>
      <c r="G15" s="613"/>
      <c r="H15" s="614"/>
      <c r="I15" s="12"/>
      <c r="K15" s="560"/>
      <c r="N15" s="610"/>
      <c r="O15" s="549"/>
      <c r="P15" s="549"/>
    </row>
    <row r="16" spans="2:16" ht="12" customHeight="1">
      <c r="B16" s="549"/>
      <c r="C16" s="615" t="s">
        <v>1039</v>
      </c>
      <c r="D16" s="1013"/>
      <c r="E16" s="1013"/>
      <c r="F16" s="1012"/>
      <c r="G16" s="613"/>
      <c r="H16" s="614"/>
      <c r="I16" s="12"/>
      <c r="K16" s="560"/>
      <c r="N16" s="610"/>
      <c r="O16" s="549"/>
      <c r="P16" s="549"/>
    </row>
    <row r="17" spans="2:16" ht="12" customHeight="1">
      <c r="B17" s="549"/>
      <c r="C17" s="616" t="s">
        <v>1040</v>
      </c>
      <c r="D17" s="617" t="s">
        <v>1041</v>
      </c>
      <c r="E17" s="279"/>
      <c r="F17" s="618"/>
      <c r="G17" s="613"/>
      <c r="H17" s="614"/>
      <c r="I17" s="12"/>
      <c r="K17" s="560"/>
      <c r="N17" s="610"/>
      <c r="O17" s="549"/>
      <c r="P17" s="549"/>
    </row>
    <row r="18" spans="2:16" ht="12" customHeight="1">
      <c r="B18" s="549"/>
      <c r="C18" s="616" t="s">
        <v>1042</v>
      </c>
      <c r="D18" s="617" t="s">
        <v>1043</v>
      </c>
      <c r="E18" s="619"/>
      <c r="F18" s="618"/>
      <c r="G18" s="613"/>
      <c r="H18" s="614"/>
      <c r="I18" s="12"/>
      <c r="K18" s="560"/>
      <c r="N18" s="610"/>
      <c r="O18" s="549"/>
      <c r="P18" s="549"/>
    </row>
    <row r="19" spans="2:16" ht="12" customHeight="1">
      <c r="B19" s="549"/>
      <c r="C19" s="616" t="s">
        <v>1044</v>
      </c>
      <c r="D19" s="617"/>
      <c r="E19" s="279"/>
      <c r="F19" s="618"/>
      <c r="G19" s="613"/>
      <c r="H19" s="614"/>
      <c r="I19" s="12"/>
      <c r="K19" s="560"/>
      <c r="N19" s="610"/>
      <c r="O19" s="549"/>
      <c r="P19" s="549"/>
    </row>
    <row r="20" spans="2:16" ht="12" customHeight="1">
      <c r="B20" s="549"/>
      <c r="C20" s="620" t="s">
        <v>1045</v>
      </c>
      <c r="D20" s="617"/>
      <c r="E20" s="618"/>
      <c r="F20" s="618"/>
      <c r="G20" s="613"/>
      <c r="H20" s="614"/>
      <c r="I20" s="12"/>
      <c r="K20" s="560"/>
      <c r="N20" s="610"/>
      <c r="O20" s="549"/>
      <c r="P20" s="549"/>
    </row>
    <row r="21" spans="2:16" ht="12" customHeight="1">
      <c r="B21" s="549"/>
      <c r="C21" s="620" t="s">
        <v>1046</v>
      </c>
      <c r="D21" s="617"/>
      <c r="E21" s="43"/>
      <c r="F21" s="43"/>
      <c r="G21" s="1239"/>
      <c r="H21" s="1239"/>
      <c r="I21" s="1239"/>
      <c r="K21" s="560"/>
      <c r="M21" s="559"/>
      <c r="N21" s="621"/>
      <c r="O21" s="549"/>
      <c r="P21" s="549"/>
    </row>
    <row r="22" spans="2:16" ht="12" customHeight="1">
      <c r="B22" s="549"/>
      <c r="C22" s="620" t="s">
        <v>1047</v>
      </c>
      <c r="D22" s="617"/>
      <c r="E22" s="46"/>
      <c r="F22" s="46"/>
      <c r="G22" s="1239"/>
      <c r="H22" s="1239"/>
      <c r="I22" s="1239"/>
      <c r="K22" s="560"/>
      <c r="M22" s="559"/>
      <c r="N22" s="621"/>
      <c r="O22" s="549"/>
      <c r="P22" s="549"/>
    </row>
    <row r="23" spans="2:16" ht="12" customHeight="1">
      <c r="B23" s="549"/>
      <c r="C23" s="620" t="s">
        <v>1048</v>
      </c>
      <c r="D23" s="617"/>
      <c r="E23" s="618"/>
      <c r="F23" s="618"/>
      <c r="G23" s="613"/>
      <c r="H23" s="614"/>
      <c r="I23" s="12"/>
      <c r="K23" s="560"/>
      <c r="M23" s="559"/>
      <c r="N23" s="621"/>
      <c r="O23" s="549"/>
      <c r="P23" s="549"/>
    </row>
    <row r="24" spans="2:16" ht="12" customHeight="1">
      <c r="B24" s="549"/>
      <c r="C24" s="620" t="s">
        <v>1049</v>
      </c>
      <c r="D24" s="617"/>
      <c r="E24" s="618"/>
      <c r="F24" s="618"/>
      <c r="G24" s="613"/>
      <c r="H24" s="614"/>
      <c r="I24" s="12"/>
      <c r="K24" s="560"/>
      <c r="M24" s="559"/>
      <c r="N24" s="621"/>
      <c r="O24" s="549"/>
      <c r="P24" s="549"/>
    </row>
    <row r="25" spans="2:16" ht="12" customHeight="1">
      <c r="B25" s="549"/>
      <c r="C25" s="620" t="s">
        <v>1050</v>
      </c>
      <c r="D25" s="617"/>
      <c r="E25" s="618"/>
      <c r="F25" s="618"/>
      <c r="G25" s="613"/>
      <c r="H25" s="614"/>
      <c r="I25" s="12"/>
      <c r="K25" s="560"/>
      <c r="M25" s="559"/>
      <c r="N25" s="621"/>
      <c r="O25" s="549"/>
      <c r="P25" s="549"/>
    </row>
    <row r="26" spans="2:16" ht="12" customHeight="1">
      <c r="B26" s="549"/>
      <c r="C26" s="620" t="s">
        <v>1051</v>
      </c>
      <c r="D26" s="617"/>
      <c r="E26" s="618"/>
      <c r="F26" s="618"/>
      <c r="G26" s="613"/>
      <c r="H26" s="614"/>
      <c r="I26" s="12"/>
      <c r="K26" s="560"/>
      <c r="M26" s="559"/>
      <c r="N26" s="621"/>
      <c r="O26" s="549"/>
      <c r="P26" s="549"/>
    </row>
    <row r="27" spans="2:16" ht="12" customHeight="1">
      <c r="B27" s="549"/>
      <c r="C27" s="620" t="s">
        <v>1052</v>
      </c>
      <c r="D27" s="617"/>
      <c r="E27" s="618"/>
      <c r="F27" s="618"/>
      <c r="G27" s="613"/>
      <c r="H27" s="614"/>
      <c r="I27" s="12"/>
      <c r="K27" s="560"/>
      <c r="M27" s="559"/>
      <c r="N27" s="621"/>
      <c r="O27" s="549"/>
      <c r="P27" s="549"/>
    </row>
    <row r="28" spans="2:16" ht="12" customHeight="1">
      <c r="B28" s="549"/>
      <c r="C28" s="51"/>
      <c r="D28" s="43"/>
      <c r="E28" s="46"/>
      <c r="F28" s="46"/>
      <c r="G28" s="12"/>
      <c r="H28" s="12"/>
      <c r="I28" s="12"/>
      <c r="K28" s="560"/>
      <c r="M28" s="559"/>
      <c r="N28" s="621"/>
      <c r="O28" s="549"/>
      <c r="P28" s="549"/>
    </row>
    <row r="29" spans="2:16" ht="12" customHeight="1">
      <c r="B29" s="549"/>
      <c r="C29" s="53" t="s">
        <v>1053</v>
      </c>
      <c r="D29" s="43"/>
      <c r="E29" s="43"/>
      <c r="F29" s="43"/>
      <c r="G29" s="12"/>
      <c r="H29" s="12"/>
      <c r="I29" s="12"/>
      <c r="K29" s="560"/>
      <c r="M29" s="559"/>
      <c r="N29" s="621"/>
      <c r="O29" s="549"/>
      <c r="P29" s="549"/>
    </row>
    <row r="30" spans="2:16" ht="12" customHeight="1" thickBot="1">
      <c r="B30" s="549"/>
      <c r="C30" s="54"/>
      <c r="D30" s="55"/>
      <c r="E30" s="55"/>
      <c r="F30" s="55"/>
      <c r="G30" s="56"/>
      <c r="H30" s="56"/>
      <c r="I30" s="56"/>
      <c r="J30" s="56"/>
      <c r="K30" s="622"/>
      <c r="L30" s="623"/>
      <c r="M30" s="624"/>
      <c r="N30" s="625"/>
      <c r="O30" s="549"/>
      <c r="P30" s="549"/>
    </row>
    <row r="31" spans="2:16" ht="12" customHeight="1">
      <c r="B31" s="549"/>
      <c r="C31" s="620" t="s">
        <v>1054</v>
      </c>
      <c r="D31" s="617"/>
      <c r="E31" s="618"/>
      <c r="F31" s="618"/>
      <c r="G31" s="613"/>
      <c r="H31" s="614"/>
      <c r="I31" s="12"/>
      <c r="K31" s="560"/>
      <c r="M31" s="559"/>
      <c r="N31" s="621"/>
      <c r="O31" s="549"/>
      <c r="P31" s="549"/>
    </row>
    <row r="32" spans="2:16" ht="12" customHeight="1">
      <c r="B32" s="549"/>
      <c r="C32" s="626" t="s">
        <v>731</v>
      </c>
      <c r="D32" s="43"/>
      <c r="E32" s="46"/>
      <c r="F32" s="46"/>
      <c r="G32" s="12"/>
      <c r="H32" s="12"/>
      <c r="I32" s="12"/>
      <c r="K32" s="560"/>
      <c r="M32" s="559"/>
      <c r="N32" s="621"/>
      <c r="O32" s="549"/>
      <c r="P32" s="549"/>
    </row>
    <row r="33" spans="2:16" ht="12" customHeight="1" thickBot="1">
      <c r="B33" s="549"/>
      <c r="C33" s="54"/>
      <c r="D33" s="55"/>
      <c r="E33" s="55"/>
      <c r="F33" s="55"/>
      <c r="G33" s="56"/>
      <c r="H33" s="56"/>
      <c r="I33" s="56"/>
      <c r="J33" s="56"/>
      <c r="K33" s="622"/>
      <c r="L33" s="623"/>
      <c r="M33" s="624"/>
      <c r="N33" s="625"/>
      <c r="O33" s="549"/>
      <c r="P33" s="549"/>
    </row>
    <row r="34" spans="2:16" ht="12" customHeight="1" thickBot="1">
      <c r="B34" s="549"/>
      <c r="G34" s="23"/>
      <c r="H34" s="18"/>
      <c r="I34" s="12"/>
      <c r="J34" s="12"/>
      <c r="K34" s="549"/>
      <c r="L34" s="9"/>
      <c r="M34" s="608"/>
      <c r="N34" s="549"/>
      <c r="O34" s="549"/>
    </row>
    <row r="35" spans="2:16" ht="12" customHeight="1">
      <c r="B35" s="549"/>
      <c r="C35" s="57"/>
      <c r="D35" s="58"/>
      <c r="E35" s="58"/>
      <c r="F35" s="59" t="s">
        <v>1055</v>
      </c>
      <c r="G35" s="60"/>
      <c r="H35" s="60"/>
      <c r="I35" s="60"/>
      <c r="J35" s="61"/>
      <c r="K35" s="62"/>
      <c r="L35" s="62"/>
      <c r="M35" s="61"/>
      <c r="N35" s="627"/>
      <c r="O35" s="549"/>
    </row>
    <row r="36" spans="2:16" ht="12" customHeight="1">
      <c r="B36" s="549"/>
      <c r="C36" s="51"/>
      <c r="D36" s="43"/>
      <c r="E36" s="47"/>
      <c r="F36" s="48" t="s">
        <v>1056</v>
      </c>
      <c r="G36" s="44"/>
      <c r="H36" s="44"/>
      <c r="I36" s="44"/>
      <c r="J36" s="49"/>
      <c r="K36" s="50"/>
      <c r="L36" s="50"/>
      <c r="M36" s="49"/>
      <c r="N36" s="628"/>
      <c r="O36" s="549"/>
    </row>
    <row r="37" spans="2:16" ht="12" customHeight="1">
      <c r="B37" s="549"/>
      <c r="C37" s="63"/>
      <c r="D37" s="43"/>
      <c r="E37" s="47"/>
      <c r="F37" s="44"/>
      <c r="G37" s="44"/>
      <c r="H37" s="44"/>
      <c r="I37" s="44"/>
      <c r="J37" s="49"/>
      <c r="K37" s="50"/>
      <c r="L37" s="50"/>
      <c r="M37" s="49"/>
      <c r="N37" s="628"/>
      <c r="O37" s="549"/>
    </row>
    <row r="38" spans="2:16" ht="12" customHeight="1">
      <c r="B38" s="549"/>
      <c r="C38" s="64" t="s">
        <v>1057</v>
      </c>
      <c r="D38" s="48"/>
      <c r="E38" s="43"/>
      <c r="F38" s="48" t="s">
        <v>1058</v>
      </c>
      <c r="G38" s="43" t="s">
        <v>1059</v>
      </c>
      <c r="H38" s="48" t="s">
        <v>1060</v>
      </c>
      <c r="I38" s="43"/>
      <c r="J38" s="43"/>
      <c r="K38" s="50"/>
      <c r="L38" s="50"/>
      <c r="M38" s="49"/>
      <c r="N38" s="628"/>
      <c r="O38" s="549"/>
    </row>
    <row r="39" spans="2:16" ht="12" customHeight="1">
      <c r="B39" s="549"/>
      <c r="C39" s="64" t="s">
        <v>1061</v>
      </c>
      <c r="D39" s="45"/>
      <c r="E39" s="44"/>
      <c r="F39" s="49" t="s">
        <v>1062</v>
      </c>
      <c r="G39" s="49" t="s">
        <v>1063</v>
      </c>
      <c r="H39" s="43" t="s">
        <v>1064</v>
      </c>
      <c r="I39" s="44"/>
      <c r="J39" s="43"/>
      <c r="K39" s="50"/>
      <c r="L39" s="50"/>
      <c r="M39" s="49"/>
      <c r="N39" s="628"/>
      <c r="O39" s="549"/>
    </row>
    <row r="40" spans="2:16" ht="12" customHeight="1">
      <c r="B40" s="549"/>
      <c r="C40" s="64" t="s">
        <v>1065</v>
      </c>
      <c r="D40" s="45"/>
      <c r="E40" s="44"/>
      <c r="F40" s="49" t="s">
        <v>1066</v>
      </c>
      <c r="G40" s="49" t="s">
        <v>1063</v>
      </c>
      <c r="H40" s="43" t="s">
        <v>1067</v>
      </c>
      <c r="I40" s="44"/>
      <c r="J40" s="43"/>
      <c r="K40" s="50"/>
      <c r="L40" s="50"/>
      <c r="M40" s="49"/>
      <c r="N40" s="628"/>
      <c r="O40" s="549"/>
    </row>
    <row r="41" spans="2:16" ht="12" customHeight="1">
      <c r="B41" s="549"/>
      <c r="C41" s="64" t="s">
        <v>1068</v>
      </c>
      <c r="D41" s="45"/>
      <c r="E41" s="44"/>
      <c r="F41" s="49" t="s">
        <v>1069</v>
      </c>
      <c r="G41" s="49" t="s">
        <v>1063</v>
      </c>
      <c r="H41" s="43" t="s">
        <v>1070</v>
      </c>
      <c r="I41" s="44"/>
      <c r="J41" s="43"/>
      <c r="K41" s="50"/>
      <c r="L41" s="50"/>
      <c r="M41" s="49"/>
      <c r="N41" s="628"/>
      <c r="O41" s="549"/>
    </row>
    <row r="42" spans="2:16" ht="12" customHeight="1">
      <c r="B42" s="549"/>
      <c r="C42" s="64" t="s">
        <v>1071</v>
      </c>
      <c r="D42" s="45"/>
      <c r="E42" s="44"/>
      <c r="F42" s="49" t="s">
        <v>1072</v>
      </c>
      <c r="G42" s="49" t="s">
        <v>1063</v>
      </c>
      <c r="H42" s="43"/>
      <c r="I42" s="44"/>
      <c r="J42" s="76"/>
      <c r="K42" s="50"/>
      <c r="L42" s="50"/>
      <c r="M42" s="49"/>
      <c r="N42" s="628"/>
      <c r="O42" s="549"/>
    </row>
    <row r="43" spans="2:16" ht="12" customHeight="1">
      <c r="B43" s="549"/>
      <c r="C43" s="64" t="s">
        <v>1073</v>
      </c>
      <c r="D43" s="45"/>
      <c r="E43" s="44"/>
      <c r="F43" s="49" t="s">
        <v>1074</v>
      </c>
      <c r="G43" s="49" t="s">
        <v>1063</v>
      </c>
      <c r="H43" s="43" t="s">
        <v>1075</v>
      </c>
      <c r="I43" s="44"/>
      <c r="J43" s="76"/>
      <c r="K43" s="50"/>
      <c r="L43" s="50"/>
      <c r="M43" s="49"/>
      <c r="N43" s="628"/>
      <c r="O43" s="549"/>
    </row>
    <row r="44" spans="2:16" ht="12" customHeight="1">
      <c r="B44" s="549"/>
      <c r="C44" s="64" t="s">
        <v>1076</v>
      </c>
      <c r="D44" s="45"/>
      <c r="E44" s="44"/>
      <c r="F44" s="49" t="s">
        <v>1069</v>
      </c>
      <c r="G44" s="49" t="s">
        <v>1077</v>
      </c>
      <c r="H44" s="43"/>
      <c r="I44" s="44"/>
      <c r="J44" s="76"/>
      <c r="K44" s="50"/>
      <c r="L44" s="50"/>
      <c r="M44" s="49"/>
      <c r="N44" s="628"/>
      <c r="O44" s="549"/>
    </row>
    <row r="45" spans="2:16" ht="12" customHeight="1">
      <c r="B45" s="549"/>
      <c r="C45" s="64"/>
      <c r="D45" s="45"/>
      <c r="E45" s="44"/>
      <c r="F45" s="49"/>
      <c r="G45" s="49"/>
      <c r="H45" s="43"/>
      <c r="I45" s="44"/>
      <c r="J45" s="76"/>
      <c r="K45" s="50"/>
      <c r="L45" s="50"/>
      <c r="M45" s="49"/>
      <c r="N45" s="628"/>
      <c r="O45" s="549"/>
    </row>
    <row r="46" spans="2:16">
      <c r="B46" s="549"/>
      <c r="C46" s="629" t="s">
        <v>1078</v>
      </c>
      <c r="D46" s="630" t="s">
        <v>937</v>
      </c>
      <c r="E46" s="44"/>
      <c r="F46" s="49"/>
      <c r="G46" s="49"/>
      <c r="H46" s="43"/>
      <c r="I46" s="44"/>
      <c r="J46" s="76"/>
      <c r="K46" s="50"/>
      <c r="L46" s="50"/>
      <c r="M46" s="49"/>
      <c r="N46" s="628"/>
      <c r="O46" s="549"/>
    </row>
    <row r="47" spans="2:16">
      <c r="B47" s="549"/>
      <c r="C47" s="629"/>
      <c r="D47" s="630"/>
      <c r="E47" s="44"/>
      <c r="F47" s="49"/>
      <c r="G47" s="49"/>
      <c r="H47" s="43"/>
      <c r="I47" s="44"/>
      <c r="J47" s="76"/>
      <c r="K47" s="50"/>
      <c r="L47" s="50"/>
      <c r="M47" s="49"/>
      <c r="N47" s="628"/>
      <c r="O47" s="549"/>
    </row>
    <row r="48" spans="2:16" ht="12" customHeight="1">
      <c r="B48" s="549"/>
      <c r="C48" s="51" t="s">
        <v>1079</v>
      </c>
      <c r="D48" s="51"/>
      <c r="E48" s="51"/>
      <c r="F48" s="51"/>
      <c r="G48" s="51"/>
      <c r="H48" s="51"/>
      <c r="I48" s="51"/>
      <c r="J48" s="51"/>
      <c r="K48" s="51"/>
      <c r="L48" s="43"/>
      <c r="M48" s="49"/>
      <c r="N48" s="628"/>
      <c r="O48" s="549"/>
    </row>
    <row r="49" spans="2:15" ht="12" customHeight="1">
      <c r="B49" s="549"/>
      <c r="C49" s="51" t="s">
        <v>1080</v>
      </c>
      <c r="D49" s="51"/>
      <c r="E49" s="51"/>
      <c r="F49" s="51"/>
      <c r="G49" s="51"/>
      <c r="H49" s="51"/>
      <c r="I49" s="51"/>
      <c r="J49" s="51"/>
      <c r="K49" s="51"/>
      <c r="L49" s="51"/>
      <c r="M49" s="49"/>
      <c r="N49" s="628"/>
      <c r="O49" s="549"/>
    </row>
    <row r="50" spans="2:15" ht="12" customHeight="1" thickBot="1">
      <c r="B50" s="549"/>
      <c r="C50" s="85"/>
      <c r="D50" s="86"/>
      <c r="E50" s="631"/>
      <c r="F50" s="631"/>
      <c r="G50" s="631"/>
      <c r="H50" s="631"/>
      <c r="I50" s="631"/>
      <c r="J50" s="631"/>
      <c r="K50" s="631"/>
      <c r="L50" s="631"/>
      <c r="M50" s="631"/>
      <c r="N50" s="632"/>
      <c r="O50" s="549"/>
    </row>
    <row r="51" spans="2:15" ht="12" customHeight="1" thickBot="1">
      <c r="B51" s="549"/>
      <c r="C51" s="24"/>
      <c r="D51" s="24"/>
      <c r="E51" s="24"/>
      <c r="F51" s="24"/>
      <c r="G51" s="24"/>
      <c r="H51" s="24"/>
      <c r="I51" s="24"/>
      <c r="J51" s="24"/>
      <c r="K51" s="24"/>
      <c r="L51" s="608"/>
      <c r="M51" s="549"/>
      <c r="N51" s="549"/>
      <c r="O51" s="549"/>
    </row>
    <row r="52" spans="2:15" ht="12" customHeight="1">
      <c r="B52" s="549"/>
      <c r="C52" s="68" t="s">
        <v>1081</v>
      </c>
      <c r="D52" s="69"/>
      <c r="E52" s="60"/>
      <c r="F52" s="58"/>
      <c r="G52" s="58"/>
      <c r="H52" s="58"/>
      <c r="I52" s="58"/>
      <c r="J52" s="58"/>
      <c r="K52" s="58"/>
      <c r="L52" s="62"/>
      <c r="M52" s="61"/>
      <c r="N52" s="70"/>
      <c r="O52" s="549"/>
    </row>
    <row r="53" spans="2:15" ht="12" customHeight="1">
      <c r="B53" s="549"/>
      <c r="C53" s="64" t="s">
        <v>1082</v>
      </c>
      <c r="D53" s="45"/>
      <c r="E53" s="43"/>
      <c r="F53" s="48" t="s">
        <v>1062</v>
      </c>
      <c r="G53" s="43"/>
      <c r="H53" s="43"/>
      <c r="I53" s="43"/>
      <c r="J53" s="43"/>
      <c r="K53" s="43"/>
      <c r="L53" s="50"/>
      <c r="M53" s="49"/>
      <c r="N53" s="71"/>
      <c r="O53" s="549"/>
    </row>
    <row r="54" spans="2:15" ht="12" customHeight="1">
      <c r="B54" s="549"/>
      <c r="C54" s="53" t="s">
        <v>1083</v>
      </c>
      <c r="D54" s="45"/>
      <c r="E54" s="43"/>
      <c r="F54" s="48" t="s">
        <v>1084</v>
      </c>
      <c r="G54" s="44"/>
      <c r="H54" s="44"/>
      <c r="I54" s="44"/>
      <c r="J54" s="49"/>
      <c r="K54" s="43"/>
      <c r="L54" s="50"/>
      <c r="M54" s="49"/>
      <c r="N54" s="71"/>
      <c r="O54" s="549"/>
    </row>
    <row r="55" spans="2:15" ht="12" customHeight="1" thickBot="1">
      <c r="B55" s="549"/>
      <c r="C55" s="72" t="s">
        <v>1085</v>
      </c>
      <c r="D55" s="73"/>
      <c r="E55" s="65"/>
      <c r="F55" s="74" t="s">
        <v>1086</v>
      </c>
      <c r="G55" s="65"/>
      <c r="H55" s="66"/>
      <c r="I55" s="66"/>
      <c r="J55" s="67"/>
      <c r="K55" s="66"/>
      <c r="L55" s="66"/>
      <c r="M55" s="67"/>
      <c r="N55" s="75"/>
      <c r="O55" s="549"/>
    </row>
    <row r="56" spans="2:15" ht="12" customHeight="1" thickBot="1">
      <c r="B56" s="549"/>
      <c r="C56" s="26"/>
      <c r="D56" s="26"/>
      <c r="E56" s="26"/>
      <c r="F56" s="24"/>
      <c r="G56" s="24"/>
      <c r="H56" s="27"/>
      <c r="I56" s="27"/>
      <c r="J56" s="25"/>
      <c r="K56" s="27"/>
      <c r="L56" s="608"/>
      <c r="M56" s="549"/>
      <c r="N56" s="549"/>
      <c r="O56" s="549"/>
    </row>
    <row r="57" spans="2:15" ht="12" customHeight="1">
      <c r="C57" s="77"/>
      <c r="D57" s="58"/>
      <c r="E57" s="58"/>
      <c r="F57" s="58"/>
      <c r="G57" s="58"/>
      <c r="H57" s="61"/>
      <c r="I57" s="61"/>
      <c r="J57" s="61"/>
      <c r="K57" s="61"/>
      <c r="L57" s="58"/>
      <c r="M57" s="58"/>
      <c r="N57" s="78"/>
    </row>
    <row r="58" spans="2:15" ht="12" customHeight="1">
      <c r="C58" s="79"/>
      <c r="D58" s="43"/>
      <c r="E58" s="43"/>
      <c r="F58" s="43"/>
      <c r="G58" s="43"/>
      <c r="H58" s="50"/>
      <c r="I58" s="50"/>
      <c r="J58" s="49"/>
      <c r="K58" s="49"/>
      <c r="L58" s="43"/>
      <c r="M58" s="43"/>
      <c r="N58" s="52"/>
    </row>
    <row r="59" spans="2:15" ht="12" customHeight="1">
      <c r="C59" s="80" t="s">
        <v>1087</v>
      </c>
      <c r="D59" s="43" t="s">
        <v>1088</v>
      </c>
      <c r="E59" s="76"/>
      <c r="F59" s="76"/>
      <c r="G59" s="76"/>
      <c r="H59" s="76"/>
      <c r="I59" s="76"/>
      <c r="J59" s="76"/>
      <c r="K59" s="43"/>
      <c r="L59" s="43"/>
      <c r="M59" s="43"/>
      <c r="N59" s="52"/>
    </row>
    <row r="60" spans="2:15" ht="12" customHeight="1">
      <c r="C60" s="51"/>
      <c r="D60" s="49" t="s">
        <v>1089</v>
      </c>
      <c r="E60" s="76"/>
      <c r="F60" s="76"/>
      <c r="G60" s="76"/>
      <c r="H60" s="76"/>
      <c r="I60" s="76"/>
      <c r="J60" s="76"/>
      <c r="K60" s="76"/>
      <c r="L60" s="43"/>
      <c r="M60" s="43"/>
      <c r="N60" s="52"/>
    </row>
    <row r="61" spans="2:15" ht="12" customHeight="1">
      <c r="B61" s="549"/>
      <c r="C61" s="51"/>
      <c r="D61" s="49" t="s">
        <v>1090</v>
      </c>
      <c r="E61" s="76"/>
      <c r="F61" s="76"/>
      <c r="G61" s="76"/>
      <c r="H61" s="76"/>
      <c r="I61" s="76"/>
      <c r="J61" s="76"/>
      <c r="K61" s="76"/>
      <c r="L61" s="50"/>
      <c r="M61" s="49"/>
      <c r="N61" s="71"/>
      <c r="O61" s="549"/>
    </row>
    <row r="62" spans="2:15" ht="12" customHeight="1">
      <c r="B62" s="549"/>
      <c r="C62" s="51"/>
      <c r="D62" s="44"/>
      <c r="E62" s="76"/>
      <c r="F62" s="76"/>
      <c r="G62" s="76"/>
      <c r="H62" s="76"/>
      <c r="I62" s="76"/>
      <c r="J62" s="76"/>
      <c r="K62" s="76"/>
      <c r="L62" s="50"/>
      <c r="M62" s="49"/>
      <c r="N62" s="71"/>
      <c r="O62" s="549"/>
    </row>
    <row r="63" spans="2:15" ht="12" customHeight="1">
      <c r="B63" s="549"/>
      <c r="C63" s="53" t="s">
        <v>1091</v>
      </c>
      <c r="D63" s="43" t="s">
        <v>1092</v>
      </c>
      <c r="E63" s="76"/>
      <c r="F63" s="76"/>
      <c r="G63" s="76"/>
      <c r="H63" s="76"/>
      <c r="I63" s="76"/>
      <c r="J63" s="76"/>
      <c r="K63" s="76"/>
      <c r="L63" s="50"/>
      <c r="M63" s="49"/>
      <c r="N63" s="71"/>
      <c r="O63" s="549"/>
    </row>
    <row r="64" spans="2:15" ht="12" customHeight="1">
      <c r="B64" s="549"/>
      <c r="C64" s="51"/>
      <c r="D64" s="43" t="s">
        <v>1093</v>
      </c>
      <c r="E64" s="76"/>
      <c r="F64" s="76"/>
      <c r="G64" s="76"/>
      <c r="H64" s="76"/>
      <c r="I64" s="76"/>
      <c r="J64" s="76"/>
      <c r="K64" s="76"/>
      <c r="L64" s="50"/>
      <c r="M64" s="49"/>
      <c r="N64" s="71"/>
      <c r="O64" s="549"/>
    </row>
    <row r="65" spans="2:15" ht="12" customHeight="1">
      <c r="B65" s="549"/>
      <c r="C65" s="51"/>
      <c r="D65" s="43" t="s">
        <v>1094</v>
      </c>
      <c r="E65" s="76"/>
      <c r="F65" s="76"/>
      <c r="G65" s="76"/>
      <c r="H65" s="76"/>
      <c r="I65" s="76"/>
      <c r="J65" s="76"/>
      <c r="K65" s="76"/>
      <c r="L65" s="50"/>
      <c r="M65" s="49"/>
      <c r="N65" s="71"/>
      <c r="O65" s="549"/>
    </row>
    <row r="66" spans="2:15" ht="12" customHeight="1">
      <c r="B66" s="549"/>
      <c r="C66" s="51"/>
      <c r="D66" s="43" t="s">
        <v>1095</v>
      </c>
      <c r="E66" s="76"/>
      <c r="F66" s="76"/>
      <c r="G66" s="76"/>
      <c r="H66" s="76"/>
      <c r="I66" s="76"/>
      <c r="J66" s="76"/>
      <c r="K66" s="76"/>
      <c r="L66" s="50"/>
      <c r="M66" s="49"/>
      <c r="N66" s="71"/>
      <c r="O66" s="549"/>
    </row>
    <row r="67" spans="2:15" ht="12" customHeight="1">
      <c r="B67" s="549"/>
      <c r="C67" s="51"/>
      <c r="D67" s="43" t="s">
        <v>1096</v>
      </c>
      <c r="E67" s="76"/>
      <c r="F67" s="76"/>
      <c r="G67" s="76"/>
      <c r="H67" s="76"/>
      <c r="I67" s="76"/>
      <c r="J67" s="76"/>
      <c r="K67" s="76"/>
      <c r="L67" s="50"/>
      <c r="M67" s="49"/>
      <c r="N67" s="71"/>
      <c r="O67" s="549"/>
    </row>
    <row r="68" spans="2:15" ht="12" customHeight="1">
      <c r="B68" s="549"/>
      <c r="C68" s="51"/>
      <c r="D68" s="43" t="s">
        <v>1097</v>
      </c>
      <c r="E68" s="76"/>
      <c r="F68" s="76"/>
      <c r="G68" s="76"/>
      <c r="H68" s="76"/>
      <c r="I68" s="76"/>
      <c r="J68" s="76"/>
      <c r="K68" s="76"/>
      <c r="L68" s="50"/>
      <c r="M68" s="49"/>
      <c r="N68" s="71"/>
      <c r="O68" s="549"/>
    </row>
    <row r="69" spans="2:15" ht="12" customHeight="1">
      <c r="B69" s="549"/>
      <c r="C69" s="53"/>
      <c r="D69" s="43"/>
      <c r="E69" s="76"/>
      <c r="F69" s="43"/>
      <c r="G69" s="76"/>
      <c r="H69" s="49"/>
      <c r="I69" s="76"/>
      <c r="J69" s="76"/>
      <c r="K69" s="76"/>
      <c r="L69" s="50"/>
      <c r="M69" s="49"/>
      <c r="N69" s="71"/>
      <c r="O69" s="549"/>
    </row>
    <row r="70" spans="2:15" ht="12" customHeight="1">
      <c r="C70" s="53" t="s">
        <v>1098</v>
      </c>
      <c r="D70" s="279" t="s">
        <v>1099</v>
      </c>
      <c r="E70" s="43"/>
      <c r="F70" s="43"/>
      <c r="G70" s="43"/>
      <c r="J70" s="43"/>
      <c r="K70" s="43"/>
      <c r="L70" s="46"/>
      <c r="M70" s="43"/>
      <c r="N70" s="52"/>
    </row>
    <row r="71" spans="2:15" ht="12" customHeight="1">
      <c r="C71" s="51"/>
      <c r="D71" s="43"/>
      <c r="E71" s="43"/>
      <c r="F71" s="43"/>
      <c r="G71" s="43"/>
      <c r="H71" s="43"/>
      <c r="I71" s="43"/>
      <c r="J71" s="43"/>
      <c r="K71" s="43"/>
      <c r="L71" s="46"/>
      <c r="M71" s="43"/>
      <c r="N71" s="52"/>
    </row>
    <row r="72" spans="2:15" ht="12" customHeight="1">
      <c r="C72" s="53" t="s">
        <v>1100</v>
      </c>
      <c r="D72" s="43" t="s">
        <v>1101</v>
      </c>
      <c r="E72" s="43"/>
      <c r="F72" s="43"/>
      <c r="G72" s="43"/>
      <c r="H72" s="43"/>
      <c r="I72" s="43"/>
      <c r="J72" s="43"/>
      <c r="K72" s="43"/>
      <c r="L72" s="46"/>
      <c r="M72" s="43"/>
      <c r="N72" s="52"/>
    </row>
    <row r="73" spans="2:15" ht="12" customHeight="1">
      <c r="C73" s="51"/>
      <c r="D73" s="43" t="s">
        <v>1102</v>
      </c>
      <c r="E73" s="43"/>
      <c r="F73" s="43"/>
      <c r="G73" s="43"/>
      <c r="H73" s="43"/>
      <c r="I73" s="43"/>
      <c r="J73" s="43"/>
      <c r="K73" s="43"/>
      <c r="L73" s="46"/>
      <c r="M73" s="43"/>
      <c r="N73" s="52"/>
    </row>
    <row r="74" spans="2:15" ht="12" customHeight="1">
      <c r="C74" s="51"/>
      <c r="D74" s="43" t="s">
        <v>1103</v>
      </c>
      <c r="E74" s="43"/>
      <c r="F74" s="43"/>
      <c r="G74" s="43"/>
      <c r="H74" s="43"/>
      <c r="I74" s="43"/>
      <c r="J74" s="43"/>
      <c r="K74" s="43"/>
      <c r="L74" s="46"/>
      <c r="M74" s="43"/>
      <c r="N74" s="52"/>
    </row>
    <row r="75" spans="2:15" ht="12" customHeight="1">
      <c r="C75" s="51"/>
      <c r="D75" s="43" t="s">
        <v>1104</v>
      </c>
      <c r="E75" s="43"/>
      <c r="F75" s="43"/>
      <c r="G75" s="43"/>
      <c r="H75" s="43"/>
      <c r="I75" s="43"/>
      <c r="J75" s="43"/>
      <c r="K75" s="43"/>
      <c r="L75" s="46"/>
      <c r="M75" s="43"/>
      <c r="N75" s="52"/>
    </row>
    <row r="76" spans="2:15" ht="12" customHeight="1">
      <c r="C76" s="51"/>
      <c r="D76" s="43" t="s">
        <v>1105</v>
      </c>
      <c r="E76" s="43"/>
      <c r="F76" s="43"/>
      <c r="G76" s="43"/>
      <c r="H76" s="43"/>
      <c r="I76" s="43"/>
      <c r="J76" s="43"/>
      <c r="K76" s="43"/>
      <c r="L76" s="46"/>
      <c r="M76" s="43"/>
      <c r="N76" s="52"/>
    </row>
    <row r="77" spans="2:15" ht="12" customHeight="1">
      <c r="C77" s="51"/>
      <c r="D77" s="43" t="s">
        <v>1106</v>
      </c>
      <c r="E77" s="43"/>
      <c r="F77" s="43"/>
      <c r="G77" s="43"/>
      <c r="H77" s="43"/>
      <c r="I77" s="43"/>
      <c r="J77" s="43"/>
      <c r="K77" s="43"/>
      <c r="L77" s="46"/>
      <c r="M77" s="43"/>
      <c r="N77" s="52"/>
    </row>
    <row r="78" spans="2:15" ht="12" customHeight="1">
      <c r="C78" s="51"/>
      <c r="D78" s="43"/>
      <c r="E78" s="43"/>
      <c r="F78" s="43"/>
      <c r="G78" s="43"/>
      <c r="H78" s="43"/>
      <c r="I78" s="43"/>
      <c r="J78" s="43"/>
      <c r="K78" s="43"/>
      <c r="L78" s="46"/>
      <c r="M78" s="43"/>
      <c r="N78" s="52"/>
    </row>
    <row r="79" spans="2:15" ht="12" customHeight="1">
      <c r="C79" s="51"/>
      <c r="N79" s="610"/>
    </row>
    <row r="80" spans="2:15" ht="12" customHeight="1">
      <c r="C80" s="53" t="s">
        <v>1107</v>
      </c>
      <c r="D80" s="633" t="s">
        <v>1108</v>
      </c>
      <c r="N80" s="610"/>
    </row>
    <row r="81" spans="3:14" ht="12" customHeight="1">
      <c r="C81" s="51"/>
      <c r="N81" s="610"/>
    </row>
    <row r="82" spans="3:14" ht="12" customHeight="1">
      <c r="C82" s="53" t="s">
        <v>1109</v>
      </c>
      <c r="D82" s="43"/>
      <c r="E82" s="43"/>
      <c r="F82" s="43"/>
      <c r="G82" s="43"/>
      <c r="H82" s="43"/>
      <c r="I82" s="43"/>
      <c r="N82" s="610"/>
    </row>
    <row r="83" spans="3:14" ht="12" customHeight="1">
      <c r="C83" s="51"/>
      <c r="D83" s="43" t="s">
        <v>1110</v>
      </c>
      <c r="E83" s="43"/>
      <c r="F83" s="43"/>
      <c r="G83" s="43"/>
      <c r="H83" s="43"/>
      <c r="I83" s="43"/>
      <c r="N83" s="610"/>
    </row>
    <row r="84" spans="3:14" ht="12" customHeight="1">
      <c r="C84" s="51"/>
      <c r="D84" s="43" t="s">
        <v>1111</v>
      </c>
      <c r="E84" s="43"/>
      <c r="F84" s="43"/>
      <c r="G84" s="43"/>
      <c r="H84" s="43"/>
      <c r="I84" s="43"/>
      <c r="N84" s="610"/>
    </row>
    <row r="85" spans="3:14" ht="12" customHeight="1">
      <c r="C85" s="51"/>
      <c r="D85" s="43" t="s">
        <v>1112</v>
      </c>
      <c r="E85" s="43"/>
      <c r="F85" s="43"/>
      <c r="G85" s="43"/>
      <c r="H85" s="43"/>
      <c r="I85" s="43"/>
      <c r="N85" s="610"/>
    </row>
    <row r="86" spans="3:14" ht="12" customHeight="1">
      <c r="C86" s="51"/>
      <c r="D86" s="43"/>
      <c r="E86" s="43"/>
      <c r="F86" s="43"/>
      <c r="G86" s="43"/>
      <c r="H86" s="43"/>
      <c r="I86" s="43"/>
      <c r="N86" s="610"/>
    </row>
    <row r="87" spans="3:14" ht="12" customHeight="1">
      <c r="C87" s="51"/>
      <c r="D87" s="43"/>
      <c r="E87" s="43"/>
      <c r="F87" s="43"/>
      <c r="G87" s="43"/>
      <c r="H87" s="43"/>
      <c r="I87" s="43"/>
      <c r="N87" s="610"/>
    </row>
    <row r="88" spans="3:14" ht="12" customHeight="1">
      <c r="C88" s="81" t="s">
        <v>1113</v>
      </c>
      <c r="D88" s="43"/>
      <c r="E88" s="43"/>
      <c r="F88" s="43"/>
      <c r="G88" s="43"/>
      <c r="H88" s="43"/>
      <c r="I88" s="43"/>
      <c r="N88" s="610"/>
    </row>
    <row r="89" spans="3:14" ht="12" customHeight="1">
      <c r="C89" s="51"/>
      <c r="N89" s="610"/>
    </row>
    <row r="90" spans="3:14" ht="12" customHeight="1">
      <c r="C90" s="51"/>
      <c r="D90" s="43" t="s">
        <v>1114</v>
      </c>
      <c r="E90" s="634" t="s">
        <v>1115</v>
      </c>
      <c r="N90" s="610"/>
    </row>
    <row r="91" spans="3:14" ht="12" customHeight="1">
      <c r="C91" s="51"/>
      <c r="N91" s="610"/>
    </row>
    <row r="92" spans="3:14" ht="12" customHeight="1">
      <c r="C92" s="51"/>
      <c r="E92" s="43" t="s">
        <v>1116</v>
      </c>
      <c r="N92" s="610"/>
    </row>
    <row r="93" spans="3:14" ht="12" customHeight="1" thickBot="1">
      <c r="C93" s="82"/>
      <c r="D93" s="118"/>
      <c r="E93" s="83"/>
      <c r="F93" s="83"/>
      <c r="G93" s="83"/>
      <c r="H93" s="83"/>
      <c r="I93" s="83"/>
      <c r="J93" s="83"/>
      <c r="K93" s="83"/>
      <c r="L93" s="83"/>
      <c r="M93" s="83"/>
      <c r="N93" s="635"/>
    </row>
    <row r="94" spans="3:14" ht="12.75" customHeight="1" thickBot="1"/>
    <row r="95" spans="3:14" ht="12.75" customHeight="1">
      <c r="C95" s="204" t="s">
        <v>1117</v>
      </c>
      <c r="D95" s="636"/>
      <c r="E95" s="636"/>
      <c r="F95" s="636"/>
      <c r="G95" s="636"/>
      <c r="H95" s="636"/>
      <c r="I95" s="636"/>
      <c r="J95" s="636"/>
      <c r="K95" s="636"/>
      <c r="L95" s="637"/>
      <c r="M95" s="636"/>
      <c r="N95" s="638"/>
    </row>
    <row r="96" spans="3:14" ht="12.75" customHeight="1">
      <c r="C96" s="205" t="s">
        <v>1118</v>
      </c>
      <c r="N96" s="639"/>
    </row>
    <row r="97" spans="3:16" ht="12.75" customHeight="1">
      <c r="C97" s="205" t="s">
        <v>1119</v>
      </c>
      <c r="D97" s="43"/>
      <c r="E97" s="43"/>
      <c r="F97" s="43"/>
      <c r="G97" s="43"/>
      <c r="H97" s="43"/>
      <c r="I97" s="43"/>
      <c r="J97" s="43"/>
      <c r="K97" s="43"/>
      <c r="L97" s="43"/>
      <c r="N97" s="639"/>
    </row>
    <row r="98" spans="3:16" ht="12.75" customHeight="1">
      <c r="C98" s="205" t="s">
        <v>1120</v>
      </c>
      <c r="D98" s="43"/>
      <c r="E98" s="43"/>
      <c r="F98" s="43"/>
      <c r="G98" s="43"/>
      <c r="H98" s="43"/>
      <c r="I98" s="43"/>
      <c r="J98" s="43"/>
      <c r="K98" s="43"/>
      <c r="L98" s="43"/>
      <c r="N98" s="639"/>
    </row>
    <row r="99" spans="3:16" ht="12.75" customHeight="1">
      <c r="C99" s="205" t="s">
        <v>1121</v>
      </c>
      <c r="D99" s="43"/>
      <c r="E99" s="43"/>
      <c r="F99" s="43"/>
      <c r="G99" s="43"/>
      <c r="H99" s="43"/>
      <c r="I99" s="43"/>
      <c r="J99" s="43"/>
      <c r="K99" s="43"/>
      <c r="L99" s="43"/>
      <c r="N99" s="639"/>
    </row>
    <row r="100" spans="3:16" ht="12.75" customHeight="1">
      <c r="C100" s="205" t="s">
        <v>1122</v>
      </c>
      <c r="D100" s="43"/>
      <c r="E100" s="43"/>
      <c r="F100" s="43"/>
      <c r="G100" s="43"/>
      <c r="H100" s="43"/>
      <c r="I100" s="43"/>
      <c r="J100" s="43"/>
      <c r="K100" s="43"/>
      <c r="L100" s="43"/>
      <c r="N100" s="639"/>
    </row>
    <row r="101" spans="3:16" ht="12.75" customHeight="1">
      <c r="C101" s="205" t="s">
        <v>1123</v>
      </c>
      <c r="N101" s="639"/>
    </row>
    <row r="102" spans="3:16" ht="12" customHeight="1" thickBot="1">
      <c r="C102" s="206" t="s">
        <v>1124</v>
      </c>
      <c r="D102" s="640"/>
      <c r="E102" s="640"/>
      <c r="F102" s="640"/>
      <c r="G102" s="640"/>
      <c r="H102" s="640"/>
      <c r="I102" s="640"/>
      <c r="J102" s="640"/>
      <c r="K102" s="640"/>
      <c r="L102" s="641"/>
      <c r="M102" s="640"/>
      <c r="N102" s="642"/>
    </row>
    <row r="103" spans="3:16" ht="12" customHeight="1" thickBot="1">
      <c r="N103" s="623"/>
      <c r="P103" s="643"/>
    </row>
    <row r="104" spans="3:16" ht="12" customHeight="1">
      <c r="C104" s="644"/>
      <c r="D104" s="645"/>
      <c r="E104" s="645"/>
      <c r="F104" s="645"/>
      <c r="G104" s="645"/>
      <c r="H104" s="645"/>
      <c r="I104" s="645"/>
      <c r="J104" s="645"/>
      <c r="K104" s="645"/>
      <c r="L104" s="646"/>
      <c r="M104" s="645"/>
      <c r="N104" s="647"/>
      <c r="P104" s="643"/>
    </row>
    <row r="105" spans="3:16" ht="12" customHeight="1">
      <c r="C105" s="1226" t="s">
        <v>1125</v>
      </c>
      <c r="D105" s="1227"/>
      <c r="E105" s="1227"/>
      <c r="F105" s="1227"/>
      <c r="G105" s="1227"/>
      <c r="H105" s="1227"/>
      <c r="I105" s="1227"/>
      <c r="J105" s="1227"/>
      <c r="K105" s="1227"/>
      <c r="L105" s="1227"/>
      <c r="M105" s="1227"/>
      <c r="N105" s="1228"/>
      <c r="P105" s="643"/>
    </row>
    <row r="106" spans="3:16" ht="12" customHeight="1">
      <c r="C106" s="1226"/>
      <c r="D106" s="1227"/>
      <c r="E106" s="1227"/>
      <c r="F106" s="1227"/>
      <c r="G106" s="1227"/>
      <c r="H106" s="1227"/>
      <c r="I106" s="1227"/>
      <c r="J106" s="1227"/>
      <c r="K106" s="1227"/>
      <c r="L106" s="1227"/>
      <c r="M106" s="1227"/>
      <c r="N106" s="1228"/>
      <c r="P106" s="643"/>
    </row>
    <row r="107" spans="3:16" ht="12" customHeight="1">
      <c r="C107" s="1226"/>
      <c r="D107" s="1227"/>
      <c r="E107" s="1227"/>
      <c r="F107" s="1227"/>
      <c r="G107" s="1227"/>
      <c r="H107" s="1227"/>
      <c r="I107" s="1227"/>
      <c r="J107" s="1227"/>
      <c r="K107" s="1227"/>
      <c r="L107" s="1227"/>
      <c r="M107" s="1227"/>
      <c r="N107" s="1228"/>
      <c r="P107" s="643"/>
    </row>
    <row r="108" spans="3:16" ht="12" customHeight="1">
      <c r="C108" s="1226"/>
      <c r="D108" s="1227"/>
      <c r="E108" s="1227"/>
      <c r="F108" s="1227"/>
      <c r="G108" s="1227"/>
      <c r="H108" s="1227"/>
      <c r="I108" s="1227"/>
      <c r="J108" s="1227"/>
      <c r="K108" s="1227"/>
      <c r="L108" s="1227"/>
      <c r="M108" s="1227"/>
      <c r="N108" s="1228"/>
      <c r="P108" s="643"/>
    </row>
    <row r="109" spans="3:16" ht="46.5" customHeight="1">
      <c r="C109" s="1226"/>
      <c r="D109" s="1227"/>
      <c r="E109" s="1227"/>
      <c r="F109" s="1227"/>
      <c r="G109" s="1227"/>
      <c r="H109" s="1227"/>
      <c r="I109" s="1227"/>
      <c r="J109" s="1227"/>
      <c r="K109" s="1227"/>
      <c r="L109" s="1227"/>
      <c r="M109" s="1227"/>
      <c r="N109" s="1228"/>
      <c r="P109" s="643"/>
    </row>
    <row r="110" spans="3:16" ht="12.75" customHeight="1">
      <c r="C110" s="648"/>
      <c r="D110" s="649"/>
      <c r="E110" s="649"/>
      <c r="F110" s="649"/>
      <c r="G110" s="649"/>
      <c r="H110" s="649"/>
      <c r="I110" s="649"/>
      <c r="J110" s="649"/>
      <c r="K110" s="649"/>
      <c r="L110" s="649"/>
      <c r="M110" s="649"/>
      <c r="N110" s="650"/>
      <c r="P110" s="643"/>
    </row>
    <row r="111" spans="3:16" ht="12" customHeight="1">
      <c r="C111" s="1226" t="s">
        <v>1126</v>
      </c>
      <c r="D111" s="1227"/>
      <c r="E111" s="1227"/>
      <c r="F111" s="1227"/>
      <c r="G111" s="1227"/>
      <c r="H111" s="1227"/>
      <c r="I111" s="1227"/>
      <c r="J111" s="1227"/>
      <c r="K111" s="1227"/>
      <c r="L111" s="1227"/>
      <c r="M111" s="1227"/>
      <c r="N111" s="1228"/>
      <c r="P111" s="643"/>
    </row>
    <row r="112" spans="3:16" ht="12" customHeight="1">
      <c r="C112" s="1226"/>
      <c r="D112" s="1227"/>
      <c r="E112" s="1227"/>
      <c r="F112" s="1227"/>
      <c r="G112" s="1227"/>
      <c r="H112" s="1227"/>
      <c r="I112" s="1227"/>
      <c r="J112" s="1227"/>
      <c r="K112" s="1227"/>
      <c r="L112" s="1227"/>
      <c r="M112" s="1227"/>
      <c r="N112" s="1228"/>
      <c r="P112" s="643"/>
    </row>
    <row r="113" spans="3:16" ht="12" customHeight="1">
      <c r="C113" s="1226"/>
      <c r="D113" s="1227"/>
      <c r="E113" s="1227"/>
      <c r="F113" s="1227"/>
      <c r="G113" s="1227"/>
      <c r="H113" s="1227"/>
      <c r="I113" s="1227"/>
      <c r="J113" s="1227"/>
      <c r="K113" s="1227"/>
      <c r="L113" s="1227"/>
      <c r="M113" s="1227"/>
      <c r="N113" s="1228"/>
      <c r="P113" s="643"/>
    </row>
    <row r="114" spans="3:16" ht="12" customHeight="1">
      <c r="C114" s="1226"/>
      <c r="D114" s="1227"/>
      <c r="E114" s="1227"/>
      <c r="F114" s="1227"/>
      <c r="G114" s="1227"/>
      <c r="H114" s="1227"/>
      <c r="I114" s="1227"/>
      <c r="J114" s="1227"/>
      <c r="K114" s="1227"/>
      <c r="L114" s="1227"/>
      <c r="M114" s="1227"/>
      <c r="N114" s="1228"/>
      <c r="P114" s="643"/>
    </row>
    <row r="115" spans="3:16" ht="12" customHeight="1">
      <c r="C115" s="1226"/>
      <c r="D115" s="1227"/>
      <c r="E115" s="1227"/>
      <c r="F115" s="1227"/>
      <c r="G115" s="1227"/>
      <c r="H115" s="1227"/>
      <c r="I115" s="1227"/>
      <c r="J115" s="1227"/>
      <c r="K115" s="1227"/>
      <c r="L115" s="1227"/>
      <c r="M115" s="1227"/>
      <c r="N115" s="1228"/>
      <c r="P115" s="643"/>
    </row>
    <row r="116" spans="3:16" ht="12" customHeight="1">
      <c r="C116" s="1226"/>
      <c r="D116" s="1227"/>
      <c r="E116" s="1227"/>
      <c r="F116" s="1227"/>
      <c r="G116" s="1227"/>
      <c r="H116" s="1227"/>
      <c r="I116" s="1227"/>
      <c r="J116" s="1227"/>
      <c r="K116" s="1227"/>
      <c r="L116" s="1227"/>
      <c r="M116" s="1227"/>
      <c r="N116" s="1228"/>
      <c r="P116" s="643"/>
    </row>
    <row r="117" spans="3:16" ht="12" customHeight="1">
      <c r="C117" s="1226"/>
      <c r="D117" s="1227"/>
      <c r="E117" s="1227"/>
      <c r="F117" s="1227"/>
      <c r="G117" s="1227"/>
      <c r="H117" s="1227"/>
      <c r="I117" s="1227"/>
      <c r="J117" s="1227"/>
      <c r="K117" s="1227"/>
      <c r="L117" s="1227"/>
      <c r="M117" s="1227"/>
      <c r="N117" s="1228"/>
      <c r="P117" s="643"/>
    </row>
    <row r="118" spans="3:16" ht="12" customHeight="1">
      <c r="C118" s="1226"/>
      <c r="D118" s="1227"/>
      <c r="E118" s="1227"/>
      <c r="F118" s="1227"/>
      <c r="G118" s="1227"/>
      <c r="H118" s="1227"/>
      <c r="I118" s="1227"/>
      <c r="J118" s="1227"/>
      <c r="K118" s="1227"/>
      <c r="L118" s="1227"/>
      <c r="M118" s="1227"/>
      <c r="N118" s="1228"/>
      <c r="P118" s="643"/>
    </row>
    <row r="119" spans="3:16" ht="12" customHeight="1">
      <c r="C119" s="1226"/>
      <c r="D119" s="1227"/>
      <c r="E119" s="1227"/>
      <c r="F119" s="1227"/>
      <c r="G119" s="1227"/>
      <c r="H119" s="1227"/>
      <c r="I119" s="1227"/>
      <c r="J119" s="1227"/>
      <c r="K119" s="1227"/>
      <c r="L119" s="1227"/>
      <c r="M119" s="1227"/>
      <c r="N119" s="1228"/>
    </row>
    <row r="120" spans="3:16" ht="12" customHeight="1">
      <c r="C120" s="1226"/>
      <c r="D120" s="1227"/>
      <c r="E120" s="1227"/>
      <c r="F120" s="1227"/>
      <c r="G120" s="1227"/>
      <c r="H120" s="1227"/>
      <c r="I120" s="1227"/>
      <c r="J120" s="1227"/>
      <c r="K120" s="1227"/>
      <c r="L120" s="1227"/>
      <c r="M120" s="1227"/>
      <c r="N120" s="1228"/>
    </row>
    <row r="121" spans="3:16" ht="12" customHeight="1" thickBot="1">
      <c r="C121" s="1229"/>
      <c r="D121" s="1230"/>
      <c r="E121" s="1230"/>
      <c r="F121" s="1230"/>
      <c r="G121" s="1230"/>
      <c r="H121" s="1230"/>
      <c r="I121" s="1230"/>
      <c r="J121" s="1230"/>
      <c r="K121" s="1230"/>
      <c r="L121" s="1230"/>
      <c r="M121" s="1230"/>
      <c r="N121" s="1231"/>
    </row>
  </sheetData>
  <mergeCells count="8">
    <mergeCell ref="F2:L2"/>
    <mergeCell ref="C105:N109"/>
    <mergeCell ref="C111:N121"/>
    <mergeCell ref="F3:L3"/>
    <mergeCell ref="F4:L4"/>
    <mergeCell ref="C9:N9"/>
    <mergeCell ref="C10:N10"/>
    <mergeCell ref="G21:I22"/>
  </mergeCells>
  <hyperlinks>
    <hyperlink ref="F35" location="'Japan+China 24h rules  '!Print_Area" display="China 24h rules " xr:uid="{00000000-0004-0000-1200-000000000000}"/>
    <hyperlink ref="E90" r:id="rId1" xr:uid="{00000000-0004-0000-1200-000001000000}"/>
    <hyperlink ref="D6" r:id="rId2" display="http://www.oocl.com/eng/resourcecenter/globalinfo/Pages/default.aspx" xr:uid="{00000000-0004-0000-1200-000003000000}"/>
    <hyperlink ref="D7" r:id="rId3" display="http://www.oocl.com/eng/resourcecenter/globalinfo/Pages/default.aspx" xr:uid="{00000000-0004-0000-1200-000004000000}"/>
    <hyperlink ref="D80" r:id="rId4" xr:uid="{00000000-0004-0000-1200-000005000000}"/>
    <hyperlink ref="D46" r:id="rId5" xr:uid="{00000000-0004-0000-1200-000006000000}"/>
    <hyperlink ref="C32" r:id="rId6" xr:uid="{00000000-0004-0000-1200-000007000000}"/>
  </hyperlinks>
  <pageMargins left="0.75" right="0.33" top="0.62" bottom="0.2" header="0.4921259845" footer="0.17"/>
  <pageSetup paperSize="9" scale="52" orientation="portrait" r:id="rId7"/>
  <headerFooter alignWithMargins="0"/>
  <drawing r:id="rId8"/>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FE182-BD17-4C2E-954E-E201DAAB848A}">
  <sheetPr>
    <tabColor theme="1" tint="0.499984740745262"/>
  </sheetPr>
  <dimension ref="A2:C25"/>
  <sheetViews>
    <sheetView workbookViewId="0">
      <selection activeCell="C9" sqref="C9"/>
    </sheetView>
  </sheetViews>
  <sheetFormatPr defaultColWidth="9.140625" defaultRowHeight="12.75"/>
  <cols>
    <col min="1" max="1" width="82.85546875" style="10" bestFit="1" customWidth="1"/>
    <col min="2" max="2" width="9.140625" style="10"/>
    <col min="3" max="3" width="100.7109375" style="10" bestFit="1" customWidth="1"/>
    <col min="4" max="16384" width="9.140625" style="10"/>
  </cols>
  <sheetData>
    <row r="2" spans="1:3">
      <c r="A2" s="1240" t="s">
        <v>1127</v>
      </c>
      <c r="B2" s="1240"/>
      <c r="C2" s="1240"/>
    </row>
    <row r="6" spans="1:3" ht="15">
      <c r="A6" s="294" t="s">
        <v>1128</v>
      </c>
      <c r="B6" s="295"/>
      <c r="C6" s="296" t="s">
        <v>1129</v>
      </c>
    </row>
    <row r="7" spans="1:3" ht="15">
      <c r="A7" s="297" t="s">
        <v>1130</v>
      </c>
      <c r="B7" s="295"/>
      <c r="C7" s="297" t="s">
        <v>1131</v>
      </c>
    </row>
    <row r="8" spans="1:3" ht="15">
      <c r="A8" s="297" t="s">
        <v>1132</v>
      </c>
      <c r="B8" s="295"/>
      <c r="C8" s="297" t="s">
        <v>1133</v>
      </c>
    </row>
    <row r="9" spans="1:3" ht="15">
      <c r="A9" s="297" t="s">
        <v>1134</v>
      </c>
      <c r="B9" s="295"/>
      <c r="C9" s="297" t="s">
        <v>1135</v>
      </c>
    </row>
    <row r="10" spans="1:3" ht="15">
      <c r="A10" s="297" t="s">
        <v>1136</v>
      </c>
      <c r="B10" s="295"/>
      <c r="C10" s="297" t="s">
        <v>1137</v>
      </c>
    </row>
    <row r="11" spans="1:3" ht="15">
      <c r="A11" s="297" t="s">
        <v>1138</v>
      </c>
      <c r="B11" s="295"/>
      <c r="C11" s="297" t="s">
        <v>1139</v>
      </c>
    </row>
    <row r="12" spans="1:3" ht="15">
      <c r="A12" s="297" t="s">
        <v>1140</v>
      </c>
      <c r="B12" s="295"/>
      <c r="C12" s="297" t="s">
        <v>1141</v>
      </c>
    </row>
    <row r="13" spans="1:3" ht="15">
      <c r="A13" s="297" t="s">
        <v>1142</v>
      </c>
      <c r="B13" s="295"/>
      <c r="C13" s="297" t="s">
        <v>1143</v>
      </c>
    </row>
    <row r="14" spans="1:3" ht="15">
      <c r="A14" s="297" t="s">
        <v>1144</v>
      </c>
      <c r="B14" s="295"/>
      <c r="C14" s="297" t="s">
        <v>1145</v>
      </c>
    </row>
    <row r="15" spans="1:3" ht="15">
      <c r="A15" s="297" t="s">
        <v>1146</v>
      </c>
      <c r="B15" s="295"/>
      <c r="C15" s="297" t="s">
        <v>1147</v>
      </c>
    </row>
    <row r="16" spans="1:3" ht="15">
      <c r="A16" s="297" t="s">
        <v>1148</v>
      </c>
      <c r="B16" s="295"/>
      <c r="C16" s="295"/>
    </row>
    <row r="17" spans="1:1" ht="15">
      <c r="A17" s="297" t="s">
        <v>1149</v>
      </c>
    </row>
    <row r="18" spans="1:1" ht="15">
      <c r="A18" s="297" t="s">
        <v>1150</v>
      </c>
    </row>
    <row r="19" spans="1:1" ht="15">
      <c r="A19" s="297" t="s">
        <v>1151</v>
      </c>
    </row>
    <row r="20" spans="1:1" ht="15">
      <c r="A20" s="297" t="s">
        <v>1152</v>
      </c>
    </row>
    <row r="21" spans="1:1" ht="15">
      <c r="A21" s="297" t="s">
        <v>1153</v>
      </c>
    </row>
    <row r="22" spans="1:1" ht="15">
      <c r="A22" s="297" t="s">
        <v>1154</v>
      </c>
    </row>
    <row r="23" spans="1:1" ht="15">
      <c r="A23" s="297" t="s">
        <v>1155</v>
      </c>
    </row>
    <row r="24" spans="1:1" ht="15">
      <c r="A24" s="297" t="s">
        <v>1156</v>
      </c>
    </row>
    <row r="25" spans="1:1" ht="15">
      <c r="A25" s="297" t="s">
        <v>1157</v>
      </c>
    </row>
  </sheetData>
  <mergeCells count="1">
    <mergeCell ref="A2:C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A6E4A-1153-4B37-91D4-BF2E1F8969AD}">
  <sheetPr>
    <tabColor theme="0" tint="-0.14999847407452621"/>
  </sheetPr>
  <dimension ref="B2:B24"/>
  <sheetViews>
    <sheetView workbookViewId="0"/>
  </sheetViews>
  <sheetFormatPr defaultColWidth="8.85546875" defaultRowHeight="15"/>
  <cols>
    <col min="1" max="16384" width="8.85546875" style="266"/>
  </cols>
  <sheetData>
    <row r="2" spans="2:2" ht="19.5">
      <c r="B2" s="265" t="s">
        <v>1158</v>
      </c>
    </row>
    <row r="3" spans="2:2">
      <c r="B3" s="267"/>
    </row>
    <row r="4" spans="2:2">
      <c r="B4" s="267"/>
    </row>
    <row r="5" spans="2:2">
      <c r="B5" s="267" t="s">
        <v>1159</v>
      </c>
    </row>
    <row r="6" spans="2:2">
      <c r="B6" s="268" t="s">
        <v>1160</v>
      </c>
    </row>
    <row r="7" spans="2:2">
      <c r="B7" s="268" t="s">
        <v>1161</v>
      </c>
    </row>
    <row r="8" spans="2:2">
      <c r="B8" s="269" t="s">
        <v>1162</v>
      </c>
    </row>
    <row r="9" spans="2:2">
      <c r="B9" s="267"/>
    </row>
    <row r="10" spans="2:2">
      <c r="B10" s="267" t="s">
        <v>1163</v>
      </c>
    </row>
    <row r="11" spans="2:2">
      <c r="B11" s="268" t="s">
        <v>1164</v>
      </c>
    </row>
    <row r="12" spans="2:2">
      <c r="B12" s="267"/>
    </row>
    <row r="13" spans="2:2">
      <c r="B13" s="267" t="s">
        <v>1165</v>
      </c>
    </row>
    <row r="14" spans="2:2">
      <c r="B14" s="268" t="s">
        <v>1166</v>
      </c>
    </row>
    <row r="15" spans="2:2">
      <c r="B15" s="268" t="s">
        <v>1167</v>
      </c>
    </row>
    <row r="17" spans="2:2">
      <c r="B17" s="267" t="s">
        <v>1168</v>
      </c>
    </row>
    <row r="18" spans="2:2">
      <c r="B18" s="268" t="s">
        <v>1169</v>
      </c>
    </row>
    <row r="19" spans="2:2">
      <c r="B19" s="268" t="s">
        <v>1170</v>
      </c>
    </row>
    <row r="20" spans="2:2">
      <c r="B20" s="267"/>
    </row>
    <row r="21" spans="2:2">
      <c r="B21" s="267" t="s">
        <v>1171</v>
      </c>
    </row>
    <row r="22" spans="2:2">
      <c r="B22" s="268" t="s">
        <v>1172</v>
      </c>
    </row>
    <row r="23" spans="2:2">
      <c r="B23" s="268" t="s">
        <v>1173</v>
      </c>
    </row>
    <row r="24" spans="2:2">
      <c r="B24" s="268" t="s">
        <v>1174</v>
      </c>
    </row>
  </sheetData>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2139EEF00FC0E642A2DEF35706B55B0F" ma:contentTypeVersion="15" ma:contentTypeDescription="Create a new document." ma:contentTypeScope="" ma:versionID="bf0a8b3ff0a265d9251a65ae317fe840">
  <xsd:schema xmlns:xsd="http://www.w3.org/2001/XMLSchema" xmlns:xs="http://www.w3.org/2001/XMLSchema" xmlns:p="http://schemas.microsoft.com/office/2006/metadata/properties" xmlns:ns2="3b8c2ff9-d232-40cd-8d0e-c07a97091a37" xmlns:ns3="49e77bc0-d394-4020-b8c6-23dce535eed5" targetNamespace="http://schemas.microsoft.com/office/2006/metadata/properties" ma:root="true" ma:fieldsID="2df45d9e9a27a55cc046ec7b65b4da69" ns2:_="" ns3:_="">
    <xsd:import namespace="3b8c2ff9-d232-40cd-8d0e-c07a97091a37"/>
    <xsd:import namespace="49e77bc0-d394-4020-b8c6-23dce535eed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8c2ff9-d232-40cd-8d0e-c07a97091a3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b982ee9-d9b6-425f-bda0-ae489312803f" ma:termSetId="09814cd3-568e-fe90-9814-8d621ff8fb84" ma:anchorId="fba54fb3-c3e1-fe81-a776-ca4b69148c4d" ma:open="true" ma:isKeyword="false">
      <xsd:complexType>
        <xsd:sequence>
          <xsd:element ref="pc:Terms" minOccurs="0" maxOccurs="1"/>
        </xsd:sequence>
      </xsd:complex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e77bc0-d394-4020-b8c6-23dce535eed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751b7733-2288-471e-8f77-06760ce75cf1}" ma:internalName="TaxCatchAll" ma:showField="CatchAllData" ma:web="49e77bc0-d394-4020-b8c6-23dce535ee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49e77bc0-d394-4020-b8c6-23dce535eed5" xsi:nil="true"/>
    <lcf76f155ced4ddcb4097134ff3c332f xmlns="3b8c2ff9-d232-40cd-8d0e-c07a97091a3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AB41863-F631-4314-A399-E05B3E599813}">
  <ds:schemaRefs>
    <ds:schemaRef ds:uri="http://schemas.microsoft.com/DataMashup"/>
  </ds:schemaRefs>
</ds:datastoreItem>
</file>

<file path=customXml/itemProps2.xml><?xml version="1.0" encoding="utf-8"?>
<ds:datastoreItem xmlns:ds="http://schemas.openxmlformats.org/officeDocument/2006/customXml" ds:itemID="{4A485DA4-76FB-4DF7-88F0-2F0DC441150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8c2ff9-d232-40cd-8d0e-c07a97091a37"/>
    <ds:schemaRef ds:uri="49e77bc0-d394-4020-b8c6-23dce535eed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8F62A3D-2326-473C-B9DE-D1AA8FE86DFB}">
  <ds:schemaRefs>
    <ds:schemaRef ds:uri="http://schemas.microsoft.com/sharepoint/v3/contenttype/forms"/>
  </ds:schemaRefs>
</ds:datastoreItem>
</file>

<file path=customXml/itemProps4.xml><?xml version="1.0" encoding="utf-8"?>
<ds:datastoreItem xmlns:ds="http://schemas.openxmlformats.org/officeDocument/2006/customXml" ds:itemID="{3977BD1E-E208-465C-9AA7-320BE5EFB278}">
  <ds:schemaRefs>
    <ds:schemaRef ds:uri="http://schemas.microsoft.com/office/2006/metadata/properties"/>
    <ds:schemaRef ds:uri="http://schemas.microsoft.com/office/infopath/2007/PartnerControls"/>
    <ds:schemaRef ds:uri="49e77bc0-d394-4020-b8c6-23dce535eed5"/>
    <ds:schemaRef ds:uri="3b8c2ff9-d232-40cd-8d0e-c07a97091a37"/>
  </ds:schemaRefs>
</ds:datastoreItem>
</file>

<file path=docMetadata/LabelInfo.xml><?xml version="1.0" encoding="utf-8"?>
<clbl:labelList xmlns:clbl="http://schemas.microsoft.com/office/2020/mipLabelMetadata">
  <clbl:label id="{400c29bb-9836-4d30-82ac-163bb3769577}" enabled="1" method="Privileged" siteId="{7851b4cc-2c5c-459f-96d9-16731d6b4ca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40</vt:i4>
      </vt:variant>
    </vt:vector>
  </HeadingPairs>
  <TitlesOfParts>
    <vt:vector size="58" baseType="lpstr">
      <vt:lpstr>Introduction</vt:lpstr>
      <vt:lpstr>Lookup</vt:lpstr>
      <vt:lpstr>Rechenblatt neu</vt:lpstr>
      <vt:lpstr>Far East+Japan</vt:lpstr>
      <vt:lpstr>LookupK</vt:lpstr>
      <vt:lpstr>Rechenblatt Koper neu</vt:lpstr>
      <vt:lpstr>Koper+Trieste</vt:lpstr>
      <vt:lpstr>Intra Europe</vt:lpstr>
      <vt:lpstr>Middle East</vt:lpstr>
      <vt:lpstr>Africa</vt:lpstr>
      <vt:lpstr>India+Pakistan</vt:lpstr>
      <vt:lpstr>Australia &amp; New Zealand</vt:lpstr>
      <vt:lpstr>Special Equipment</vt:lpstr>
      <vt:lpstr>Reefer</vt:lpstr>
      <vt:lpstr>pick up+Inland Tariff </vt:lpstr>
      <vt:lpstr>Surcharges-Terms</vt:lpstr>
      <vt:lpstr>Restricted Prohibited Commodity</vt:lpstr>
      <vt:lpstr>OOG booking check list</vt:lpstr>
      <vt:lpstr>'Rechenblatt Koper neu'!DAM</vt:lpstr>
      <vt:lpstr>'Rechenblatt neu'!DAM</vt:lpstr>
      <vt:lpstr>'Rechenblatt Koper neu'!DAMHQ</vt:lpstr>
      <vt:lpstr>'Rechenblatt neu'!DAMHQ</vt:lpstr>
      <vt:lpstr>'Rechenblatt Koper neu'!FEBP</vt:lpstr>
      <vt:lpstr>'Rechenblatt neu'!FEBP</vt:lpstr>
      <vt:lpstr>'Rechenblatt Koper neu'!FEBP20</vt:lpstr>
      <vt:lpstr>'Rechenblatt neu'!FEBP20</vt:lpstr>
      <vt:lpstr>'Rechenblatt Koper neu'!FEBP40</vt:lpstr>
      <vt:lpstr>'Rechenblatt neu'!FEBP40</vt:lpstr>
      <vt:lpstr>'Rechenblatt Koper neu'!FEBPHQ</vt:lpstr>
      <vt:lpstr>'Rechenblatt neu'!FEBPHQ</vt:lpstr>
      <vt:lpstr>'Rechenblatt Koper neu'!HCM</vt:lpstr>
      <vt:lpstr>'Rechenblatt neu'!HCM</vt:lpstr>
      <vt:lpstr>'Rechenblatt Koper neu'!JEA</vt:lpstr>
      <vt:lpstr>'Rechenblatt neu'!JEA</vt:lpstr>
      <vt:lpstr>'Rechenblatt Koper neu'!JEAHQ</vt:lpstr>
      <vt:lpstr>'Rechenblatt neu'!JEAHQ</vt:lpstr>
      <vt:lpstr>'Rechenblatt Koper neu'!JED</vt:lpstr>
      <vt:lpstr>'Rechenblatt neu'!JED</vt:lpstr>
      <vt:lpstr>'Rechenblatt Koper neu'!JEDHQ</vt:lpstr>
      <vt:lpstr>'Rechenblatt neu'!JEDHQ</vt:lpstr>
      <vt:lpstr>'Rechenblatt Koper neu'!JJED</vt:lpstr>
      <vt:lpstr>'Rechenblatt neu'!JJED</vt:lpstr>
      <vt:lpstr>'Rechenblatt Koper neu'!JKT</vt:lpstr>
      <vt:lpstr>'Rechenblatt neu'!JKT</vt:lpstr>
      <vt:lpstr>'Rechenblatt Koper neu'!JPB</vt:lpstr>
      <vt:lpstr>'Rechenblatt neu'!JPB</vt:lpstr>
      <vt:lpstr>'Australia &amp; New Zealand'!Print_Area</vt:lpstr>
      <vt:lpstr>'Far East+Japan'!Print_Area</vt:lpstr>
      <vt:lpstr>'Intra Europe'!Print_Area</vt:lpstr>
      <vt:lpstr>Introduction!Print_Area</vt:lpstr>
      <vt:lpstr>'Koper+Trieste'!Print_Area</vt:lpstr>
      <vt:lpstr>'Middle East'!Print_Area</vt:lpstr>
      <vt:lpstr>'pick up+Inland Tariff '!Print_Area</vt:lpstr>
      <vt:lpstr>Reefer!Print_Area</vt:lpstr>
      <vt:lpstr>'Special Equipment'!Print_Area</vt:lpstr>
      <vt:lpstr>'Surcharges-Terms'!Print_Area</vt:lpstr>
      <vt:lpstr>'Rechenblatt Koper neu'!YOK</vt:lpstr>
      <vt:lpstr>'Rechenblatt neu'!YOK</vt:lpstr>
    </vt:vector>
  </TitlesOfParts>
  <Manager/>
  <Company>Privat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Andreas Niemeier</dc:creator>
  <cp:keywords/>
  <dc:description/>
  <cp:lastModifiedBy>KRISTINA THOMA (SAL-M&amp;S-ODEZ/BRE)</cp:lastModifiedBy>
  <cp:revision/>
  <dcterms:created xsi:type="dcterms:W3CDTF">2005-05-22T13:51:11Z</dcterms:created>
  <dcterms:modified xsi:type="dcterms:W3CDTF">2026-01-12T13:18:47Z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0c29bb-9836-4d30-82ac-163bb3769577_Enabled">
    <vt:lpwstr>true</vt:lpwstr>
  </property>
  <property fmtid="{D5CDD505-2E9C-101B-9397-08002B2CF9AE}" pid="3" name="MSIP_Label_400c29bb-9836-4d30-82ac-163bb3769577_SetDate">
    <vt:lpwstr>2023-06-19T14:32:43Z</vt:lpwstr>
  </property>
  <property fmtid="{D5CDD505-2E9C-101B-9397-08002B2CF9AE}" pid="4" name="MSIP_Label_400c29bb-9836-4d30-82ac-163bb3769577_Method">
    <vt:lpwstr>Privileged</vt:lpwstr>
  </property>
  <property fmtid="{D5CDD505-2E9C-101B-9397-08002B2CF9AE}" pid="5" name="MSIP_Label_400c29bb-9836-4d30-82ac-163bb3769577_Name">
    <vt:lpwstr>no Encryption</vt:lpwstr>
  </property>
  <property fmtid="{D5CDD505-2E9C-101B-9397-08002B2CF9AE}" pid="6" name="MSIP_Label_400c29bb-9836-4d30-82ac-163bb3769577_SiteId">
    <vt:lpwstr>7851b4cc-2c5c-459f-96d9-16731d6b4ca4</vt:lpwstr>
  </property>
  <property fmtid="{D5CDD505-2E9C-101B-9397-08002B2CF9AE}" pid="7" name="MSIP_Label_400c29bb-9836-4d30-82ac-163bb3769577_ActionId">
    <vt:lpwstr>3ddc45f1-c4e6-40ee-adc2-193274da54f3</vt:lpwstr>
  </property>
  <property fmtid="{D5CDD505-2E9C-101B-9397-08002B2CF9AE}" pid="8" name="MSIP_Label_400c29bb-9836-4d30-82ac-163bb3769577_ContentBits">
    <vt:lpwstr>0</vt:lpwstr>
  </property>
  <property fmtid="{D5CDD505-2E9C-101B-9397-08002B2CF9AE}" pid="9" name="ContentTypeId">
    <vt:lpwstr>0x0101002139EEF00FC0E642A2DEF35706B55B0F</vt:lpwstr>
  </property>
  <property fmtid="{D5CDD505-2E9C-101B-9397-08002B2CF9AE}" pid="10" name="Order">
    <vt:r8>94200</vt:r8>
  </property>
  <property fmtid="{D5CDD505-2E9C-101B-9397-08002B2CF9AE}" pid="11" name="MediaServiceImageTags">
    <vt:lpwstr/>
  </property>
</Properties>
</file>