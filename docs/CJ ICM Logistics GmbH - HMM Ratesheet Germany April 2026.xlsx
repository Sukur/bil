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Sales\SALES SUPPORT\FAK\2026\April\Minu Lee\"/>
    </mc:Choice>
  </mc:AlternateContent>
  <xr:revisionPtr revIDLastSave="0" documentId="8_{653539D5-F25C-4DE5-970C-80CF3C830734}" xr6:coauthVersionLast="47" xr6:coauthVersionMax="47" xr10:uidLastSave="{00000000-0000-0000-0000-000000000000}"/>
  <bookViews>
    <workbookView xWindow="-120" yWindow="-120" windowWidth="38640" windowHeight="21120" xr2:uid="{C4478239-681A-4BBA-8349-C4EE13B733CE}"/>
  </bookViews>
  <sheets>
    <sheet name="1. Intro" sheetId="1" r:id="rId1"/>
    <sheet name="1.1. RDA Application" sheetId="2" r:id="rId2"/>
    <sheet name="1.2 GMD" sheetId="3" r:id="rId3"/>
    <sheet name="1.3 EFL" sheetId="4" r:id="rId4"/>
    <sheet name="2. EES Surcharge" sheetId="5" r:id="rId5"/>
    <sheet name="3. Main Ports I FIM I TW" sheetId="6" r:id="rId6"/>
    <sheet name="4. Japan Outports" sheetId="7" r:id="rId7"/>
    <sheet name="5. China I SE Asia" sheetId="8" r:id="rId8"/>
    <sheet name="6. Empty Pick Up" sheetId="9" r:id="rId9"/>
    <sheet name="7. Free Times Germany" sheetId="10" r:id="rId10"/>
    <sheet name="8. Free Times Netherlands" sheetId="11" r:id="rId11"/>
    <sheet name="9. Free Times Belgium" sheetId="12" r:id="rId12"/>
    <sheet name="10. T&amp;D Surcharges" sheetId="13" r:id="rId13"/>
    <sheet name="11. Operation Charges" sheetId="14" r:id="rId14"/>
  </sheets>
  <definedNames>
    <definedName name="_xlnm.Print_Area" localSheetId="0">'1. Intro'!$B$2:$BI$81</definedName>
    <definedName name="_xlnm.Print_Area" localSheetId="1">'1.1. RDA Application'!$B$2:$AQ$74</definedName>
    <definedName name="_xlnm.Print_Area" localSheetId="2">'1.2 GMD'!$B$2:$AQ$74</definedName>
    <definedName name="_xlnm.Print_Area" localSheetId="3">'1.3 EFL'!$B$2:$AQ$74</definedName>
    <definedName name="_xlnm.Print_Area" localSheetId="12">'10. T&amp;D Surcharges'!$B$2:$I$20</definedName>
    <definedName name="_xlnm.Print_Area" localSheetId="13">'11. Operation Charges'!$B$2:$H$41</definedName>
    <definedName name="_xlnm.Print_Area" localSheetId="4">'2. EES Surcharge'!$A$1:$I$41</definedName>
    <definedName name="_xlnm.Print_Area" localSheetId="5">'3. Main Ports I FIM I TW'!$B$2:$BI$116</definedName>
    <definedName name="_xlnm.Print_Area" localSheetId="6">'4. Japan Outports'!$B$2:$BI$90</definedName>
    <definedName name="_xlnm.Print_Area" localSheetId="7">'5. China I SE Asia'!$B$2:$BI$114</definedName>
    <definedName name="_xlnm.Print_Area" localSheetId="8">'6. Empty Pick Up'!$B$2:$BI$80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2" i="9" l="1"/>
  <c r="AS20" i="9"/>
  <c r="C20" i="9"/>
  <c r="AS19" i="9"/>
  <c r="C19" i="9"/>
  <c r="C18" i="9"/>
  <c r="C11" i="8"/>
  <c r="C10" i="8"/>
  <c r="C9" i="8"/>
  <c r="C11" i="7"/>
  <c r="C10" i="7"/>
  <c r="C9" i="7"/>
  <c r="C11" i="6"/>
  <c r="C10" i="6"/>
  <c r="C9" i="6"/>
  <c r="AS22" i="1"/>
  <c r="AS20" i="1"/>
  <c r="AS19" i="1"/>
</calcChain>
</file>

<file path=xl/sharedStrings.xml><?xml version="1.0" encoding="utf-8"?>
<sst xmlns="http://schemas.openxmlformats.org/spreadsheetml/2006/main" count="1535" uniqueCount="630">
  <si>
    <t>HMM (Germany) GmbH &amp; Co. KG</t>
  </si>
  <si>
    <t>As Agent of HMM Co. Ltd., Seoul, Korea</t>
  </si>
  <si>
    <t>Herrengraben 3, 20459 Hamburg</t>
  </si>
  <si>
    <t>Date:</t>
  </si>
  <si>
    <t>RATE AGREEMENT / SERVICE CONTRACT: AS OUTLINED BY ROUTE</t>
  </si>
  <si>
    <t>For Customer:</t>
  </si>
  <si>
    <t>CJ ICM Logistics GmbH</t>
  </si>
  <si>
    <t>RATE VALIDITY: AS PER RDA DATE 01.02.2026 - 30.04.2026</t>
  </si>
  <si>
    <t xml:space="preserve">RATE AND SURCHARGES APPLICATION: AS PER RATING DATE (RDA) </t>
  </si>
  <si>
    <t>TERMS:</t>
  </si>
  <si>
    <t>CY/CY</t>
  </si>
  <si>
    <t>HAMBURG</t>
  </si>
  <si>
    <t>Name</t>
  </si>
  <si>
    <t>Department</t>
  </si>
  <si>
    <t>Phone</t>
  </si>
  <si>
    <t>E-Mail</t>
  </si>
  <si>
    <t>Minu Lee</t>
  </si>
  <si>
    <t>Sales Manager</t>
  </si>
  <si>
    <t>0049 (0) 40 / 36954 - 203</t>
  </si>
  <si>
    <t>minu.lee@hmm21.com</t>
  </si>
  <si>
    <t>Dan Hansen</t>
  </si>
  <si>
    <t xml:space="preserve">Sales </t>
  </si>
  <si>
    <t>0049 (0) 40 / 36954 - 206</t>
  </si>
  <si>
    <t>dan.hansen@hmm21.com</t>
  </si>
  <si>
    <t>Sven Ploetzke</t>
  </si>
  <si>
    <t>Sales</t>
  </si>
  <si>
    <t>0049 (0) 40 / 36954 - 208</t>
  </si>
  <si>
    <t>sven.ploetzke@hmm21.com</t>
  </si>
  <si>
    <t>Ole Paulus</t>
  </si>
  <si>
    <t>Sales Manager (Specials, BB, OOG)</t>
  </si>
  <si>
    <t>0049 (0) 40 / 36954 - 252</t>
  </si>
  <si>
    <t>ole.paulus@hmm21.com</t>
  </si>
  <si>
    <t>Bastian Rielinger</t>
  </si>
  <si>
    <t>Manager IFF Sales</t>
  </si>
  <si>
    <t>0049 (0) 40 / 36954 - 224</t>
  </si>
  <si>
    <t>bastian.rielinger@hmm21.com</t>
  </si>
  <si>
    <t>Leroy Menzell</t>
  </si>
  <si>
    <t>IFF Sales</t>
  </si>
  <si>
    <t>0049 (0) 40 / 36954 - 0</t>
  </si>
  <si>
    <t>leroy.menzell@hmm21.com</t>
  </si>
  <si>
    <t>Brigitte Stoeckler</t>
  </si>
  <si>
    <t>Inside Sales IFF</t>
  </si>
  <si>
    <t>0049 (0) 421 / 17352 - 31</t>
  </si>
  <si>
    <t>brigitte.stoeckler@hmm21.com</t>
  </si>
  <si>
    <t>Svenja Bürger</t>
  </si>
  <si>
    <t>Inside Sales</t>
  </si>
  <si>
    <t>0049 (0) 40 / 36954 - 219</t>
  </si>
  <si>
    <t>svenja.buerger@hmm21.com</t>
  </si>
  <si>
    <t>Lena Frömbling</t>
  </si>
  <si>
    <t>0049 (0) 40 / 36954 - 239</t>
  </si>
  <si>
    <t>lena.froembling@hmm21.com</t>
  </si>
  <si>
    <t>Matthias Gerkens</t>
  </si>
  <si>
    <t>0049 (0) 40 / 36954 - 139</t>
  </si>
  <si>
    <t>matthias.gerkens@hmm21.com</t>
  </si>
  <si>
    <t>Lisa Schuermann</t>
  </si>
  <si>
    <t>0049 (0) 40 / 36954 - 212</t>
  </si>
  <si>
    <t>lisa.schuermann@hmm21.com</t>
  </si>
  <si>
    <t>Soyeon Seo</t>
  </si>
  <si>
    <t>Inside Sales (Specials, BB, OOG)</t>
  </si>
  <si>
    <t>0049 (0) 40 / 36954 - 253</t>
  </si>
  <si>
    <t>soyeon.seo@hmm21.com</t>
  </si>
  <si>
    <t>Moritz Steffens</t>
  </si>
  <si>
    <t>0049 (0) 40 / 36954 - 207</t>
  </si>
  <si>
    <t>moritz.steffens@hmm21.com</t>
  </si>
  <si>
    <t>CUSTOMER SERVICE GERMANY</t>
  </si>
  <si>
    <t>Stefanie Wulff</t>
  </si>
  <si>
    <t>Customer Service</t>
  </si>
  <si>
    <t>0049 (0) 40 / 36954 - 233</t>
  </si>
  <si>
    <t>0049 (0) 40 / 36954 - 222</t>
  </si>
  <si>
    <t>stefanie.wulff@hmm21.com</t>
  </si>
  <si>
    <t>Yannik Esch</t>
  </si>
  <si>
    <t>0049 (0) 40 / 36954 - 232</t>
  </si>
  <si>
    <t>yannik.esch@hmm21.com</t>
  </si>
  <si>
    <t>Andreas Freiwald</t>
  </si>
  <si>
    <t xml:space="preserve">Customer Service </t>
  </si>
  <si>
    <t>0049 (0) 421 / 17352 - 53</t>
  </si>
  <si>
    <t>andreas.freiwald@hmm21.com</t>
  </si>
  <si>
    <t>Eun Jung Lee</t>
  </si>
  <si>
    <t>0049 (0) 40 / 36954 - 161</t>
  </si>
  <si>
    <t>eunjung.lee@hmm21.com</t>
  </si>
  <si>
    <t>Morten Melchert</t>
  </si>
  <si>
    <t>0049 (0) 40 / 36954 - 211</t>
  </si>
  <si>
    <t>morten.melchert@hmm21.com</t>
  </si>
  <si>
    <t>Pauline Moeckel</t>
  </si>
  <si>
    <t>pauline.moeckel@hmm21.com</t>
  </si>
  <si>
    <t>Bianca Mueller</t>
  </si>
  <si>
    <t>0049 (0) 40 / 36954 - 249</t>
  </si>
  <si>
    <t>bianca.mueller@hmm21.com</t>
  </si>
  <si>
    <t>Vincent Propp</t>
  </si>
  <si>
    <t>0049 (0) 40 / 36954 - 254</t>
  </si>
  <si>
    <t>vincent.propp@hmm21.com</t>
  </si>
  <si>
    <t>Anja Roderigo</t>
  </si>
  <si>
    <t>0049 (0) 211 / 165576 - 13</t>
  </si>
  <si>
    <t>anja.roderigo@hmm21.com</t>
  </si>
  <si>
    <t>Antonio Song</t>
  </si>
  <si>
    <t>0049 (0) 40 / 36954 - 160</t>
  </si>
  <si>
    <t>antonio.song@hmm21.com</t>
  </si>
  <si>
    <t>Julia Mueller</t>
  </si>
  <si>
    <t>0049 (0) 40 / 36954 - 162</t>
  </si>
  <si>
    <t>julia.mueller@hmm21.com</t>
  </si>
  <si>
    <t>BREMEN</t>
  </si>
  <si>
    <t>Hartmut Oevermann</t>
  </si>
  <si>
    <t>Branch Manager</t>
  </si>
  <si>
    <t>0049 (0) 421 / 17352 - 22</t>
  </si>
  <si>
    <t>hartmut.oevermann@hmm21.com</t>
  </si>
  <si>
    <t>Michelle Spitzer</t>
  </si>
  <si>
    <t>0049 (0) 421 / 17352 - 44</t>
  </si>
  <si>
    <t>michelle.spitzer@hmm21.com</t>
  </si>
  <si>
    <t>Andreas Weidemann</t>
  </si>
  <si>
    <t>0049 (0) 421 / 17352 - 28</t>
  </si>
  <si>
    <t>andreas.weidemann@hmm21.com</t>
  </si>
  <si>
    <t>Wiebke Engler</t>
  </si>
  <si>
    <t>0049 (0) 421 / 17352 - 58</t>
  </si>
  <si>
    <t>wiebke.engler@hmm21.com</t>
  </si>
  <si>
    <t>Ilka Mueller - Dippe</t>
  </si>
  <si>
    <t>0049 (0) 421 / 17352 - 45</t>
  </si>
  <si>
    <t>ilka.mueller-dippe@hmm.21com</t>
  </si>
  <si>
    <t xml:space="preserve"> CENTRAL GERMANY</t>
  </si>
  <si>
    <t>Patrick Eggert</t>
  </si>
  <si>
    <t>0049 (0) 69 / 665 543 23</t>
  </si>
  <si>
    <t>patrick.eggert@hmm21.com</t>
  </si>
  <si>
    <t>Karl Kanczok</t>
  </si>
  <si>
    <t>0049 (0) 211 / 165576 - 11</t>
  </si>
  <si>
    <t>karl.kanczok@hmm21.com</t>
  </si>
  <si>
    <t>Andrea Kubischok</t>
  </si>
  <si>
    <t>0049 (0) 211 / 165576 - 12</t>
  </si>
  <si>
    <t>andrea.kubischok@hmm21.com</t>
  </si>
  <si>
    <t>Markus Posselt</t>
  </si>
  <si>
    <t>0049 (0) 89 / 20359986 - 2</t>
  </si>
  <si>
    <t>markus.posselt@hmm21.com</t>
  </si>
  <si>
    <t>MUNICH</t>
  </si>
  <si>
    <t>Elena Potschernik</t>
  </si>
  <si>
    <t>0049 (0) 89 / 20359986 - 3</t>
  </si>
  <si>
    <t>elena.potschernik@hmm21.com</t>
  </si>
  <si>
    <t>Date: 10/04/2025</t>
  </si>
  <si>
    <t>Date: 19/03/2026</t>
  </si>
  <si>
    <t>TERMS: CY/CY</t>
  </si>
  <si>
    <t xml:space="preserve"> </t>
  </si>
  <si>
    <t>MAIN PORTS</t>
  </si>
  <si>
    <t>GATE IN / INCL EES / EXCL.  DOC /  DESTINATION CHARGES</t>
  </si>
  <si>
    <t>POL</t>
  </si>
  <si>
    <t>LOOP</t>
  </si>
  <si>
    <t xml:space="preserve">POD </t>
  </si>
  <si>
    <t>20' DRY CNTR</t>
  </si>
  <si>
    <t>40' DRY CNTR</t>
  </si>
  <si>
    <t>40' HIGH CUBE</t>
  </si>
  <si>
    <t>FILING REFERENCE</t>
  </si>
  <si>
    <t>ANR</t>
  </si>
  <si>
    <t>FE6 / FP2</t>
  </si>
  <si>
    <t>BUSAN</t>
  </si>
  <si>
    <t>WGB2400007</t>
  </si>
  <si>
    <t xml:space="preserve">HAM / RTM </t>
  </si>
  <si>
    <t>FE4</t>
  </si>
  <si>
    <t>HAM / RTM / ANR</t>
  </si>
  <si>
    <t>FE4 / FE5</t>
  </si>
  <si>
    <t>NINGBO</t>
  </si>
  <si>
    <t>FE3 / FE5</t>
  </si>
  <si>
    <t>QINGDAO</t>
  </si>
  <si>
    <t>FE3 / FE4 / FE5</t>
  </si>
  <si>
    <t>SHANGHAI</t>
  </si>
  <si>
    <t>SINGAPORE</t>
  </si>
  <si>
    <t>FE6</t>
  </si>
  <si>
    <t>SHEKOU</t>
  </si>
  <si>
    <t>XIAMEN</t>
  </si>
  <si>
    <t>FE3 / FE4</t>
  </si>
  <si>
    <t>YANTIAN</t>
  </si>
  <si>
    <t>PORT KLANG</t>
  </si>
  <si>
    <t>FP2</t>
  </si>
  <si>
    <t>LAEM CHABANG</t>
  </si>
  <si>
    <t>VUNG TAO</t>
  </si>
  <si>
    <t>HAIPHONG</t>
  </si>
  <si>
    <t>&lt; NOTICE &gt;  RATES  ARE INCLUDING 14 DAYS DETENTION FREETIME AT DESTINATION</t>
  </si>
  <si>
    <t>GATE IN / EXCL. EES  / DOC /  DESTINATION CHARGES</t>
  </si>
  <si>
    <t>FP1</t>
  </si>
  <si>
    <t xml:space="preserve">HAM / RTM  </t>
  </si>
  <si>
    <t>TOKYO</t>
  </si>
  <si>
    <t>KOBE</t>
  </si>
  <si>
    <t>NAGOYA</t>
  </si>
  <si>
    <t>INX</t>
  </si>
  <si>
    <t xml:space="preserve">HAM / RTM / ANR </t>
  </si>
  <si>
    <t>HAZIRA</t>
  </si>
  <si>
    <t>WGB2500025</t>
  </si>
  <si>
    <t xml:space="preserve">MUNDRA </t>
  </si>
  <si>
    <t>NHAVA SHEVA</t>
  </si>
  <si>
    <t xml:space="preserve">KARACHI </t>
  </si>
  <si>
    <t>KATUPALI, VIA COLOMBO</t>
  </si>
  <si>
    <t>COLOMBO</t>
  </si>
  <si>
    <t xml:space="preserve">INX (T/S COLOMBO) </t>
  </si>
  <si>
    <t>KOLKATA</t>
  </si>
  <si>
    <t>CHATTOGRAM</t>
  </si>
  <si>
    <t>VISAKHAPATNAM</t>
  </si>
  <si>
    <t>CHENNAI</t>
  </si>
  <si>
    <t>TUTICORIN</t>
  </si>
  <si>
    <t>&lt; NOTICE &gt;  RATES TO COLOMBO AND CHATTOGRAM ARE INCLDING TERMINAL HANDLING CARGE AT DESTINATION</t>
  </si>
  <si>
    <t>KOREA / JAPAN (OUTPORTS) DAR</t>
  </si>
  <si>
    <t>DAR TO BE ADDED ON T/S PORT (MAIN PORT) RATE</t>
  </si>
  <si>
    <t>FE3 / FE6</t>
  </si>
  <si>
    <t>INCHEON (VIA BUSAN)</t>
  </si>
  <si>
    <t>KWANGYANG (VIA BUSAN)</t>
  </si>
  <si>
    <t>HAKATA (VIA BUSAN)</t>
  </si>
  <si>
    <t>TOKYO (VIA NINGBO/NO DG)</t>
  </si>
  <si>
    <t>TOKYO (VIA BUSAN/DG ON REQUEST)</t>
  </si>
  <si>
    <t>SHIMIZU (VIA BUSAN)</t>
  </si>
  <si>
    <t>OSAKA (VIA NINGBO/ NO DG)</t>
  </si>
  <si>
    <t>OSAKA (VIA BUSAN/ DG ON REQUEST)</t>
  </si>
  <si>
    <t>YOKOHAMA (VIA NINGBO/ NO DG)</t>
  </si>
  <si>
    <t>FE3</t>
  </si>
  <si>
    <t>YOKOHAMA (VIA BUSAN/ DG ON REQUEST)</t>
  </si>
  <si>
    <t>TOMAKOMAI (VIA BUSAN)</t>
  </si>
  <si>
    <t>FE3 / FE4 / FE5 / FE6 / FP1</t>
  </si>
  <si>
    <t>KAOHSIUNG (VIA SINGAPORE)</t>
  </si>
  <si>
    <t>FE4 / FE5 /  FE6</t>
  </si>
  <si>
    <t>KEELUNG (VIA NINGBO)</t>
  </si>
  <si>
    <t>TAICHUNG (VIA NINGBO)</t>
  </si>
  <si>
    <t>SURCHARGE KIND</t>
  </si>
  <si>
    <t>CUR</t>
  </si>
  <si>
    <t>Charge</t>
  </si>
  <si>
    <t>Surcharge Kind</t>
  </si>
  <si>
    <t>KOREA LOW SULPHUR</t>
  </si>
  <si>
    <t>USD</t>
  </si>
  <si>
    <t>3 per TEU</t>
  </si>
  <si>
    <t>IMO SURCHARGE (DG)</t>
  </si>
  <si>
    <t>150 per Cntr</t>
  </si>
  <si>
    <t>AFR JAPAN</t>
  </si>
  <si>
    <t xml:space="preserve">USD </t>
  </si>
  <si>
    <t>35 per B/L</t>
  </si>
  <si>
    <t>FGC (FOOD GRADE CONTAINER SURCHARGE)</t>
  </si>
  <si>
    <t>AM1 CHINA</t>
  </si>
  <si>
    <t>B/L Submission via INTTRA/GT Nexus / Cargo Smart / Others</t>
  </si>
  <si>
    <t>CLEAN, DRY AND ODOURLESS SURCHARGE</t>
  </si>
  <si>
    <t>65 per Cntr</t>
  </si>
  <si>
    <t>EUROPE EMISSION (N.EUROPE - F.E.)</t>
  </si>
  <si>
    <t>EUR</t>
  </si>
  <si>
    <t>25 per TEU</t>
  </si>
  <si>
    <t>EUROPE EMISSION (N.EUROPE - ISC / M.E.)</t>
  </si>
  <si>
    <t>35 per TEU</t>
  </si>
  <si>
    <t>IMO HANDLINGSINGAPORE</t>
  </si>
  <si>
    <t>20'</t>
  </si>
  <si>
    <t>40'</t>
  </si>
  <si>
    <t>EMERGENCY FUEL CHARGE</t>
  </si>
  <si>
    <t>75 per TEU</t>
  </si>
  <si>
    <t>PSA 1C &amp; N</t>
  </si>
  <si>
    <t>SGD</t>
  </si>
  <si>
    <t>Documentation Fee at Origin</t>
  </si>
  <si>
    <t>PSA1S</t>
  </si>
  <si>
    <t>B/L Submission via Website/Wisetech</t>
  </si>
  <si>
    <t>30 per B/L</t>
  </si>
  <si>
    <t>PSA2C</t>
  </si>
  <si>
    <t>B/L Submission via EDI / DAKOSY</t>
  </si>
  <si>
    <t>40 per B/L</t>
  </si>
  <si>
    <t>PSA2S,2,2F,1S</t>
  </si>
  <si>
    <t>B/L Submission via INTTRA/GT Nexus / Others</t>
  </si>
  <si>
    <t>50 per B/L</t>
  </si>
  <si>
    <t>Subject to service availability</t>
  </si>
  <si>
    <t>DARs are subject to change</t>
  </si>
  <si>
    <t>Above rates are valid ex North Continental Ports (excl. Scandinavia) for commodities ex German origin.</t>
  </si>
  <si>
    <t>Terms: including THC at origin  /  ISPS /   AMS / STF / ECC/ BUC subject to other surcharges valid at time of ETD according to RDA</t>
  </si>
  <si>
    <t xml:space="preserve">Subject to Peak Season Surcharge if applicable </t>
  </si>
  <si>
    <t xml:space="preserve">Subject to Emergency Fuel Charge </t>
  </si>
  <si>
    <t>Subject to Container Imbalance Charge if applicable</t>
  </si>
  <si>
    <t>Subject to EQ availabilty and space availability</t>
  </si>
  <si>
    <t xml:space="preserve">Subject to Overweight Surcharge, Europe Emission Surcharge </t>
  </si>
  <si>
    <t xml:space="preserve">Please find other surcharges at this link: </t>
  </si>
  <si>
    <t>https://www.hmm21.com/e-service/general/tariffRate/SurchargeInquiry.do</t>
  </si>
  <si>
    <t>Please also confer with HMM’s cancellation and status change policy (applicable at the time of booking)</t>
  </si>
  <si>
    <t>JAPAN OUTPORTS</t>
  </si>
  <si>
    <t>HAM / RTM  / ANR</t>
  </si>
  <si>
    <t>AKITA (VIA BUSAN)</t>
  </si>
  <si>
    <t>WGB2300014</t>
  </si>
  <si>
    <t>FUKUYAMA (VIA BUSAN)</t>
  </si>
  <si>
    <t>HACHINOE (VIA BUSAN)</t>
  </si>
  <si>
    <t>HIROSHIMA (VIA BUSAN)</t>
  </si>
  <si>
    <t>HOSOSHIMA (VIA BUSAN)</t>
  </si>
  <si>
    <t>IMABARI (VIA BUSAN)</t>
  </si>
  <si>
    <t>IMARI (VIA BUSAN)</t>
  </si>
  <si>
    <t>ISHIKARI-WAN SHINKO (VIA BUSAN)</t>
  </si>
  <si>
    <t>IWAKUNI (VIA BUSAN)</t>
  </si>
  <si>
    <t>IYOMISHIMA (VIA BUSAN)</t>
  </si>
  <si>
    <t>KOCHI (VIA BUSAN)</t>
  </si>
  <si>
    <t>NIIGATA (VIA BUSAN)</t>
  </si>
  <si>
    <t>KANAZAWA (VIA BUSAN)</t>
  </si>
  <si>
    <t>KUSHIRO (VIA BUSAN)</t>
  </si>
  <si>
    <t>MIZUSHIMA (VIA BUSAN)</t>
  </si>
  <si>
    <t>MATSUYAMA (VIA BUSAN)</t>
  </si>
  <si>
    <t>NAOETSU (VIA BUSAN)</t>
  </si>
  <si>
    <t>NAGASAKI (VIA BUSAN)</t>
  </si>
  <si>
    <t>OITA (VIA BUSAN)</t>
  </si>
  <si>
    <t>ONAHAMA (VIA BUSAN)</t>
  </si>
  <si>
    <t>SHIBUSHI (VIA BUSAN)</t>
  </si>
  <si>
    <t>SATSUMASENDAI (VIA BUSAN)</t>
  </si>
  <si>
    <t>SHIMONOSEKI (VIA BUSAN)</t>
  </si>
  <si>
    <t>SAKATA (VIA BUSAN)</t>
  </si>
  <si>
    <t>TAKAMATSU (VIA BUSAN)</t>
  </si>
  <si>
    <t>TOYOHASHI (VIA BUSAN)</t>
  </si>
  <si>
    <t>TOKUSHIMA (VIA BUSAN)</t>
  </si>
  <si>
    <t>TOKUYAMA (VIA BUSAN)</t>
  </si>
  <si>
    <t>TOYAMA SHINKO (VIA BUSAN)</t>
  </si>
  <si>
    <t>TSURUGA (VIA BUSAN)</t>
  </si>
  <si>
    <t>YATSUSHIRO (VIA BUSAN)</t>
  </si>
  <si>
    <t>NAHA (VIA KAOSHIUNG)</t>
  </si>
  <si>
    <t>CHINA (OUTPORTS) DAR</t>
  </si>
  <si>
    <t>MODE</t>
  </si>
  <si>
    <t>POD (T/S PORT)</t>
  </si>
  <si>
    <t>BARGE</t>
  </si>
  <si>
    <t>BEIJIAO (VIA YANTIAN)</t>
  </si>
  <si>
    <t>CHANGSHA (VIA SHANGHAI/ NO DG)</t>
  </si>
  <si>
    <t>RAIL</t>
  </si>
  <si>
    <t>CHENGDU (VIA SHANGHAI/NO DG)</t>
  </si>
  <si>
    <t>NA</t>
  </si>
  <si>
    <t>CHONGQING (VIA SHANGHAI/NO DG)</t>
  </si>
  <si>
    <t xml:space="preserve">BARGE </t>
  </si>
  <si>
    <t>DALIAN (VIA CNTAO)</t>
  </si>
  <si>
    <t>DOUMEN (VIA YANTIAN/NO DG)</t>
  </si>
  <si>
    <t>GAOMING - HUASHEN (VIA YTN/NO DG)</t>
  </si>
  <si>
    <t>HAIKOU (VIA YANTIAN/NO DG)</t>
  </si>
  <si>
    <t>HAIMEN (VIA NGB/NO DG)</t>
  </si>
  <si>
    <t>HESHAN (VIA YANTIAN/NO DG)</t>
  </si>
  <si>
    <t>FE3 / FE4 / FE6 / FP1 / FP2</t>
  </si>
  <si>
    <t>KME</t>
  </si>
  <si>
    <t>HONG KONG (VIA SINGAPORE)</t>
  </si>
  <si>
    <t>LIANHUASHAN (VIA YTN/NO DG)</t>
  </si>
  <si>
    <t>FEEDER</t>
  </si>
  <si>
    <t>LIANYUNGANG (VIA TAO / NO DG)</t>
  </si>
  <si>
    <t>NANHAI (VIA YTN)</t>
  </si>
  <si>
    <t>NANJING (VIA SHANGHAI/NO DG)</t>
  </si>
  <si>
    <t>HAM / RTM</t>
  </si>
  <si>
    <t xml:space="preserve">NANSHA (VIA YANTIAN / NO DG) </t>
  </si>
  <si>
    <t>NANTONG (VIA SHANGHAI / NO DG)</t>
  </si>
  <si>
    <t>SANSHUI (VIA CNYTN)</t>
  </si>
  <si>
    <t>SHANTOU (VIA YANTIAN)</t>
  </si>
  <si>
    <t>TAIPING (VIA CNYTN)</t>
  </si>
  <si>
    <t>WEIHAI (VIA TAO)</t>
  </si>
  <si>
    <t>WUHAN (VIA SHANGHAI/ NO DG)</t>
  </si>
  <si>
    <t>WUHU (VIA SHANGHAI/ NO DG)</t>
  </si>
  <si>
    <t>XINGANG (VIA SGSIN)</t>
  </si>
  <si>
    <t>XINHUI (VIA CNYTN)</t>
  </si>
  <si>
    <t>YANGZHOU (via SHANGHAI/ NO DG)</t>
  </si>
  <si>
    <t>YANTAI (VIA CNTAO/NO DG)</t>
  </si>
  <si>
    <t>ZHANGJIAGANG (VIA SHANGHAI/NO DG)</t>
  </si>
  <si>
    <t>ZHANJIANG (VIA YTN)</t>
  </si>
  <si>
    <t>SE ASIA (OUTPORTS) DAR</t>
  </si>
  <si>
    <t xml:space="preserve">FP2 </t>
  </si>
  <si>
    <t>PS7</t>
  </si>
  <si>
    <t>BANGKOK (VIA LAEM CHABANG / NO DG)</t>
  </si>
  <si>
    <t xml:space="preserve">HAM / RTM  </t>
  </si>
  <si>
    <t xml:space="preserve">FE3 / FE4 / FE6 / FP1 </t>
  </si>
  <si>
    <t>BANGKOK (VIA SINGAPORE/ LAEM CHABANG NO DG)</t>
  </si>
  <si>
    <t>BELAWAN (VIA SINGAPORE)</t>
  </si>
  <si>
    <t>DANANG (VIA SINGAPORE/ DG)</t>
  </si>
  <si>
    <t>DANANG (VIA SINGAPORE/ NO DG)</t>
  </si>
  <si>
    <t>PS3</t>
  </si>
  <si>
    <t>HAIPHONG (VIA SINGAPORE)</t>
  </si>
  <si>
    <t>HO CHI MINH (VIA SINGAPORE)</t>
  </si>
  <si>
    <t>JAKARTA (VIA SINGAPORE)</t>
  </si>
  <si>
    <t xml:space="preserve">LAEM CHABANG (VIA SINGAPORE / NO DG) </t>
  </si>
  <si>
    <t>LAT KRABANG (VIA LAEM CHABANG / NO DG)</t>
  </si>
  <si>
    <t>TTP</t>
  </si>
  <si>
    <t>MANILA NORTH (VIA KAOHSIUNG)</t>
  </si>
  <si>
    <t>PASIR GUDANG (VIA SIN / NON DG)</t>
  </si>
  <si>
    <t>PASIR GUDANG (VIA SINGAPORE / DG)</t>
  </si>
  <si>
    <t>PENANG (VIA SINGAPORE/DG)</t>
  </si>
  <si>
    <t>PENANG (VIA SINGAPORE/NO DG)</t>
  </si>
  <si>
    <t>PORT KLANG (NOTH / WEST PORT)
(VIA SINGAPORE/ DG)</t>
  </si>
  <si>
    <t>PORT KLANG (NORTH / WEST PORT) 
(VIA SINGAPORE/ NO DG)</t>
  </si>
  <si>
    <t>QUI NHON (VIA SINGAPORE)</t>
  </si>
  <si>
    <t>SEMARANG (VIA SINGAPORE)</t>
  </si>
  <si>
    <t>SIHANOUKVILLE (VIA SINGAPORE)</t>
  </si>
  <si>
    <t>SURABAYA (VIA SINGAPORE)</t>
  </si>
  <si>
    <t>EMPTY PICK UP CHARGE</t>
  </si>
  <si>
    <t>SALES AREA</t>
  </si>
  <si>
    <t>CONTAINER SIZE</t>
  </si>
  <si>
    <t>20'DC</t>
  </si>
  <si>
    <t>40'DC</t>
  </si>
  <si>
    <t>40'HC</t>
  </si>
  <si>
    <t>AGB</t>
  </si>
  <si>
    <t>Augsburg</t>
  </si>
  <si>
    <t>MUC</t>
  </si>
  <si>
    <t>BFN</t>
  </si>
  <si>
    <t>Bad Salzuflen</t>
  </si>
  <si>
    <t>DUS</t>
  </si>
  <si>
    <t>KWH</t>
  </si>
  <si>
    <t>Koenigswusterhausen (BER)</t>
  </si>
  <si>
    <t>HAM</t>
  </si>
  <si>
    <t>BRE</t>
  </si>
  <si>
    <t>Bremen</t>
  </si>
  <si>
    <t>FREE</t>
  </si>
  <si>
    <t>BNN</t>
  </si>
  <si>
    <t>Bonn</t>
  </si>
  <si>
    <t>CLN</t>
  </si>
  <si>
    <t>Cologne</t>
  </si>
  <si>
    <t>DTM</t>
  </si>
  <si>
    <t>Dortmund</t>
  </si>
  <si>
    <t>DUI</t>
  </si>
  <si>
    <t>Duisburg</t>
  </si>
  <si>
    <t>Dusseldorf</t>
  </si>
  <si>
    <t>FRA</t>
  </si>
  <si>
    <t>Frankfurt</t>
  </si>
  <si>
    <t>Hamburg</t>
  </si>
  <si>
    <t>HAL</t>
  </si>
  <si>
    <t>Halle (Saale)</t>
  </si>
  <si>
    <t>Hof</t>
  </si>
  <si>
    <t>KEH</t>
  </si>
  <si>
    <t>Kehl</t>
  </si>
  <si>
    <t>KOR</t>
  </si>
  <si>
    <t>Kornwestheim</t>
  </si>
  <si>
    <t>KOB</t>
  </si>
  <si>
    <t>Koblenz</t>
  </si>
  <si>
    <t>LEJ</t>
  </si>
  <si>
    <t>Leipzig</t>
  </si>
  <si>
    <t>LUA</t>
  </si>
  <si>
    <t>Ludwigshafen</t>
  </si>
  <si>
    <t>MAI</t>
  </si>
  <si>
    <t>Mainz</t>
  </si>
  <si>
    <t>MHG</t>
  </si>
  <si>
    <t>Mannheim</t>
  </si>
  <si>
    <t>100/350 for HC RF</t>
  </si>
  <si>
    <t>Munich</t>
  </si>
  <si>
    <t>NSS</t>
  </si>
  <si>
    <t>Neuss</t>
  </si>
  <si>
    <t>NUE</t>
  </si>
  <si>
    <t>Nuernberg</t>
  </si>
  <si>
    <t>NUL</t>
  </si>
  <si>
    <t>Ulm</t>
  </si>
  <si>
    <t>REG</t>
  </si>
  <si>
    <t>Regensburg</t>
  </si>
  <si>
    <t>SCW</t>
  </si>
  <si>
    <t>Schweinfurt</t>
  </si>
  <si>
    <t>STR</t>
  </si>
  <si>
    <t>Stuttgart</t>
  </si>
  <si>
    <t>TRI</t>
  </si>
  <si>
    <t>Trier</t>
  </si>
  <si>
    <t>NIL</t>
  </si>
  <si>
    <t>WOE</t>
  </si>
  <si>
    <t>Woerth</t>
  </si>
  <si>
    <t>AT</t>
  </si>
  <si>
    <t>AUSTRIA</t>
  </si>
  <si>
    <t>CZ</t>
  </si>
  <si>
    <t>CZECH</t>
  </si>
  <si>
    <t>SK</t>
  </si>
  <si>
    <t>SLOVAKIA</t>
  </si>
  <si>
    <t>HU</t>
  </si>
  <si>
    <t>HUNGARY</t>
  </si>
  <si>
    <t>Remarks</t>
  </si>
  <si>
    <t>1. Subject to equipment availability at relevant depot</t>
  </si>
  <si>
    <t>2. Food grade equipment on request only - HMM reserves the right to charge for cleaning costs</t>
  </si>
  <si>
    <t>3. Rule FMC 100-128</t>
  </si>
  <si>
    <t>Demurrage &amp; Detention Freetime and Tariff / Germany</t>
  </si>
  <si>
    <t>Valid as from 01st February 2025</t>
  </si>
  <si>
    <t>CUR : EUR</t>
  </si>
  <si>
    <t>Please note new lead time between empty pick up and ETB of mother vessel, as advised</t>
  </si>
  <si>
    <t xml:space="preserve">Please always check cargo opening times at POL </t>
  </si>
  <si>
    <t>Outbound</t>
  </si>
  <si>
    <t>Kind</t>
  </si>
  <si>
    <t>Cntr Type</t>
  </si>
  <si>
    <t>Free day</t>
  </si>
  <si>
    <t>Date</t>
  </si>
  <si>
    <t>Size</t>
  </si>
  <si>
    <t>FM</t>
  </si>
  <si>
    <t>TO</t>
  </si>
  <si>
    <t>40'/4H</t>
  </si>
  <si>
    <t>45'</t>
  </si>
  <si>
    <t>Demurrage</t>
  </si>
  <si>
    <t>Dry</t>
  </si>
  <si>
    <t>6 Working Days</t>
  </si>
  <si>
    <t>RF</t>
  </si>
  <si>
    <t>4 Working Days</t>
  </si>
  <si>
    <t>DG</t>
  </si>
  <si>
    <t>3 Working Days</t>
  </si>
  <si>
    <t>Special Equipment</t>
  </si>
  <si>
    <t>5 Working Days</t>
  </si>
  <si>
    <t>Detention</t>
  </si>
  <si>
    <t>7 Working Days</t>
  </si>
  <si>
    <t>7 WorkingDays</t>
  </si>
  <si>
    <t>Working Days: SAT / SUN is counting / considered working days. Only Holidays are excluded</t>
  </si>
  <si>
    <t>Over Days counted in Calendar days</t>
  </si>
  <si>
    <t>Detention freetime depends on transport mode. For details refer to hmm21.com</t>
  </si>
  <si>
    <t>Demurrage Demurrage Free Time commences on day of gate-in full and expires at day of ETB</t>
  </si>
  <si>
    <t>Detention: Detention Free Time commences at day of gate-out empty and expires at gate-in full day. When more than one transport mode is used or combined mode is used free time tariff of redelivery mode is applied</t>
  </si>
  <si>
    <t>For changes, always check https://www.hmm21.com/e-service/general/tariffRate/DemDetTariff.do</t>
  </si>
  <si>
    <t>No Detention for Tank Container</t>
  </si>
  <si>
    <t>Demurrage &amp; Detention Freetime and Tariff / Netherlands</t>
  </si>
  <si>
    <t>Valid as from 23rd December 2023 and valid until further notice</t>
  </si>
  <si>
    <t>DC</t>
  </si>
  <si>
    <t>7Working days</t>
  </si>
  <si>
    <t xml:space="preserve"> 7 Working Days</t>
  </si>
  <si>
    <t xml:space="preserve"> 7 Working  Days</t>
  </si>
  <si>
    <t xml:space="preserve"> 5 Working  Days</t>
  </si>
  <si>
    <t>Demurrage Free Time commences on day of gate-in full and and expires at day of ETB</t>
  </si>
  <si>
    <t>Demurrage &amp; Detention Freetime and Tariff / Belgium</t>
  </si>
  <si>
    <t>Valid as from 1st April 2024 and valid until further notice</t>
  </si>
  <si>
    <t xml:space="preserve">Special Equipment </t>
  </si>
  <si>
    <t>DC/DG</t>
  </si>
  <si>
    <t>EXPORT - T &amp; D SURCHARGES GERMANY</t>
  </si>
  <si>
    <t>DESCRIPTION</t>
  </si>
  <si>
    <t>RATE</t>
  </si>
  <si>
    <t>REMARKS</t>
  </si>
  <si>
    <t>Documentation Fee (DOL)</t>
  </si>
  <si>
    <t>50 EUR</t>
  </si>
  <si>
    <t>Per B/L for S/I sent via INTTRA /GT Nexus /CARGOSMART and other Portals</t>
  </si>
  <si>
    <t xml:space="preserve">40 EUR </t>
  </si>
  <si>
    <t>Per B/L for S/I sent via  Dakosy / EDI</t>
  </si>
  <si>
    <t xml:space="preserve">30 EUR </t>
  </si>
  <si>
    <t>Per B/L for S/I sent via HMM website / Wisetech</t>
  </si>
  <si>
    <t>Late Shipping Instruction (LSI)</t>
  </si>
  <si>
    <t>60 EUR</t>
  </si>
  <si>
    <t>Per B/L for S/I sent after vessel closing</t>
  </si>
  <si>
    <t>B/L Correction Fee (BCF)</t>
  </si>
  <si>
    <t>75 EUR</t>
  </si>
  <si>
    <t>First correction before vessel closing is free, afterwards each B/L correction will be charged</t>
  </si>
  <si>
    <t>B/L Re-Issuing Fee (BRF)</t>
  </si>
  <si>
    <t>80 EUR</t>
  </si>
  <si>
    <t>Per set of 3 original B/L. B/L corrections are not incl.</t>
  </si>
  <si>
    <t>Lost B/L Handling Charge (LBL)</t>
  </si>
  <si>
    <t>300 EUR</t>
  </si>
  <si>
    <t>Requires LOI &amp; bank guarantee of 50% from commodity value. B/L corrections are not incl.</t>
  </si>
  <si>
    <t>Switch B/L (SBD)</t>
  </si>
  <si>
    <t>100 EUR</t>
  </si>
  <si>
    <t>Per set of 3 original B/L</t>
  </si>
  <si>
    <t>Surrender Fee (SRF)</t>
  </si>
  <si>
    <t>Per B/L telex release</t>
  </si>
  <si>
    <t>Certificate Issue Service (LCI)</t>
  </si>
  <si>
    <t>45 EUR</t>
  </si>
  <si>
    <t>Per set of 3 certificate copies</t>
  </si>
  <si>
    <t>Per notary signature on certificates</t>
  </si>
  <si>
    <t>Postage (PST)</t>
  </si>
  <si>
    <t>30 EUR</t>
  </si>
  <si>
    <t>Per envelope within Germany. Other countries on request only and price may vary</t>
  </si>
  <si>
    <t>Advanced Manifest (AFN/AM2)</t>
  </si>
  <si>
    <t>50 USD</t>
  </si>
  <si>
    <t>Per B/L resubmission for advanced manifest</t>
  </si>
  <si>
    <t>Administration Fee (ADF)</t>
  </si>
  <si>
    <t>400 USD</t>
  </si>
  <si>
    <t>Applies for change of destination after cargo has been loaded on the vessel</t>
  </si>
  <si>
    <t>Diversion Charge (DVS)</t>
  </si>
  <si>
    <t>May vary</t>
  </si>
  <si>
    <t>Additional charges to the change of destination (e.g. restows etc.)</t>
  </si>
  <si>
    <t>General Misdeclaration Penalty</t>
  </si>
  <si>
    <t>15000 USD</t>
  </si>
  <si>
    <t>Applicable for non DG such as charcoal, activated or non activated carbon and carbon black and other prohibited commodities. Applicable as from Gate-in of container, valid for any amendment of shipping instruction or BL</t>
  </si>
  <si>
    <t>10000 USD</t>
  </si>
  <si>
    <t>General Cargo</t>
  </si>
  <si>
    <t>20000 USD</t>
  </si>
  <si>
    <t>Waste Cargo</t>
  </si>
  <si>
    <t>50000 USD</t>
  </si>
  <si>
    <t>Dangerous Cargo</t>
  </si>
  <si>
    <t>Triangulation Fee</t>
  </si>
  <si>
    <t>EUR 55</t>
  </si>
  <si>
    <t>For imports container reused for export without touching a depot</t>
  </si>
  <si>
    <t>Weight Discrepancy Fee</t>
  </si>
  <si>
    <t>USD 100</t>
  </si>
  <si>
    <t>If VGM weight differs from SI weight by more than 5%</t>
  </si>
  <si>
    <t>UK S&amp;S</t>
  </si>
  <si>
    <t>USD 35</t>
  </si>
  <si>
    <t>Per BL for all cargo which vessel calls UK after container is loaded, whether scheduled or not.</t>
  </si>
  <si>
    <t>UK S&amp;S Amendment</t>
  </si>
  <si>
    <t>USD 50</t>
  </si>
  <si>
    <t>Per Amendment of Declaration</t>
  </si>
  <si>
    <t>EXPORT - OPERATION SURCHARGES GERMANY</t>
  </si>
  <si>
    <t>Description</t>
  </si>
  <si>
    <t>DG LABELLING AND NEUTRALIZATION</t>
  </si>
  <si>
    <t>85 EUR* per Cntr (4 LABELS INCL)</t>
  </si>
  <si>
    <t>AT GATE</t>
  </si>
  <si>
    <t>250 EUR* per Cntr (4 LABELS INCL)</t>
  </si>
  <si>
    <t>AT YARD</t>
  </si>
  <si>
    <t>*ADD LABELS TO BE CHARGED AT COSTS + EUR 75 ADMIN FEE</t>
  </si>
  <si>
    <t>GATE MOVES</t>
  </si>
  <si>
    <t>200 EUR per Move</t>
  </si>
  <si>
    <t>EUROGATE &amp; NTB</t>
  </si>
  <si>
    <t>100 EUR per Move</t>
  </si>
  <si>
    <t>HHLA</t>
  </si>
  <si>
    <t>EXTRA HANDLING</t>
  </si>
  <si>
    <t>80 EUR per Move</t>
  </si>
  <si>
    <t>INLAND AND OFFDOCK DEPOTS</t>
  </si>
  <si>
    <t>STATUS CHANGE PENALTY</t>
  </si>
  <si>
    <t>100 EUR per Cntr</t>
  </si>
  <si>
    <t>CHANGE OF VESSEL, DESTINATION, WEIGHT</t>
  </si>
  <si>
    <t>WATERPOLICE INSPECTION</t>
  </si>
  <si>
    <t>300 EUR per Cntr**</t>
  </si>
  <si>
    <t>HANDLING, STEVEDORAGE, HS SEALING</t>
  </si>
  <si>
    <t>** INITIAL INSPECTION ONLY / IN CASE DEFFICIENCIES FOUND: ADD EXTRA HADLING TO BE CHARGED AT COSTS (SEE VA: EXTRA HANDLING)</t>
  </si>
  <si>
    <t>HS SEALING</t>
  </si>
  <si>
    <t>85 EUR per Cntr</t>
  </si>
  <si>
    <t>250 EUR PER Cntr</t>
  </si>
  <si>
    <t>PICTURE SUPPLY</t>
  </si>
  <si>
    <t>130 EUR per order</t>
  </si>
  <si>
    <t>BREAKBULK (PROVIDED BY SURVEYOR)</t>
  </si>
  <si>
    <t>330 EUR per Cntr</t>
  </si>
  <si>
    <t>CONTAINER (MOVE, STEVEDORE &amp; PICTURES)</t>
  </si>
  <si>
    <t>XRAY SCREENING</t>
  </si>
  <si>
    <t>300 EUR per Cntr</t>
  </si>
  <si>
    <t>AT YARD (ALL TYPES)</t>
  </si>
  <si>
    <t>500 EUR per Cntr</t>
  </si>
  <si>
    <t>OUT OF YARD (STANDARD  CTR)</t>
  </si>
  <si>
    <t>575 EUR per Cntr</t>
  </si>
  <si>
    <t>OUT OF YARD (REEFER)</t>
  </si>
  <si>
    <t>650 EUR per Cntr</t>
  </si>
  <si>
    <t>OUT OF  YARD (DG + OOG)</t>
  </si>
  <si>
    <t>*** INCL 30 MIN WAITING TIME / ADD 30 EURO PER COMMENCTED 30 MINS</t>
  </si>
  <si>
    <t>VGM</t>
  </si>
  <si>
    <t>400 EUR per Cntr</t>
  </si>
  <si>
    <t>VGM WEIGHING AT YARD</t>
  </si>
  <si>
    <t>MANUAL VGM INPUT BY HMM GER</t>
  </si>
  <si>
    <t>100 USD per Cntr</t>
  </si>
  <si>
    <t>WRONG VGM SUBMISSION</t>
  </si>
  <si>
    <t>75 EUR per Cntr</t>
  </si>
  <si>
    <t>LATE VGM CALL</t>
  </si>
  <si>
    <t>BOOKING AMENDMENT FEE</t>
  </si>
  <si>
    <t>75 EUR per BKG</t>
  </si>
  <si>
    <t>FROM SECOND BOOKING AMENDMENT</t>
  </si>
  <si>
    <t>LATE BOOKING CANCELLATION</t>
  </si>
  <si>
    <t>75 EUR per TEU</t>
  </si>
  <si>
    <t>IF BOOKING CANCELLED LESS THAN 5 CALENDAR DAYS PRIOR VGM CLOSING (COUNTING INCL VGM CLOSING DAY)</t>
  </si>
  <si>
    <t>LOST SLOT PENALTY</t>
  </si>
  <si>
    <t>225 EUR per Cntr</t>
  </si>
  <si>
    <t>WHEN LOADING IS CANCELED BY TERMINAL DUE TO SHIPPERS REASON SUCH AS: CUSTOMS HOLD, CONTAINER IS DAMAGED OR COMMODITY ISSUE FOUND, CONTAINER MISSES TERMINAL CUT OFF, ROLL OVER REQUESTED (refer to www.hmm21.com)</t>
  </si>
  <si>
    <t>ITT TRANSFER IN DEBRV (NTB &lt;&gt; MSC/HLG)</t>
  </si>
  <si>
    <t xml:space="preserve">130 EUR per Cntr </t>
  </si>
  <si>
    <t>STANDARD AND REEFER CNTR</t>
  </si>
  <si>
    <t>260 EUR per Cntr</t>
  </si>
  <si>
    <t>OOG CONTAINER</t>
  </si>
  <si>
    <t>VARIOUS EXTRA HANDLING</t>
  </si>
  <si>
    <t>AT COSTS</t>
  </si>
  <si>
    <t>RELASHING, RESTUFFING, INSPECTIONS, ETC.</t>
  </si>
  <si>
    <t>+ 75 EUR ADMIN FEE per Order</t>
  </si>
  <si>
    <t>REEFER TEMPERATURE MODIFICATION CHARGE</t>
  </si>
  <si>
    <t>175 USD</t>
  </si>
  <si>
    <t>STORAGE</t>
  </si>
  <si>
    <t>As per Lines Tariff</t>
  </si>
  <si>
    <t>100 EUR per TEU and Day (Standard Container)</t>
  </si>
  <si>
    <t>150 EUR per TEU and Day (Reefer, OOG, DG)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</si>
</sst>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5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Helvetica"/>
    </font>
    <font>
      <sz val="11"/>
      <color rgb="FF9C6500"/>
      <name val="Calibri"/>
      <family val="2"/>
      <scheme val="minor"/>
    </font>
    <font>
      <sz val="11"/>
      <name val="Helvetica"/>
    </font>
    <font>
      <sz val="9"/>
      <color theme="1"/>
      <name val="Helvetica"/>
    </font>
    <font>
      <b/>
      <sz val="11"/>
      <name val="Helvetica"/>
    </font>
    <font>
      <sz val="12"/>
      <color theme="1"/>
      <name val="Helvetica"/>
    </font>
    <font>
      <b/>
      <sz val="11"/>
      <color theme="1"/>
      <name val="Helvetica"/>
    </font>
    <font>
      <b/>
      <sz val="12"/>
      <name val="Helvetica"/>
    </font>
    <font>
      <b/>
      <sz val="12"/>
      <name val="Calibri"/>
      <family val="2"/>
      <scheme val="minor"/>
    </font>
    <font>
      <b/>
      <sz val="10"/>
      <color theme="0"/>
      <name val="Helvetica"/>
    </font>
    <font>
      <b/>
      <sz val="10"/>
      <color theme="1"/>
      <name val="Helvetica"/>
    </font>
    <font>
      <sz val="10"/>
      <color theme="1"/>
      <name val="Helvetica"/>
    </font>
    <font>
      <sz val="10"/>
      <name val="Helvetica"/>
    </font>
    <font>
      <sz val="9"/>
      <name val="Helvetica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Helvetica"/>
    </font>
    <font>
      <sz val="10"/>
      <color rgb="FF000000"/>
      <name val="Helvetica"/>
    </font>
    <font>
      <u/>
      <sz val="10"/>
      <color theme="10"/>
      <name val="Calibri"/>
      <family val="2"/>
      <scheme val="minor"/>
    </font>
    <font>
      <sz val="10"/>
      <color indexed="8"/>
      <name val="Helvetica"/>
    </font>
    <font>
      <strike/>
      <sz val="10"/>
      <color theme="1"/>
      <name val="Helvetica"/>
    </font>
    <font>
      <strike/>
      <sz val="10"/>
      <color indexed="8"/>
      <name val="Helvetica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1"/>
      <name val="Calibri"/>
      <family val="2"/>
    </font>
    <font>
      <u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0265B"/>
        <bgColor indexed="64"/>
      </patternFill>
    </fill>
    <fill>
      <patternFill patternType="solid">
        <fgColor rgb="FFEE312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265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indexed="64"/>
      </bottom>
      <diagonal/>
    </border>
    <border>
      <left/>
      <right style="thin">
        <color rgb="FF20265B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/>
      <diagonal/>
    </border>
    <border>
      <left/>
      <right/>
      <top style="medium">
        <color theme="3" tint="-0.499984740745262"/>
      </top>
      <bottom/>
      <diagonal/>
    </border>
    <border>
      <left/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499984740745262"/>
      </left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3" tint="-0.499984740745262"/>
      </left>
      <right/>
      <top/>
      <bottom style="medium">
        <color theme="3" tint="-0.499984740745262"/>
      </bottom>
      <diagonal/>
    </border>
    <border>
      <left/>
      <right/>
      <top/>
      <bottom style="medium">
        <color theme="3" tint="-0.499984740745262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39" fillId="0" borderId="0">
      <alignment vertical="center"/>
    </xf>
    <xf numFmtId="0" fontId="39" fillId="0" borderId="0"/>
  </cellStyleXfs>
  <cellXfs count="404">
    <xf numFmtId="0" fontId="0" fillId="0" borderId="0" xfId="0"/>
    <xf numFmtId="0" fontId="5" fillId="3" borderId="0" xfId="0" applyFont="1" applyFill="1"/>
    <xf numFmtId="0" fontId="5" fillId="4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4" borderId="4" xfId="0" applyFont="1" applyFill="1" applyBorder="1"/>
    <xf numFmtId="0" fontId="5" fillId="4" borderId="0" xfId="0" applyFont="1" applyFill="1"/>
    <xf numFmtId="0" fontId="5" fillId="4" borderId="5" xfId="0" applyFont="1" applyFill="1" applyBorder="1"/>
    <xf numFmtId="0" fontId="5" fillId="5" borderId="4" xfId="0" applyFont="1" applyFill="1" applyBorder="1"/>
    <xf numFmtId="0" fontId="5" fillId="5" borderId="0" xfId="0" applyFont="1" applyFill="1"/>
    <xf numFmtId="0" fontId="5" fillId="5" borderId="5" xfId="0" applyFont="1" applyFill="1" applyBorder="1"/>
    <xf numFmtId="0" fontId="5" fillId="6" borderId="4" xfId="0" applyFont="1" applyFill="1" applyBorder="1"/>
    <xf numFmtId="0" fontId="5" fillId="6" borderId="0" xfId="0" applyFont="1" applyFill="1"/>
    <xf numFmtId="0" fontId="5" fillId="6" borderId="5" xfId="0" applyFont="1" applyFill="1" applyBorder="1"/>
    <xf numFmtId="0" fontId="7" fillId="0" borderId="0" xfId="1" applyFont="1" applyFill="1" applyBorder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8" fillId="6" borderId="4" xfId="0" applyFont="1" applyFill="1" applyBorder="1"/>
    <xf numFmtId="0" fontId="9" fillId="6" borderId="0" xfId="0" applyFont="1" applyFill="1"/>
    <xf numFmtId="0" fontId="10" fillId="6" borderId="0" xfId="0" applyFont="1" applyFill="1"/>
    <xf numFmtId="0" fontId="5" fillId="6" borderId="0" xfId="0" applyFont="1" applyFill="1" applyAlignment="1">
      <alignment horizontal="right"/>
    </xf>
    <xf numFmtId="0" fontId="10" fillId="6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8" fillId="6" borderId="0" xfId="0" applyFont="1" applyFill="1"/>
    <xf numFmtId="0" fontId="8" fillId="6" borderId="5" xfId="0" applyFont="1" applyFill="1" applyBorder="1"/>
    <xf numFmtId="0" fontId="8" fillId="3" borderId="0" xfId="0" applyFont="1" applyFill="1"/>
    <xf numFmtId="0" fontId="10" fillId="6" borderId="4" xfId="0" applyFont="1" applyFill="1" applyBorder="1"/>
    <xf numFmtId="0" fontId="12" fillId="6" borderId="0" xfId="0" applyFont="1" applyFill="1"/>
    <xf numFmtId="0" fontId="10" fillId="6" borderId="5" xfId="0" applyFont="1" applyFill="1" applyBorder="1"/>
    <xf numFmtId="0" fontId="10" fillId="3" borderId="0" xfId="0" applyFont="1" applyFill="1"/>
    <xf numFmtId="0" fontId="13" fillId="6" borderId="0" xfId="0" applyFont="1" applyFill="1" applyAlignment="1">
      <alignment horizontal="left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 vertical="center"/>
    </xf>
    <xf numFmtId="0" fontId="8" fillId="6" borderId="12" xfId="0" applyFont="1" applyFill="1" applyBorder="1"/>
    <xf numFmtId="0" fontId="16" fillId="6" borderId="6" xfId="0" applyFont="1" applyFill="1" applyBorder="1" applyAlignment="1">
      <alignment horizontal="left" vertical="center" indent="1"/>
    </xf>
    <xf numFmtId="0" fontId="16" fillId="6" borderId="7" xfId="0" applyFont="1" applyFill="1" applyBorder="1" applyAlignment="1">
      <alignment horizontal="left" vertical="center" indent="1"/>
    </xf>
    <xf numFmtId="0" fontId="16" fillId="6" borderId="8" xfId="0" applyFont="1" applyFill="1" applyBorder="1" applyAlignment="1">
      <alignment horizontal="left" vertical="center" indent="1"/>
    </xf>
    <xf numFmtId="0" fontId="16" fillId="7" borderId="6" xfId="0" applyFont="1" applyFill="1" applyBorder="1" applyAlignment="1">
      <alignment horizontal="left" vertical="center" indent="1"/>
    </xf>
    <xf numFmtId="0" fontId="16" fillId="7" borderId="7" xfId="0" applyFont="1" applyFill="1" applyBorder="1" applyAlignment="1">
      <alignment horizontal="left" vertical="center" indent="1"/>
    </xf>
    <xf numFmtId="0" fontId="16" fillId="7" borderId="8" xfId="0" applyFont="1" applyFill="1" applyBorder="1" applyAlignment="1">
      <alignment horizontal="left" vertical="center" indent="1"/>
    </xf>
    <xf numFmtId="0" fontId="16" fillId="6" borderId="6" xfId="0" applyFont="1" applyFill="1" applyBorder="1" applyAlignment="1">
      <alignment horizontal="left" vertical="center" indent="1"/>
    </xf>
    <xf numFmtId="0" fontId="16" fillId="6" borderId="7" xfId="0" applyFont="1" applyFill="1" applyBorder="1" applyAlignment="1">
      <alignment horizontal="left" vertical="center" indent="1"/>
    </xf>
    <xf numFmtId="0" fontId="16" fillId="6" borderId="8" xfId="0" applyFont="1" applyFill="1" applyBorder="1" applyAlignment="1">
      <alignment horizontal="left" vertical="center" indent="1"/>
    </xf>
    <xf numFmtId="0" fontId="16" fillId="7" borderId="6" xfId="0" applyFont="1" applyFill="1" applyBorder="1" applyAlignment="1">
      <alignment horizontal="left" vertical="center" indent="1"/>
    </xf>
    <xf numFmtId="0" fontId="16" fillId="7" borderId="7" xfId="0" applyFont="1" applyFill="1" applyBorder="1" applyAlignment="1">
      <alignment horizontal="left" vertical="center" indent="1"/>
    </xf>
    <xf numFmtId="0" fontId="16" fillId="7" borderId="8" xfId="0" applyFont="1" applyFill="1" applyBorder="1" applyAlignment="1">
      <alignment horizontal="left" vertical="center" indent="1"/>
    </xf>
    <xf numFmtId="0" fontId="16" fillId="6" borderId="10" xfId="0" applyFont="1" applyFill="1" applyBorder="1" applyAlignment="1">
      <alignment horizontal="left" vertical="center" indent="1"/>
    </xf>
    <xf numFmtId="0" fontId="17" fillId="6" borderId="10" xfId="2" applyFont="1" applyFill="1" applyBorder="1" applyAlignment="1">
      <alignment horizontal="left" vertical="center" indent="1"/>
    </xf>
    <xf numFmtId="0" fontId="17" fillId="6" borderId="10" xfId="0" applyFont="1" applyFill="1" applyBorder="1" applyAlignment="1">
      <alignment horizontal="left" vertical="center" indent="1"/>
    </xf>
    <xf numFmtId="0" fontId="16" fillId="6" borderId="13" xfId="0" applyFont="1" applyFill="1" applyBorder="1" applyAlignment="1">
      <alignment horizontal="left" vertical="center" indent="1"/>
    </xf>
    <xf numFmtId="0" fontId="17" fillId="6" borderId="13" xfId="2" applyFont="1" applyFill="1" applyBorder="1" applyAlignment="1">
      <alignment horizontal="left" vertical="center" indent="1"/>
    </xf>
    <xf numFmtId="0" fontId="17" fillId="6" borderId="13" xfId="0" applyFont="1" applyFill="1" applyBorder="1" applyAlignment="1">
      <alignment horizontal="left" vertical="center" indent="1"/>
    </xf>
    <xf numFmtId="0" fontId="17" fillId="6" borderId="7" xfId="2" applyFont="1" applyFill="1" applyBorder="1" applyAlignment="1">
      <alignment horizontal="left" vertical="center" indent="1"/>
    </xf>
    <xf numFmtId="0" fontId="17" fillId="6" borderId="7" xfId="0" applyFont="1" applyFill="1" applyBorder="1" applyAlignment="1">
      <alignment horizontal="left" vertical="center" indent="1"/>
    </xf>
    <xf numFmtId="0" fontId="18" fillId="6" borderId="5" xfId="0" applyFont="1" applyFill="1" applyBorder="1" applyAlignment="1">
      <alignment horizontal="left" vertical="center" indent="1"/>
    </xf>
    <xf numFmtId="0" fontId="16" fillId="6" borderId="0" xfId="0" applyFont="1" applyFill="1"/>
    <xf numFmtId="0" fontId="8" fillId="6" borderId="14" xfId="0" applyFont="1" applyFill="1" applyBorder="1"/>
    <xf numFmtId="0" fontId="8" fillId="0" borderId="15" xfId="0" applyFont="1" applyBorder="1"/>
    <xf numFmtId="0" fontId="8" fillId="6" borderId="16" xfId="0" applyFont="1" applyFill="1" applyBorder="1"/>
    <xf numFmtId="0" fontId="0" fillId="3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19" fillId="0" borderId="0" xfId="1" applyFont="1" applyFill="1" applyBorder="1"/>
    <xf numFmtId="0" fontId="2" fillId="6" borderId="0" xfId="0" applyFont="1" applyFill="1"/>
    <xf numFmtId="0" fontId="20" fillId="6" borderId="4" xfId="0" applyFont="1" applyFill="1" applyBorder="1"/>
    <xf numFmtId="0" fontId="20" fillId="6" borderId="0" xfId="0" applyFont="1" applyFill="1"/>
    <xf numFmtId="0" fontId="20" fillId="6" borderId="5" xfId="0" applyFont="1" applyFill="1" applyBorder="1"/>
    <xf numFmtId="0" fontId="20" fillId="3" borderId="0" xfId="0" applyFont="1" applyFill="1"/>
    <xf numFmtId="0" fontId="13" fillId="6" borderId="0" xfId="0" applyFont="1" applyFill="1"/>
    <xf numFmtId="0" fontId="21" fillId="6" borderId="0" xfId="0" applyFont="1" applyFill="1"/>
    <xf numFmtId="0" fontId="22" fillId="6" borderId="0" xfId="0" applyFont="1" applyFill="1"/>
    <xf numFmtId="0" fontId="23" fillId="6" borderId="0" xfId="0" applyFont="1" applyFill="1"/>
    <xf numFmtId="0" fontId="24" fillId="6" borderId="0" xfId="0" applyFont="1" applyFill="1"/>
    <xf numFmtId="0" fontId="23" fillId="6" borderId="4" xfId="0" applyFont="1" applyFill="1" applyBorder="1"/>
    <xf numFmtId="0" fontId="13" fillId="0" borderId="0" xfId="0" applyFont="1"/>
    <xf numFmtId="0" fontId="20" fillId="0" borderId="0" xfId="0" applyFont="1"/>
    <xf numFmtId="0" fontId="23" fillId="6" borderId="5" xfId="0" applyFont="1" applyFill="1" applyBorder="1"/>
    <xf numFmtId="0" fontId="23" fillId="3" borderId="0" xfId="0" applyFont="1" applyFill="1"/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29" fillId="0" borderId="0" xfId="2" applyFont="1" applyFill="1" applyBorder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9" fillId="6" borderId="5" xfId="2" applyFont="1" applyFill="1" applyBorder="1" applyAlignment="1">
      <alignment vertical="center"/>
    </xf>
    <xf numFmtId="0" fontId="29" fillId="6" borderId="5" xfId="0" applyFont="1" applyFill="1" applyBorder="1" applyAlignment="1">
      <alignment horizontal="left" vertical="center" indent="1"/>
    </xf>
    <xf numFmtId="0" fontId="29" fillId="0" borderId="0" xfId="2" applyFont="1" applyFill="1" applyBorder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9" fillId="0" borderId="0" xfId="2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left" vertical="center" indent="1"/>
    </xf>
    <xf numFmtId="0" fontId="29" fillId="6" borderId="0" xfId="2" applyFont="1" applyFill="1" applyBorder="1" applyAlignment="1">
      <alignment horizontal="left" vertical="center"/>
    </xf>
    <xf numFmtId="0" fontId="29" fillId="6" borderId="0" xfId="0" applyFont="1" applyFill="1" applyAlignment="1">
      <alignment horizontal="left" vertical="center"/>
    </xf>
    <xf numFmtId="0" fontId="29" fillId="6" borderId="0" xfId="2" applyFont="1" applyFill="1" applyBorder="1" applyAlignment="1">
      <alignment horizontal="left" vertical="center"/>
    </xf>
    <xf numFmtId="0" fontId="29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center" indent="1"/>
    </xf>
    <xf numFmtId="0" fontId="29" fillId="6" borderId="0" xfId="2" applyFont="1" applyFill="1" applyBorder="1" applyAlignment="1">
      <alignment horizontal="left" vertical="center" indent="1"/>
    </xf>
    <xf numFmtId="0" fontId="20" fillId="6" borderId="14" xfId="0" applyFont="1" applyFill="1" applyBorder="1"/>
    <xf numFmtId="0" fontId="20" fillId="0" borderId="15" xfId="0" applyFont="1" applyBorder="1"/>
    <xf numFmtId="0" fontId="20" fillId="6" borderId="16" xfId="0" applyFont="1" applyFill="1" applyBorder="1"/>
    <xf numFmtId="14" fontId="0" fillId="0" borderId="0" xfId="0" applyNumberFormat="1"/>
    <xf numFmtId="15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11" fillId="6" borderId="0" xfId="0" applyFont="1" applyFill="1"/>
    <xf numFmtId="0" fontId="5" fillId="6" borderId="0" xfId="0" applyFont="1" applyFill="1" applyAlignment="1">
      <alignment horizontal="left"/>
    </xf>
    <xf numFmtId="0" fontId="14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 wrapText="1"/>
    </xf>
    <xf numFmtId="0" fontId="31" fillId="7" borderId="17" xfId="0" applyFont="1" applyFill="1" applyBorder="1" applyAlignment="1">
      <alignment horizontal="center" vertical="center"/>
    </xf>
    <xf numFmtId="164" fontId="17" fillId="0" borderId="6" xfId="0" applyNumberFormat="1" applyFont="1" applyBorder="1" applyAlignment="1">
      <alignment horizontal="center" vertical="center" wrapText="1"/>
    </xf>
    <xf numFmtId="164" fontId="17" fillId="0" borderId="7" xfId="0" applyNumberFormat="1" applyFont="1" applyBorder="1" applyAlignment="1">
      <alignment horizontal="center" vertical="center" wrapText="1"/>
    </xf>
    <xf numFmtId="164" fontId="17" fillId="0" borderId="8" xfId="0" applyNumberFormat="1" applyFont="1" applyBorder="1" applyAlignment="1">
      <alignment horizontal="center" vertical="center" wrapText="1"/>
    </xf>
    <xf numFmtId="164" fontId="16" fillId="6" borderId="6" xfId="0" applyNumberFormat="1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164" fontId="16" fillId="6" borderId="8" xfId="0" applyNumberFormat="1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left" vertical="center" indent="1"/>
    </xf>
    <xf numFmtId="164" fontId="17" fillId="7" borderId="17" xfId="0" applyNumberFormat="1" applyFont="1" applyFill="1" applyBorder="1" applyAlignment="1">
      <alignment horizontal="center" vertical="center" wrapText="1"/>
    </xf>
    <xf numFmtId="164" fontId="16" fillId="7" borderId="17" xfId="0" applyNumberFormat="1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left" vertical="center" indent="1"/>
    </xf>
    <xf numFmtId="164" fontId="17" fillId="0" borderId="17" xfId="0" applyNumberFormat="1" applyFont="1" applyBorder="1" applyAlignment="1">
      <alignment horizontal="center" vertical="center" wrapText="1"/>
    </xf>
    <xf numFmtId="164" fontId="16" fillId="6" borderId="17" xfId="0" applyNumberFormat="1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left" vertical="center" indent="1"/>
    </xf>
    <xf numFmtId="0" fontId="16" fillId="0" borderId="7" xfId="0" applyFont="1" applyBorder="1" applyAlignment="1">
      <alignment horizontal="left" vertical="center" indent="1"/>
    </xf>
    <xf numFmtId="0" fontId="16" fillId="0" borderId="8" xfId="0" applyFont="1" applyBorder="1" applyAlignment="1">
      <alignment horizontal="left" vertical="center" indent="1"/>
    </xf>
    <xf numFmtId="0" fontId="16" fillId="0" borderId="17" xfId="0" applyFont="1" applyBorder="1" applyAlignment="1">
      <alignment horizontal="left" vertical="center" indent="1"/>
    </xf>
    <xf numFmtId="164" fontId="16" fillId="0" borderId="17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64" fontId="17" fillId="6" borderId="17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 indent="1"/>
    </xf>
    <xf numFmtId="164" fontId="17" fillId="0" borderId="0" xfId="0" applyNumberFormat="1" applyFont="1" applyAlignment="1">
      <alignment horizontal="center" vertical="center" wrapText="1"/>
    </xf>
    <xf numFmtId="164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23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6" fillId="6" borderId="11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33" fillId="6" borderId="0" xfId="2" quotePrefix="1" applyFont="1" applyFill="1" applyBorder="1" applyAlignment="1">
      <alignment horizontal="left" vertical="top" wrapText="1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164" fontId="17" fillId="7" borderId="6" xfId="0" applyNumberFormat="1" applyFont="1" applyFill="1" applyBorder="1" applyAlignment="1">
      <alignment horizontal="center" vertical="center" wrapText="1"/>
    </xf>
    <xf numFmtId="164" fontId="17" fillId="7" borderId="7" xfId="0" applyNumberFormat="1" applyFont="1" applyFill="1" applyBorder="1" applyAlignment="1">
      <alignment horizontal="center" vertical="center" wrapText="1"/>
    </xf>
    <xf numFmtId="164" fontId="17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/>
    </xf>
    <xf numFmtId="164" fontId="16" fillId="7" borderId="7" xfId="0" applyNumberFormat="1" applyFont="1" applyFill="1" applyBorder="1" applyAlignment="1">
      <alignment horizontal="center" vertical="center"/>
    </xf>
    <xf numFmtId="164" fontId="16" fillId="7" borderId="8" xfId="0" applyNumberFormat="1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left" vertical="center" indent="1"/>
    </xf>
    <xf numFmtId="0" fontId="16" fillId="7" borderId="10" xfId="0" applyFont="1" applyFill="1" applyBorder="1" applyAlignment="1">
      <alignment horizontal="left" vertical="center" indent="1"/>
    </xf>
    <xf numFmtId="0" fontId="16" fillId="7" borderId="11" xfId="0" applyFont="1" applyFill="1" applyBorder="1" applyAlignment="1">
      <alignment horizontal="left" vertical="center" indent="1"/>
    </xf>
    <xf numFmtId="0" fontId="16" fillId="7" borderId="9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164" fontId="17" fillId="7" borderId="9" xfId="0" applyNumberFormat="1" applyFont="1" applyFill="1" applyBorder="1" applyAlignment="1">
      <alignment horizontal="center" vertical="center" wrapText="1"/>
    </xf>
    <xf numFmtId="164" fontId="17" fillId="7" borderId="10" xfId="0" applyNumberFormat="1" applyFont="1" applyFill="1" applyBorder="1" applyAlignment="1">
      <alignment horizontal="center" vertical="center" wrapText="1"/>
    </xf>
    <xf numFmtId="164" fontId="17" fillId="7" borderId="11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/>
    </xf>
    <xf numFmtId="164" fontId="16" fillId="7" borderId="10" xfId="0" applyNumberFormat="1" applyFont="1" applyFill="1" applyBorder="1" applyAlignment="1">
      <alignment horizontal="center" vertical="center"/>
    </xf>
    <xf numFmtId="164" fontId="16" fillId="7" borderId="11" xfId="0" applyNumberFormat="1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left" vertical="center" indent="1"/>
    </xf>
    <xf numFmtId="0" fontId="16" fillId="7" borderId="13" xfId="0" applyFont="1" applyFill="1" applyBorder="1" applyAlignment="1">
      <alignment horizontal="left" vertical="center" indent="1"/>
    </xf>
    <xf numFmtId="0" fontId="16" fillId="7" borderId="19" xfId="0" applyFont="1" applyFill="1" applyBorder="1" applyAlignment="1">
      <alignment horizontal="left" vertical="center" indent="1"/>
    </xf>
    <xf numFmtId="0" fontId="16" fillId="7" borderId="18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164" fontId="17" fillId="7" borderId="18" xfId="0" applyNumberFormat="1" applyFont="1" applyFill="1" applyBorder="1" applyAlignment="1">
      <alignment horizontal="center" vertical="center" wrapText="1"/>
    </xf>
    <xf numFmtId="164" fontId="17" fillId="7" borderId="13" xfId="0" applyNumberFormat="1" applyFont="1" applyFill="1" applyBorder="1" applyAlignment="1">
      <alignment horizontal="center" vertical="center" wrapText="1"/>
    </xf>
    <xf numFmtId="164" fontId="17" fillId="7" borderId="19" xfId="0" applyNumberFormat="1" applyFont="1" applyFill="1" applyBorder="1" applyAlignment="1">
      <alignment horizontal="center" vertical="center" wrapText="1"/>
    </xf>
    <xf numFmtId="164" fontId="16" fillId="7" borderId="18" xfId="0" applyNumberFormat="1" applyFont="1" applyFill="1" applyBorder="1" applyAlignment="1">
      <alignment horizontal="center" vertical="center"/>
    </xf>
    <xf numFmtId="164" fontId="16" fillId="7" borderId="13" xfId="0" applyNumberFormat="1" applyFont="1" applyFill="1" applyBorder="1" applyAlignment="1">
      <alignment horizontal="center" vertical="center"/>
    </xf>
    <xf numFmtId="164" fontId="16" fillId="7" borderId="19" xfId="0" applyNumberFormat="1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left" vertical="center" indent="1"/>
    </xf>
    <xf numFmtId="0" fontId="16" fillId="6" borderId="10" xfId="0" applyFont="1" applyFill="1" applyBorder="1" applyAlignment="1">
      <alignment horizontal="left" vertical="center" indent="1"/>
    </xf>
    <xf numFmtId="0" fontId="16" fillId="6" borderId="11" xfId="0" applyFont="1" applyFill="1" applyBorder="1" applyAlignment="1">
      <alignment horizontal="left" vertical="center" indent="1"/>
    </xf>
    <xf numFmtId="0" fontId="16" fillId="6" borderId="10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164" fontId="17" fillId="0" borderId="9" xfId="0" applyNumberFormat="1" applyFont="1" applyBorder="1" applyAlignment="1">
      <alignment horizontal="center" vertical="center" wrapText="1"/>
    </xf>
    <xf numFmtId="164" fontId="17" fillId="0" borderId="10" xfId="0" applyNumberFormat="1" applyFont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 wrapText="1"/>
    </xf>
    <xf numFmtId="164" fontId="16" fillId="6" borderId="9" xfId="0" applyNumberFormat="1" applyFont="1" applyFill="1" applyBorder="1" applyAlignment="1">
      <alignment horizontal="center" vertical="center"/>
    </xf>
    <xf numFmtId="164" fontId="16" fillId="6" borderId="10" xfId="0" applyNumberFormat="1" applyFont="1" applyFill="1" applyBorder="1" applyAlignment="1">
      <alignment horizontal="center" vertical="center"/>
    </xf>
    <xf numFmtId="164" fontId="16" fillId="6" borderId="11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left" vertical="center" indent="1"/>
    </xf>
    <xf numFmtId="0" fontId="16" fillId="6" borderId="13" xfId="0" applyFont="1" applyFill="1" applyBorder="1" applyAlignment="1">
      <alignment horizontal="left" vertical="center" indent="1"/>
    </xf>
    <xf numFmtId="0" fontId="16" fillId="6" borderId="19" xfId="0" applyFont="1" applyFill="1" applyBorder="1" applyAlignment="1">
      <alignment horizontal="left" vertical="center" indent="1"/>
    </xf>
    <xf numFmtId="0" fontId="16" fillId="6" borderId="18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  <xf numFmtId="164" fontId="17" fillId="0" borderId="18" xfId="0" applyNumberFormat="1" applyFont="1" applyBorder="1" applyAlignment="1">
      <alignment horizontal="center" vertical="center" wrapText="1"/>
    </xf>
    <xf numFmtId="164" fontId="17" fillId="0" borderId="13" xfId="0" applyNumberFormat="1" applyFont="1" applyBorder="1" applyAlignment="1">
      <alignment horizontal="center" vertical="center" wrapText="1"/>
    </xf>
    <xf numFmtId="164" fontId="17" fillId="0" borderId="19" xfId="0" applyNumberFormat="1" applyFont="1" applyBorder="1" applyAlignment="1">
      <alignment horizontal="center" vertical="center" wrapText="1"/>
    </xf>
    <xf numFmtId="164" fontId="16" fillId="6" borderId="18" xfId="0" applyNumberFormat="1" applyFont="1" applyFill="1" applyBorder="1" applyAlignment="1">
      <alignment horizontal="center" vertical="center"/>
    </xf>
    <xf numFmtId="164" fontId="16" fillId="6" borderId="13" xfId="0" applyNumberFormat="1" applyFont="1" applyFill="1" applyBorder="1" applyAlignment="1">
      <alignment horizontal="center" vertical="center"/>
    </xf>
    <xf numFmtId="164" fontId="16" fillId="6" borderId="19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left" vertical="center" indent="1"/>
    </xf>
    <xf numFmtId="0" fontId="16" fillId="9" borderId="6" xfId="0" applyFont="1" applyFill="1" applyBorder="1" applyAlignment="1">
      <alignment horizontal="left" vertical="center" indent="1"/>
    </xf>
    <xf numFmtId="0" fontId="16" fillId="9" borderId="7" xfId="0" applyFont="1" applyFill="1" applyBorder="1" applyAlignment="1">
      <alignment horizontal="left" vertical="center" indent="1"/>
    </xf>
    <xf numFmtId="0" fontId="16" fillId="9" borderId="8" xfId="0" applyFont="1" applyFill="1" applyBorder="1" applyAlignment="1">
      <alignment horizontal="left" vertical="center" indent="1"/>
    </xf>
    <xf numFmtId="164" fontId="17" fillId="9" borderId="17" xfId="0" applyNumberFormat="1" applyFont="1" applyFill="1" applyBorder="1" applyAlignment="1">
      <alignment horizontal="center" vertical="center" wrapText="1"/>
    </xf>
    <xf numFmtId="164" fontId="16" fillId="9" borderId="6" xfId="0" applyNumberFormat="1" applyFont="1" applyFill="1" applyBorder="1" applyAlignment="1">
      <alignment horizontal="center" vertical="center"/>
    </xf>
    <xf numFmtId="164" fontId="16" fillId="9" borderId="7" xfId="0" applyNumberFormat="1" applyFont="1" applyFill="1" applyBorder="1" applyAlignment="1">
      <alignment horizontal="center" vertical="center"/>
    </xf>
    <xf numFmtId="164" fontId="16" fillId="9" borderId="8" xfId="0" applyNumberFormat="1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left" vertical="center" wrapText="1" indent="1"/>
    </xf>
    <xf numFmtId="0" fontId="16" fillId="7" borderId="6" xfId="0" applyFont="1" applyFill="1" applyBorder="1" applyAlignment="1">
      <alignment horizontal="left" vertical="center" wrapText="1" indent="1"/>
    </xf>
    <xf numFmtId="0" fontId="31" fillId="0" borderId="0" xfId="0" applyFont="1" applyAlignment="1">
      <alignment horizontal="center" vertical="center"/>
    </xf>
    <xf numFmtId="0" fontId="0" fillId="6" borderId="0" xfId="0" applyFill="1" applyAlignment="1">
      <alignment vertical="center"/>
    </xf>
    <xf numFmtId="0" fontId="34" fillId="7" borderId="17" xfId="0" applyFont="1" applyFill="1" applyBorder="1" applyAlignment="1">
      <alignment horizontal="center" vertical="center" wrapText="1"/>
    </xf>
    <xf numFmtId="0" fontId="34" fillId="6" borderId="17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 wrapText="1"/>
    </xf>
    <xf numFmtId="0" fontId="35" fillId="7" borderId="17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36" fillId="7" borderId="17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0" fillId="9" borderId="0" xfId="0" applyFill="1"/>
    <xf numFmtId="0" fontId="0" fillId="6" borderId="25" xfId="0" applyFill="1" applyBorder="1"/>
    <xf numFmtId="0" fontId="0" fillId="6" borderId="26" xfId="0" applyFill="1" applyBorder="1"/>
    <xf numFmtId="0" fontId="0" fillId="0" borderId="26" xfId="0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0" borderId="5" xfId="0" applyBorder="1"/>
    <xf numFmtId="0" fontId="37" fillId="6" borderId="0" xfId="0" applyFont="1" applyFill="1"/>
    <xf numFmtId="0" fontId="38" fillId="6" borderId="0" xfId="0" applyFont="1" applyFill="1"/>
    <xf numFmtId="0" fontId="0" fillId="6" borderId="0" xfId="0" applyFill="1" applyAlignment="1">
      <alignment horizontal="right"/>
    </xf>
    <xf numFmtId="0" fontId="3" fillId="4" borderId="17" xfId="0" applyFont="1" applyFill="1" applyBorder="1" applyAlignment="1">
      <alignment horizontal="center" vertical="center"/>
    </xf>
    <xf numFmtId="0" fontId="3" fillId="4" borderId="17" xfId="3" applyFont="1" applyFill="1" applyBorder="1" applyAlignment="1">
      <alignment horizontal="center" vertical="center" wrapText="1"/>
    </xf>
    <xf numFmtId="0" fontId="3" fillId="4" borderId="17" xfId="3" applyFont="1" applyFill="1" applyBorder="1" applyAlignment="1">
      <alignment horizontal="center" vertical="center" wrapText="1"/>
    </xf>
    <xf numFmtId="0" fontId="40" fillId="0" borderId="5" xfId="0" applyFont="1" applyBorder="1" applyAlignment="1">
      <alignment vertical="center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2" fontId="19" fillId="7" borderId="17" xfId="3" applyNumberFormat="1" applyFont="1" applyFill="1" applyBorder="1" applyAlignment="1">
      <alignment horizontal="center" vertical="center" wrapText="1"/>
    </xf>
    <xf numFmtId="0" fontId="19" fillId="7" borderId="17" xfId="3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40" fillId="6" borderId="5" xfId="0" applyFont="1" applyFill="1" applyBorder="1" applyAlignment="1">
      <alignment vertical="center" wrapText="1"/>
    </xf>
    <xf numFmtId="0" fontId="0" fillId="0" borderId="31" xfId="0" applyBorder="1" applyAlignment="1">
      <alignment horizontal="center" vertical="center" wrapText="1"/>
    </xf>
    <xf numFmtId="0" fontId="19" fillId="7" borderId="17" xfId="3" applyFont="1" applyFill="1" applyBorder="1" applyAlignment="1">
      <alignment horizontal="center" vertical="center" wrapText="1"/>
    </xf>
    <xf numFmtId="3" fontId="19" fillId="7" borderId="17" xfId="3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4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40" fillId="0" borderId="0" xfId="4" applyFont="1" applyAlignment="1">
      <alignment vertical="center" wrapText="1"/>
    </xf>
    <xf numFmtId="0" fontId="40" fillId="0" borderId="0" xfId="4" applyFont="1" applyAlignment="1">
      <alignment horizontal="center" vertical="center"/>
    </xf>
    <xf numFmtId="3" fontId="40" fillId="0" borderId="0" xfId="4" applyNumberFormat="1" applyFont="1" applyAlignment="1">
      <alignment horizontal="center" vertical="center"/>
    </xf>
    <xf numFmtId="0" fontId="42" fillId="6" borderId="0" xfId="0" applyFont="1" applyFill="1"/>
    <xf numFmtId="0" fontId="42" fillId="6" borderId="5" xfId="0" applyFont="1" applyFill="1" applyBorder="1"/>
    <xf numFmtId="0" fontId="42" fillId="6" borderId="0" xfId="0" applyFont="1" applyFill="1" applyAlignment="1">
      <alignment horizontal="left" vertical="center" wrapText="1"/>
    </xf>
    <xf numFmtId="0" fontId="42" fillId="6" borderId="32" xfId="0" applyFont="1" applyFill="1" applyBorder="1"/>
    <xf numFmtId="0" fontId="0" fillId="6" borderId="33" xfId="0" applyFill="1" applyBorder="1"/>
    <xf numFmtId="0" fontId="42" fillId="0" borderId="34" xfId="0" applyFont="1" applyBorder="1"/>
    <xf numFmtId="0" fontId="42" fillId="6" borderId="34" xfId="0" applyFont="1" applyFill="1" applyBorder="1"/>
    <xf numFmtId="0" fontId="42" fillId="6" borderId="15" xfId="0" applyFont="1" applyFill="1" applyBorder="1"/>
    <xf numFmtId="0" fontId="42" fillId="6" borderId="35" xfId="0" applyFont="1" applyFill="1" applyBorder="1"/>
    <xf numFmtId="0" fontId="40" fillId="0" borderId="0" xfId="0" applyFont="1" applyAlignment="1">
      <alignment vertical="center" wrapText="1"/>
    </xf>
    <xf numFmtId="0" fontId="40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40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vertical="center" wrapText="1"/>
    </xf>
    <xf numFmtId="0" fontId="40" fillId="0" borderId="5" xfId="0" applyFont="1" applyBorder="1" applyAlignment="1">
      <alignment horizontal="center" vertical="center" wrapText="1"/>
    </xf>
    <xf numFmtId="0" fontId="45" fillId="6" borderId="5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2" fontId="19" fillId="6" borderId="0" xfId="3" applyNumberFormat="1" applyFont="1" applyFill="1" applyAlignment="1">
      <alignment horizontal="center" vertical="center" wrapText="1"/>
    </xf>
    <xf numFmtId="0" fontId="19" fillId="6" borderId="0" xfId="3" applyFont="1" applyFill="1" applyAlignment="1">
      <alignment horizontal="center" vertical="center"/>
    </xf>
    <xf numFmtId="3" fontId="45" fillId="6" borderId="0" xfId="4" applyNumberFormat="1" applyFont="1" applyFill="1" applyAlignment="1">
      <alignment horizontal="center" vertical="center"/>
    </xf>
    <xf numFmtId="0" fontId="42" fillId="6" borderId="0" xfId="0" applyFont="1" applyFill="1" applyAlignment="1">
      <alignment vertical="center" wrapText="1"/>
    </xf>
    <xf numFmtId="0" fontId="0" fillId="6" borderId="28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5" xfId="0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6" borderId="34" xfId="0" applyFill="1" applyBorder="1"/>
    <xf numFmtId="0" fontId="0" fillId="6" borderId="15" xfId="0" applyFill="1" applyBorder="1"/>
    <xf numFmtId="0" fontId="0" fillId="6" borderId="16" xfId="0" applyFill="1" applyBorder="1"/>
    <xf numFmtId="0" fontId="19" fillId="7" borderId="17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46" fillId="7" borderId="1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19" fillId="0" borderId="0" xfId="3" applyNumberFormat="1" applyFont="1" applyAlignment="1">
      <alignment vertical="center" wrapText="1"/>
    </xf>
    <xf numFmtId="0" fontId="19" fillId="0" borderId="0" xfId="3" applyFont="1" applyAlignment="1">
      <alignment horizontal="center" vertical="center"/>
    </xf>
    <xf numFmtId="0" fontId="0" fillId="10" borderId="0" xfId="0" applyFill="1"/>
    <xf numFmtId="0" fontId="1" fillId="4" borderId="1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28" fillId="6" borderId="17" xfId="0" applyFont="1" applyFill="1" applyBorder="1" applyAlignment="1">
      <alignment horizontal="center" vertical="center" wrapText="1"/>
    </xf>
    <xf numFmtId="0" fontId="47" fillId="6" borderId="11" xfId="0" applyFont="1" applyFill="1" applyBorder="1" applyAlignment="1">
      <alignment horizontal="center" vertical="center" wrapText="1"/>
    </xf>
    <xf numFmtId="0" fontId="47" fillId="6" borderId="17" xfId="0" applyFont="1" applyFill="1" applyBorder="1" applyAlignment="1">
      <alignment horizontal="center" vertical="center" wrapText="1"/>
    </xf>
    <xf numFmtId="0" fontId="47" fillId="6" borderId="17" xfId="0" applyFont="1" applyFill="1" applyBorder="1" applyAlignment="1">
      <alignment horizontal="left" vertical="center" wrapText="1" indent="1"/>
    </xf>
    <xf numFmtId="0" fontId="47" fillId="6" borderId="36" xfId="0" applyFont="1" applyFill="1" applyBorder="1" applyAlignment="1">
      <alignment horizontal="center" vertical="center" wrapText="1"/>
    </xf>
    <xf numFmtId="0" fontId="47" fillId="6" borderId="19" xfId="0" applyFont="1" applyFill="1" applyBorder="1" applyAlignment="1">
      <alignment horizontal="center" vertical="center" wrapText="1"/>
    </xf>
    <xf numFmtId="0" fontId="47" fillId="6" borderId="8" xfId="0" applyFont="1" applyFill="1" applyBorder="1" applyAlignment="1">
      <alignment horizontal="left" vertical="center" wrapText="1" indent="1"/>
    </xf>
    <xf numFmtId="0" fontId="47" fillId="6" borderId="8" xfId="0" applyFont="1" applyFill="1" applyBorder="1" applyAlignment="1">
      <alignment horizontal="left" vertical="center" wrapText="1" indent="1"/>
    </xf>
    <xf numFmtId="0" fontId="47" fillId="6" borderId="8" xfId="0" applyFont="1" applyFill="1" applyBorder="1" applyAlignment="1">
      <alignment horizontal="left" vertical="center"/>
    </xf>
    <xf numFmtId="0" fontId="47" fillId="6" borderId="6" xfId="0" applyFont="1" applyFill="1" applyBorder="1" applyAlignment="1">
      <alignment horizontal="center" vertical="center" wrapText="1"/>
    </xf>
    <xf numFmtId="0" fontId="47" fillId="6" borderId="7" xfId="0" applyFont="1" applyFill="1" applyBorder="1" applyAlignment="1">
      <alignment horizontal="center" vertical="center" wrapText="1"/>
    </xf>
    <xf numFmtId="0" fontId="47" fillId="6" borderId="8" xfId="0" applyFont="1" applyFill="1" applyBorder="1" applyAlignment="1">
      <alignment horizontal="center" vertical="center" wrapText="1"/>
    </xf>
    <xf numFmtId="0" fontId="28" fillId="6" borderId="0" xfId="0" applyFont="1" applyFill="1" applyAlignment="1">
      <alignment horizontal="left" vertical="center" wrapText="1" indent="1"/>
    </xf>
    <xf numFmtId="0" fontId="28" fillId="6" borderId="0" xfId="0" applyFont="1" applyFill="1" applyAlignment="1">
      <alignment horizontal="left" vertical="center" wrapText="1"/>
    </xf>
    <xf numFmtId="0" fontId="48" fillId="4" borderId="17" xfId="0" applyFont="1" applyFill="1" applyBorder="1" applyAlignment="1">
      <alignment horizontal="center" vertical="center"/>
    </xf>
    <xf numFmtId="0" fontId="49" fillId="0" borderId="31" xfId="0" applyFont="1" applyBorder="1" applyAlignment="1">
      <alignment horizontal="center" vertical="center" wrapText="1"/>
    </xf>
    <xf numFmtId="0" fontId="49" fillId="11" borderId="31" xfId="0" applyFont="1" applyFill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 wrapText="1"/>
    </xf>
    <xf numFmtId="0" fontId="49" fillId="11" borderId="17" xfId="0" applyFont="1" applyFill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12" borderId="6" xfId="0" applyFont="1" applyFill="1" applyBorder="1" applyAlignment="1">
      <alignment horizontal="center" vertical="center" wrapText="1"/>
    </xf>
    <xf numFmtId="0" fontId="49" fillId="12" borderId="7" xfId="0" applyFont="1" applyFill="1" applyBorder="1" applyAlignment="1">
      <alignment horizontal="center" vertical="center" wrapText="1"/>
    </xf>
    <xf numFmtId="0" fontId="49" fillId="12" borderId="8" xfId="0" applyFont="1" applyFill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 wrapText="1"/>
    </xf>
    <xf numFmtId="0" fontId="49" fillId="11" borderId="6" xfId="0" applyFont="1" applyFill="1" applyBorder="1" applyAlignment="1">
      <alignment horizontal="center" vertical="center"/>
    </xf>
    <xf numFmtId="0" fontId="49" fillId="11" borderId="7" xfId="0" applyFont="1" applyFill="1" applyBorder="1" applyAlignment="1">
      <alignment horizontal="center" vertical="center"/>
    </xf>
    <xf numFmtId="0" fontId="49" fillId="11" borderId="8" xfId="0" applyFont="1" applyFill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31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49" fillId="11" borderId="24" xfId="0" applyFont="1" applyFill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/>
    </xf>
    <xf numFmtId="0" fontId="49" fillId="11" borderId="31" xfId="0" quotePrefix="1" applyFont="1" applyFill="1" applyBorder="1" applyAlignment="1">
      <alignment horizontal="center" vertical="center" wrapText="1"/>
    </xf>
    <xf numFmtId="0" fontId="49" fillId="11" borderId="31" xfId="0" applyFont="1" applyFill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/>
    </xf>
    <xf numFmtId="0" fontId="49" fillId="11" borderId="6" xfId="0" quotePrefix="1" applyFont="1" applyFill="1" applyBorder="1" applyAlignment="1">
      <alignment horizontal="center" vertical="center" wrapText="1"/>
    </xf>
    <xf numFmtId="0" fontId="49" fillId="11" borderId="7" xfId="0" quotePrefix="1" applyFont="1" applyFill="1" applyBorder="1" applyAlignment="1">
      <alignment horizontal="center" vertical="center" wrapText="1"/>
    </xf>
    <xf numFmtId="0" fontId="49" fillId="11" borderId="8" xfId="0" quotePrefix="1" applyFont="1" applyFill="1" applyBorder="1" applyAlignment="1">
      <alignment horizontal="center" vertical="center" wrapText="1"/>
    </xf>
    <xf numFmtId="0" fontId="49" fillId="11" borderId="17" xfId="0" applyFont="1" applyFill="1" applyBorder="1" applyAlignment="1">
      <alignment horizontal="center" vertical="center" wrapText="1"/>
    </xf>
    <xf numFmtId="0" fontId="49" fillId="0" borderId="30" xfId="0" applyFont="1" applyBorder="1" applyAlignment="1">
      <alignment horizontal="center" vertical="center"/>
    </xf>
  </cellXfs>
  <cellStyles count="5">
    <cellStyle name="Hyperlink" xfId="2" builtinId="8"/>
    <cellStyle name="Neutral" xfId="1" builtinId="28"/>
    <cellStyle name="Normal" xfId="0" builtinId="0"/>
    <cellStyle name="Normal 13" xfId="3" xr:uid="{8A245DB2-DE56-4492-9B93-C04191142DA5}"/>
    <cellStyle name="표준 5" xfId="4" xr:uid="{63348ECC-C713-45A4-8BA4-FD2929978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55</xdr:col>
      <xdr:colOff>189753</xdr:colOff>
      <xdr:row>2</xdr:row>
      <xdr:rowOff>154398</xdr:rowOff>
    </xdr:from>
    <xdr:to>
      <xdr:col>59</xdr:col>
      <xdr:colOff>134002</xdr:colOff>
      <xdr:row>4</xdr:row>
      <xdr:rowOff>41262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5F478-D2E1-40DC-82CC-E55609EB6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7278" y="554448"/>
          <a:ext cx="706249" cy="30596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331257</xdr:colOff>
      <xdr:row>3</xdr:row>
      <xdr:rowOff>182529</xdr:rowOff>
    </xdr:from>
    <xdr:to>
      <xdr:col>14</xdr:col>
      <xdr:colOff>132472</xdr:colOff>
      <xdr:row>7</xdr:row>
      <xdr:rowOff>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1B9409-8838-48A4-82C2-F313C7BC4141}"/>
            </a:ext>
          </a:extLst>
        </xdr:cNvPr>
        <xdr:cNvSpPr txBox="1"/>
      </xdr:nvSpPr>
      <xdr:spPr>
        <a:xfrm>
          <a:off x="531282" y="792129"/>
          <a:ext cx="2468215" cy="456323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322973</xdr:colOff>
      <xdr:row>2</xdr:row>
      <xdr:rowOff>39460</xdr:rowOff>
    </xdr:from>
    <xdr:to>
      <xdr:col>21</xdr:col>
      <xdr:colOff>8648</xdr:colOff>
      <xdr:row>3</xdr:row>
      <xdr:rowOff>123992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E85F32-2EA8-45B0-9E57-B36B438CD2CD}"/>
            </a:ext>
          </a:extLst>
        </xdr:cNvPr>
        <xdr:cNvSpPr txBox="1"/>
      </xdr:nvSpPr>
      <xdr:spPr>
        <a:xfrm>
          <a:off x="522998" y="439510"/>
          <a:ext cx="3686175" cy="29408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800" b="1" baseline="0">
              <a:solidFill>
                <a:schemeClr val="bg1"/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Rate Sheet</a:t>
          </a:r>
          <a:endParaRPr lang="de-DE" sz="1800" b="1">
            <a:solidFill>
              <a:schemeClr val="bg1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329576</xdr:colOff>
      <xdr:row>4</xdr:row>
      <xdr:rowOff>126381</xdr:rowOff>
    </xdr:from>
    <xdr:to>
      <xdr:col>16</xdr:col>
      <xdr:colOff>22412</xdr:colOff>
      <xdr:row>6</xdr:row>
      <xdr:rowOff>24358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0D0EC2-382D-4BAB-98E6-6B4CFBBC28E1}"/>
            </a:ext>
          </a:extLst>
        </xdr:cNvPr>
        <xdr:cNvSpPr txBox="1"/>
      </xdr:nvSpPr>
      <xdr:spPr>
        <a:xfrm>
          <a:off x="529601" y="945531"/>
          <a:ext cx="2740836" cy="28850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050" b="1">
              <a:solidFill>
                <a:schemeClr val="bg1">
                  <a:alpha val="78000"/>
                </a:scheme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</a:t>
          </a:r>
          <a:r>
            <a:rPr lang="de-DE" sz="1050" b="0">
              <a:solidFill>
                <a:schemeClr val="bg1">
                  <a:alpha val="78000"/>
                </a:scheme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NORTH</a:t>
          </a:r>
          <a:r>
            <a:rPr lang="de-DE" sz="1050" b="0" baseline="0">
              <a:solidFill>
                <a:schemeClr val="bg1">
                  <a:alpha val="78000"/>
                </a:scheme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 CONTINENT TO ASIA</a:t>
          </a:r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</xdr:colOff>
      <xdr:row>2</xdr:row>
      <xdr:rowOff>104775</xdr:rowOff>
    </xdr:from>
    <xdr:ext cx="4590477" cy="2009524"/>
    <xdr:pic>
      <xdr:nvPicPr>
        <xdr:cNvPr id="2" name="Picture 1">
          <a:extLst>
            <a:ext uri="{FF2B5EF4-FFF2-40B4-BE49-F238E27FC236}">
              <a16:creationId xmlns:a16="http://schemas.microsoft.com/office/drawing/2014/main" id="{35CF0DAD-3627-4A96-ABC9-163CBD45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495300"/>
          <a:ext cx="4590477" cy="2009524"/>
        </a:xfrm>
        <a:prstGeom prst="rect">
          <a:avLst/>
        </a:prstGeom>
        <a:ln>
          <a:noFill/>
        </a:ln>
      </xdr:spPr>
    </xdr:pic>
    <xdr:clientData/>
  </xdr:oneCellAnchor>
  <xdr:twoCellAnchor>
    <xdr:from>
      <xdr:col>26</xdr:col>
      <xdr:colOff>116417</xdr:colOff>
      <xdr:row>2</xdr:row>
      <xdr:rowOff>31750</xdr:rowOff>
    </xdr:from>
    <xdr:to>
      <xdr:col>37</xdr:col>
      <xdr:colOff>63500</xdr:colOff>
      <xdr:row>13</xdr:row>
      <xdr:rowOff>21165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5BBAF8-AE2E-4664-91DD-24335BD91CD8}"/>
            </a:ext>
          </a:extLst>
        </xdr:cNvPr>
        <xdr:cNvSpPr/>
      </xdr:nvSpPr>
      <xdr:spPr>
        <a:xfrm>
          <a:off x="5307542" y="422275"/>
          <a:ext cx="2147358" cy="2084915"/>
        </a:xfrm>
        <a:prstGeom prst="rect">
          <a:avLst/>
        </a:prstGeom>
        <a:gradFill flip="none" rotWithShape="1">
          <a:gsLst>
            <a:gs pos="0">
              <a:schemeClr val="bg1">
                <a:alpha val="0"/>
                <a:lumMod val="0"/>
              </a:schemeClr>
            </a:gs>
            <a:gs pos="65000">
              <a:schemeClr val="bg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11906</xdr:colOff>
      <xdr:row>2</xdr:row>
      <xdr:rowOff>22225</xdr:rowOff>
    </xdr:from>
    <xdr:to>
      <xdr:col>42</xdr:col>
      <xdr:colOff>0</xdr:colOff>
      <xdr:row>13</xdr:row>
      <xdr:rowOff>22298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3E8D7D-686D-4429-AAFD-87D8340526A5}"/>
            </a:ext>
          </a:extLst>
        </xdr:cNvPr>
        <xdr:cNvSpPr/>
      </xdr:nvSpPr>
      <xdr:spPr>
        <a:xfrm>
          <a:off x="411956" y="412750"/>
          <a:ext cx="7979569" cy="2095573"/>
        </a:xfrm>
        <a:prstGeom prst="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2</xdr:col>
      <xdr:colOff>95250</xdr:colOff>
      <xdr:row>2</xdr:row>
      <xdr:rowOff>85725</xdr:rowOff>
    </xdr:from>
    <xdr:ext cx="1552575" cy="742950"/>
    <xdr:pic>
      <xdr:nvPicPr>
        <xdr:cNvPr id="5" name="Picture 4">
          <a:extLst>
            <a:ext uri="{FF2B5EF4-FFF2-40B4-BE49-F238E27FC236}">
              <a16:creationId xmlns:a16="http://schemas.microsoft.com/office/drawing/2014/main" id="{F915123C-8D26-43BC-9FED-7C4241A1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76250"/>
          <a:ext cx="15525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66675</xdr:colOff>
      <xdr:row>20</xdr:row>
      <xdr:rowOff>85725</xdr:rowOff>
    </xdr:from>
    <xdr:ext cx="6647619" cy="5638095"/>
    <xdr:pic>
      <xdr:nvPicPr>
        <xdr:cNvPr id="6" name="Picture 5">
          <a:extLst>
            <a:ext uri="{FF2B5EF4-FFF2-40B4-BE49-F238E27FC236}">
              <a16:creationId xmlns:a16="http://schemas.microsoft.com/office/drawing/2014/main" id="{D8EB16EF-22CC-4FBB-BE68-554742C03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3876675"/>
          <a:ext cx="6647619" cy="5638095"/>
        </a:xfrm>
        <a:prstGeom prst="rect">
          <a:avLst/>
        </a:prstGeom>
      </xdr:spPr>
    </xdr:pic>
    <xdr:clientData/>
  </xdr:oneCellAnchor>
  <xdr:twoCellAnchor>
    <xdr:from>
      <xdr:col>29</xdr:col>
      <xdr:colOff>66675</xdr:colOff>
      <xdr:row>3</xdr:row>
      <xdr:rowOff>66675</xdr:rowOff>
    </xdr:from>
    <xdr:to>
      <xdr:col>43</xdr:col>
      <xdr:colOff>190499</xdr:colOff>
      <xdr:row>7</xdr:row>
      <xdr:rowOff>54775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A7C4580-869D-4E4D-8A43-52740C50B7FD}"/>
            </a:ext>
          </a:extLst>
        </xdr:cNvPr>
        <xdr:cNvSpPr txBox="1"/>
      </xdr:nvSpPr>
      <xdr:spPr>
        <a:xfrm>
          <a:off x="5857875" y="647700"/>
          <a:ext cx="3047999" cy="75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DE" sz="1600" b="1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The Bridge To</a:t>
          </a:r>
          <a:br>
            <a:rPr lang="de-DE" sz="1600" b="1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</a:br>
          <a:r>
            <a:rPr lang="de-DE" sz="1600" b="1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 	Your</a:t>
          </a:r>
          <a:r>
            <a:rPr lang="de-DE" sz="16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 Dream</a:t>
          </a:r>
          <a:endParaRPr lang="de-DE" sz="1600" b="1">
            <a:solidFill>
              <a:schemeClr val="tx2">
                <a:lumMod val="60000"/>
                <a:lumOff val="4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2</xdr:row>
      <xdr:rowOff>104775</xdr:rowOff>
    </xdr:from>
    <xdr:to>
      <xdr:col>33</xdr:col>
      <xdr:colOff>56577</xdr:colOff>
      <xdr:row>13</xdr:row>
      <xdr:rowOff>18799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5033E3-FA60-4DCC-9849-58309BD6F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495300"/>
          <a:ext cx="4590477" cy="200952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26</xdr:col>
      <xdr:colOff>116417</xdr:colOff>
      <xdr:row>2</xdr:row>
      <xdr:rowOff>31750</xdr:rowOff>
    </xdr:from>
    <xdr:to>
      <xdr:col>37</xdr:col>
      <xdr:colOff>63500</xdr:colOff>
      <xdr:row>13</xdr:row>
      <xdr:rowOff>21165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B4B73E-9E6F-4946-B917-DD8D18D54B74}"/>
            </a:ext>
          </a:extLst>
        </xdr:cNvPr>
        <xdr:cNvSpPr/>
      </xdr:nvSpPr>
      <xdr:spPr>
        <a:xfrm>
          <a:off x="5307542" y="422275"/>
          <a:ext cx="2147358" cy="2084915"/>
        </a:xfrm>
        <a:prstGeom prst="rect">
          <a:avLst/>
        </a:prstGeom>
        <a:gradFill flip="none" rotWithShape="1">
          <a:gsLst>
            <a:gs pos="0">
              <a:schemeClr val="bg1">
                <a:alpha val="0"/>
                <a:lumMod val="0"/>
              </a:schemeClr>
            </a:gs>
            <a:gs pos="65000">
              <a:schemeClr val="bg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11906</xdr:colOff>
      <xdr:row>2</xdr:row>
      <xdr:rowOff>22225</xdr:rowOff>
    </xdr:from>
    <xdr:to>
      <xdr:col>42</xdr:col>
      <xdr:colOff>0</xdr:colOff>
      <xdr:row>13</xdr:row>
      <xdr:rowOff>22298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2F6F84-DEF7-42F0-96DF-5AA2BF89DB28}"/>
            </a:ext>
          </a:extLst>
        </xdr:cNvPr>
        <xdr:cNvSpPr/>
      </xdr:nvSpPr>
      <xdr:spPr>
        <a:xfrm>
          <a:off x="411956" y="412750"/>
          <a:ext cx="7979569" cy="2095573"/>
        </a:xfrm>
        <a:prstGeom prst="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171450</xdr:colOff>
      <xdr:row>2</xdr:row>
      <xdr:rowOff>154775</xdr:rowOff>
    </xdr:from>
    <xdr:to>
      <xdr:col>42</xdr:col>
      <xdr:colOff>219074</xdr:colOff>
      <xdr:row>6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9499FC-C80F-4FE5-8F14-999C3A9A6062}"/>
            </a:ext>
          </a:extLst>
        </xdr:cNvPr>
        <xdr:cNvSpPr txBox="1"/>
      </xdr:nvSpPr>
      <xdr:spPr>
        <a:xfrm>
          <a:off x="5562600" y="545300"/>
          <a:ext cx="3047999" cy="75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DE" sz="1500" b="1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Connect Values</a:t>
          </a:r>
          <a:r>
            <a:rPr lang="de-DE" sz="15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 </a:t>
          </a:r>
          <a:br>
            <a:rPr lang="de-DE" sz="15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</a:br>
          <a:r>
            <a:rPr lang="de-DE" sz="15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                Navigate Growth</a:t>
          </a:r>
          <a:endParaRPr lang="de-DE" sz="1500" b="1">
            <a:solidFill>
              <a:schemeClr val="tx2">
                <a:lumMod val="60000"/>
                <a:lumOff val="4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95250</xdr:colOff>
      <xdr:row>2</xdr:row>
      <xdr:rowOff>85725</xdr:rowOff>
    </xdr:from>
    <xdr:to>
      <xdr:col>10</xdr:col>
      <xdr:colOff>47625</xdr:colOff>
      <xdr:row>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0A4108-2F4D-4789-B76E-7057B4CE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76250"/>
          <a:ext cx="15525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180975</xdr:colOff>
      <xdr:row>17</xdr:row>
      <xdr:rowOff>180975</xdr:rowOff>
    </xdr:from>
    <xdr:to>
      <xdr:col>35</xdr:col>
      <xdr:colOff>142875</xdr:colOff>
      <xdr:row>72</xdr:row>
      <xdr:rowOff>8501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CD8ABF-D7A4-48A1-B36B-9ED7037E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0" y="3429000"/>
          <a:ext cx="5953125" cy="8571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2</xdr:row>
      <xdr:rowOff>104775</xdr:rowOff>
    </xdr:from>
    <xdr:to>
      <xdr:col>33</xdr:col>
      <xdr:colOff>56577</xdr:colOff>
      <xdr:row>13</xdr:row>
      <xdr:rowOff>18799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10D94-8DEF-4A47-838B-39D041BC0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495300"/>
          <a:ext cx="4590477" cy="200952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26</xdr:col>
      <xdr:colOff>116417</xdr:colOff>
      <xdr:row>2</xdr:row>
      <xdr:rowOff>31750</xdr:rowOff>
    </xdr:from>
    <xdr:to>
      <xdr:col>37</xdr:col>
      <xdr:colOff>63500</xdr:colOff>
      <xdr:row>13</xdr:row>
      <xdr:rowOff>21165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1190A2-1A3B-4AC0-B6B3-AB9C34F64E52}"/>
            </a:ext>
          </a:extLst>
        </xdr:cNvPr>
        <xdr:cNvSpPr/>
      </xdr:nvSpPr>
      <xdr:spPr>
        <a:xfrm>
          <a:off x="5307542" y="422275"/>
          <a:ext cx="2147358" cy="2084915"/>
        </a:xfrm>
        <a:prstGeom prst="rect">
          <a:avLst/>
        </a:prstGeom>
        <a:gradFill flip="none" rotWithShape="1">
          <a:gsLst>
            <a:gs pos="0">
              <a:schemeClr val="bg1">
                <a:alpha val="0"/>
                <a:lumMod val="0"/>
              </a:schemeClr>
            </a:gs>
            <a:gs pos="65000">
              <a:schemeClr val="bg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11906</xdr:colOff>
      <xdr:row>2</xdr:row>
      <xdr:rowOff>22225</xdr:rowOff>
    </xdr:from>
    <xdr:to>
      <xdr:col>42</xdr:col>
      <xdr:colOff>0</xdr:colOff>
      <xdr:row>13</xdr:row>
      <xdr:rowOff>22298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449525F-D61E-4D05-97D5-C76F0B014ACE}"/>
            </a:ext>
          </a:extLst>
        </xdr:cNvPr>
        <xdr:cNvSpPr/>
      </xdr:nvSpPr>
      <xdr:spPr>
        <a:xfrm>
          <a:off x="411956" y="412750"/>
          <a:ext cx="7979569" cy="2095573"/>
        </a:xfrm>
        <a:prstGeom prst="rect">
          <a:avLst/>
        </a:prstGeom>
        <a:noFill/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27</xdr:col>
      <xdr:colOff>171450</xdr:colOff>
      <xdr:row>2</xdr:row>
      <xdr:rowOff>154775</xdr:rowOff>
    </xdr:from>
    <xdr:to>
      <xdr:col>42</xdr:col>
      <xdr:colOff>219074</xdr:colOff>
      <xdr:row>6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69053C-BF45-4711-84A1-7C70DF263052}"/>
            </a:ext>
          </a:extLst>
        </xdr:cNvPr>
        <xdr:cNvSpPr txBox="1"/>
      </xdr:nvSpPr>
      <xdr:spPr>
        <a:xfrm>
          <a:off x="5562600" y="545300"/>
          <a:ext cx="3047999" cy="750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de-DE" sz="1500" b="1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Connect Values</a:t>
          </a:r>
          <a:r>
            <a:rPr lang="de-DE" sz="15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 </a:t>
          </a:r>
          <a:br>
            <a:rPr lang="de-DE" sz="15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</a:br>
          <a:r>
            <a:rPr lang="de-DE" sz="1500" b="1" baseline="0">
              <a:solidFill>
                <a:schemeClr val="tx2">
                  <a:lumMod val="60000"/>
                  <a:lumOff val="40000"/>
                </a:schemeClr>
              </a:solidFill>
              <a:latin typeface="Museo For Dell" panose="02000000000000000000" pitchFamily="2" charset="0"/>
            </a:rPr>
            <a:t>                Navigate Growth</a:t>
          </a:r>
          <a:endParaRPr lang="de-DE" sz="1500" b="1">
            <a:solidFill>
              <a:schemeClr val="tx2">
                <a:lumMod val="60000"/>
                <a:lumOff val="4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</xdr:col>
      <xdr:colOff>95250</xdr:colOff>
      <xdr:row>2</xdr:row>
      <xdr:rowOff>85725</xdr:rowOff>
    </xdr:from>
    <xdr:to>
      <xdr:col>10</xdr:col>
      <xdr:colOff>47625</xdr:colOff>
      <xdr:row>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561E55-A3B1-4791-8547-FD0204ECE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76250"/>
          <a:ext cx="15525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83820</xdr:colOff>
      <xdr:row>18</xdr:row>
      <xdr:rowOff>106680</xdr:rowOff>
    </xdr:from>
    <xdr:to>
      <xdr:col>38</xdr:col>
      <xdr:colOff>46287</xdr:colOff>
      <xdr:row>60</xdr:row>
      <xdr:rowOff>46306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D53E2C-8395-47C3-8614-A942302FB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3970" y="3545205"/>
          <a:ext cx="6353742" cy="66642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E69982-02A3-4A34-80AF-A6426442A1A3}"/>
            </a:ext>
          </a:extLst>
        </xdr:cNvPr>
        <xdr:cNvSpPr>
          <a:spLocks noChangeAspect="1" noChangeArrowheads="1"/>
        </xdr:cNvSpPr>
      </xdr:nvSpPr>
      <xdr:spPr bwMode="auto">
        <a:xfrm>
          <a:off x="7315200" y="2667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61D87BE-9E21-41E7-86C5-AAE77D62125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136404C-E5A3-4C65-9686-F9F24106DB2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182880</xdr:colOff>
      <xdr:row>16</xdr:row>
      <xdr:rowOff>129540</xdr:rowOff>
    </xdr:from>
    <xdr:to>
      <xdr:col>6</xdr:col>
      <xdr:colOff>487680</xdr:colOff>
      <xdr:row>18</xdr:row>
      <xdr:rowOff>68580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2AE938CC-ED07-4A48-8B94-EEAF9AC9921B}"/>
            </a:ext>
          </a:extLst>
        </xdr:cNvPr>
        <xdr:cNvSpPr>
          <a:spLocks noChangeAspect="1" noChangeArrowheads="1"/>
        </xdr:cNvSpPr>
      </xdr:nvSpPr>
      <xdr:spPr bwMode="auto">
        <a:xfrm>
          <a:off x="3840480" y="317754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381614</xdr:colOff>
      <xdr:row>52</xdr:row>
      <xdr:rowOff>69410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68F1B9-444D-4214-ACD3-B470BB1C5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87214" cy="99754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53</xdr:col>
      <xdr:colOff>187848</xdr:colOff>
      <xdr:row>2</xdr:row>
      <xdr:rowOff>154398</xdr:rowOff>
    </xdr:from>
    <xdr:to>
      <xdr:col>57</xdr:col>
      <xdr:colOff>141622</xdr:colOff>
      <xdr:row>4</xdr:row>
      <xdr:rowOff>41262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477EC-8626-41FC-8F46-0CBCEA8D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5373" y="554448"/>
          <a:ext cx="715774" cy="30596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331257</xdr:colOff>
      <xdr:row>3</xdr:row>
      <xdr:rowOff>182529</xdr:rowOff>
    </xdr:from>
    <xdr:to>
      <xdr:col>14</xdr:col>
      <xdr:colOff>132472</xdr:colOff>
      <xdr:row>7</xdr:row>
      <xdr:rowOff>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DB04AD-75FA-42DF-B579-BC8346002E4E}"/>
            </a:ext>
          </a:extLst>
        </xdr:cNvPr>
        <xdr:cNvSpPr txBox="1"/>
      </xdr:nvSpPr>
      <xdr:spPr>
        <a:xfrm>
          <a:off x="559857" y="792129"/>
          <a:ext cx="2468215" cy="456323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329576</xdr:colOff>
      <xdr:row>4</xdr:row>
      <xdr:rowOff>126381</xdr:rowOff>
    </xdr:from>
    <xdr:to>
      <xdr:col>16</xdr:col>
      <xdr:colOff>22412</xdr:colOff>
      <xdr:row>6</xdr:row>
      <xdr:rowOff>24358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EAAFA6-EA8F-46D4-87F5-89971FD0FBE1}"/>
            </a:ext>
          </a:extLst>
        </xdr:cNvPr>
        <xdr:cNvSpPr txBox="1"/>
      </xdr:nvSpPr>
      <xdr:spPr>
        <a:xfrm>
          <a:off x="558176" y="945531"/>
          <a:ext cx="2740836" cy="28850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NCP </a:t>
          </a:r>
          <a:r>
            <a:rPr kumimoji="0" lang="de-DE" sz="1050" b="0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NORTH CONTINENT TO ASIA</a:t>
          </a:r>
          <a:endParaRPr kumimoji="0" lang="de-DE" sz="105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  <a:alpha val="78000"/>
              </a:prst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uLnTx/>
            <a:uFillTx/>
            <a:latin typeface="Helvetica" panose="020B0604020202020204" pitchFamily="34" charset="0"/>
            <a:ea typeface="+mn-ea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321733</xdr:colOff>
      <xdr:row>2</xdr:row>
      <xdr:rowOff>33866</xdr:rowOff>
    </xdr:from>
    <xdr:to>
      <xdr:col>21</xdr:col>
      <xdr:colOff>70908</xdr:colOff>
      <xdr:row>3</xdr:row>
      <xdr:rowOff>120938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92F70C-E3ED-4765-8177-5B81E7AEF2BB}"/>
            </a:ext>
          </a:extLst>
        </xdr:cNvPr>
        <xdr:cNvSpPr txBox="1"/>
      </xdr:nvSpPr>
      <xdr:spPr>
        <a:xfrm>
          <a:off x="550333" y="433916"/>
          <a:ext cx="3749675" cy="29662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800" b="1" baseline="0">
              <a:solidFill>
                <a:schemeClr val="bg1"/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Rate Sheet</a:t>
          </a:r>
          <a:endParaRPr lang="de-DE" sz="1800" b="1">
            <a:solidFill>
              <a:schemeClr val="bg1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 editAs="oneCell">
    <xdr:from>
      <xdr:col>36</xdr:col>
      <xdr:colOff>152400</xdr:colOff>
      <xdr:row>101</xdr:row>
      <xdr:rowOff>152400</xdr:rowOff>
    </xdr:from>
    <xdr:to>
      <xdr:col>60</xdr:col>
      <xdr:colOff>372144</xdr:colOff>
      <xdr:row>105</xdr:row>
      <xdr:rowOff>9622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074117-1C44-460F-826F-487FA0B1C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1097875"/>
          <a:ext cx="4791744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12</xdr:row>
      <xdr:rowOff>180975</xdr:rowOff>
    </xdr:from>
    <xdr:to>
      <xdr:col>58</xdr:col>
      <xdr:colOff>134911</xdr:colOff>
      <xdr:row>26</xdr:row>
      <xdr:rowOff>95648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6A99F8-7F79-41E6-9F64-FC077BDA4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2476500"/>
          <a:ext cx="11193436" cy="28483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55</xdr:col>
      <xdr:colOff>189753</xdr:colOff>
      <xdr:row>2</xdr:row>
      <xdr:rowOff>154398</xdr:rowOff>
    </xdr:from>
    <xdr:to>
      <xdr:col>59</xdr:col>
      <xdr:colOff>134002</xdr:colOff>
      <xdr:row>4</xdr:row>
      <xdr:rowOff>41262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88D7D-E465-4E92-B11D-681F0EFC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7278" y="554448"/>
          <a:ext cx="706249" cy="30596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331257</xdr:colOff>
      <xdr:row>3</xdr:row>
      <xdr:rowOff>182529</xdr:rowOff>
    </xdr:from>
    <xdr:to>
      <xdr:col>14</xdr:col>
      <xdr:colOff>132472</xdr:colOff>
      <xdr:row>7</xdr:row>
      <xdr:rowOff>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76DDC1-AFDC-41FA-B0F3-EADDA50B1F8D}"/>
            </a:ext>
          </a:extLst>
        </xdr:cNvPr>
        <xdr:cNvSpPr txBox="1"/>
      </xdr:nvSpPr>
      <xdr:spPr>
        <a:xfrm>
          <a:off x="531282" y="792129"/>
          <a:ext cx="2468215" cy="456323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329576</xdr:colOff>
      <xdr:row>4</xdr:row>
      <xdr:rowOff>126381</xdr:rowOff>
    </xdr:from>
    <xdr:to>
      <xdr:col>16</xdr:col>
      <xdr:colOff>22412</xdr:colOff>
      <xdr:row>6</xdr:row>
      <xdr:rowOff>24358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2A0B8A-CC92-4433-AB20-5E29E7284ACB}"/>
            </a:ext>
          </a:extLst>
        </xdr:cNvPr>
        <xdr:cNvSpPr txBox="1"/>
      </xdr:nvSpPr>
      <xdr:spPr>
        <a:xfrm>
          <a:off x="529601" y="945531"/>
          <a:ext cx="2740836" cy="28850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NCP </a:t>
          </a:r>
          <a:r>
            <a:rPr kumimoji="0" lang="de-DE" sz="1050" b="0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NORTH CONTINENT TO ASIA</a:t>
          </a:r>
          <a:endParaRPr kumimoji="0" lang="de-DE" sz="105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  <a:alpha val="78000"/>
              </a:prst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uLnTx/>
            <a:uFillTx/>
            <a:latin typeface="Helvetica" panose="020B0604020202020204" pitchFamily="34" charset="0"/>
            <a:ea typeface="+mn-ea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321733</xdr:colOff>
      <xdr:row>2</xdr:row>
      <xdr:rowOff>33866</xdr:rowOff>
    </xdr:from>
    <xdr:to>
      <xdr:col>21</xdr:col>
      <xdr:colOff>70908</xdr:colOff>
      <xdr:row>3</xdr:row>
      <xdr:rowOff>120938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273DED-C325-42D9-B876-A13B04ED28AB}"/>
            </a:ext>
          </a:extLst>
        </xdr:cNvPr>
        <xdr:cNvSpPr txBox="1"/>
      </xdr:nvSpPr>
      <xdr:spPr>
        <a:xfrm>
          <a:off x="521758" y="433916"/>
          <a:ext cx="3749675" cy="29662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800" b="1" baseline="0">
              <a:solidFill>
                <a:schemeClr val="bg1"/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Rate Sheet</a:t>
          </a:r>
          <a:endParaRPr lang="de-DE" sz="1800" b="1">
            <a:solidFill>
              <a:schemeClr val="bg1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 editAs="oneCell">
    <xdr:from>
      <xdr:col>36</xdr:col>
      <xdr:colOff>114300</xdr:colOff>
      <xdr:row>75</xdr:row>
      <xdr:rowOff>152400</xdr:rowOff>
    </xdr:from>
    <xdr:to>
      <xdr:col>60</xdr:col>
      <xdr:colOff>334044</xdr:colOff>
      <xdr:row>79</xdr:row>
      <xdr:rowOff>9622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A807BE-A32C-4BD7-B75D-A9F086305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325" y="15649575"/>
          <a:ext cx="4791744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12</xdr:row>
      <xdr:rowOff>180975</xdr:rowOff>
    </xdr:from>
    <xdr:to>
      <xdr:col>60</xdr:col>
      <xdr:colOff>125386</xdr:colOff>
      <xdr:row>26</xdr:row>
      <xdr:rowOff>95648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467C8E-C6B1-4664-AD6A-549E0787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2476500"/>
          <a:ext cx="11183911" cy="28483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55</xdr:col>
      <xdr:colOff>132603</xdr:colOff>
      <xdr:row>2</xdr:row>
      <xdr:rowOff>154398</xdr:rowOff>
    </xdr:from>
    <xdr:to>
      <xdr:col>59</xdr:col>
      <xdr:colOff>73042</xdr:colOff>
      <xdr:row>4</xdr:row>
      <xdr:rowOff>41262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47C44-88DB-4BE2-8F6C-B0CD47399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7278" y="554448"/>
          <a:ext cx="702439" cy="30596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331257</xdr:colOff>
      <xdr:row>3</xdr:row>
      <xdr:rowOff>182529</xdr:rowOff>
    </xdr:from>
    <xdr:to>
      <xdr:col>14</xdr:col>
      <xdr:colOff>132472</xdr:colOff>
      <xdr:row>7</xdr:row>
      <xdr:rowOff>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DD5AEE-1D66-404B-9701-646CA221961E}"/>
            </a:ext>
          </a:extLst>
        </xdr:cNvPr>
        <xdr:cNvSpPr txBox="1"/>
      </xdr:nvSpPr>
      <xdr:spPr>
        <a:xfrm>
          <a:off x="531282" y="792129"/>
          <a:ext cx="2468215" cy="456323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329576</xdr:colOff>
      <xdr:row>4</xdr:row>
      <xdr:rowOff>126381</xdr:rowOff>
    </xdr:from>
    <xdr:to>
      <xdr:col>16</xdr:col>
      <xdr:colOff>22412</xdr:colOff>
      <xdr:row>6</xdr:row>
      <xdr:rowOff>24358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A21EF1-9C00-4395-A3EA-236245BBD428}"/>
            </a:ext>
          </a:extLst>
        </xdr:cNvPr>
        <xdr:cNvSpPr txBox="1"/>
      </xdr:nvSpPr>
      <xdr:spPr>
        <a:xfrm>
          <a:off x="529601" y="945531"/>
          <a:ext cx="2740836" cy="28850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50" b="1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NCP </a:t>
          </a:r>
          <a:r>
            <a:rPr kumimoji="0" lang="de-DE" sz="1050" b="0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NORTH CONTINENT TO ASIA</a:t>
          </a:r>
          <a:endParaRPr kumimoji="0" lang="de-DE" sz="1050" b="0" i="0" u="none" strike="noStrike" kern="0" cap="none" spc="0" normalizeH="0" baseline="0" noProof="0">
            <a:ln>
              <a:noFill/>
            </a:ln>
            <a:solidFill>
              <a:prstClr val="white">
                <a:lumMod val="75000"/>
                <a:alpha val="78000"/>
              </a:prst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uLnTx/>
            <a:uFillTx/>
            <a:latin typeface="Helvetica" panose="020B0604020202020204" pitchFamily="34" charset="0"/>
            <a:ea typeface="+mn-ea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321733</xdr:colOff>
      <xdr:row>2</xdr:row>
      <xdr:rowOff>33866</xdr:rowOff>
    </xdr:from>
    <xdr:to>
      <xdr:col>21</xdr:col>
      <xdr:colOff>70908</xdr:colOff>
      <xdr:row>3</xdr:row>
      <xdr:rowOff>120938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4B451D-0394-4AC9-8DC2-8AF0CBB6225E}"/>
            </a:ext>
          </a:extLst>
        </xdr:cNvPr>
        <xdr:cNvSpPr txBox="1"/>
      </xdr:nvSpPr>
      <xdr:spPr>
        <a:xfrm>
          <a:off x="521758" y="433916"/>
          <a:ext cx="3749675" cy="29662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800" b="1" baseline="0">
              <a:solidFill>
                <a:schemeClr val="bg1"/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Rate Sheet</a:t>
          </a:r>
          <a:endParaRPr lang="de-DE" sz="1800" b="1">
            <a:solidFill>
              <a:schemeClr val="bg1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 editAs="oneCell">
    <xdr:from>
      <xdr:col>36</xdr:col>
      <xdr:colOff>171450</xdr:colOff>
      <xdr:row>101</xdr:row>
      <xdr:rowOff>19050</xdr:rowOff>
    </xdr:from>
    <xdr:to>
      <xdr:col>57</xdr:col>
      <xdr:colOff>104775</xdr:colOff>
      <xdr:row>103</xdr:row>
      <xdr:rowOff>170863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69123-CE79-4470-9EA2-228971EA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625" y="20859750"/>
          <a:ext cx="3933825" cy="57091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12</xdr:row>
      <xdr:rowOff>180975</xdr:rowOff>
    </xdr:from>
    <xdr:to>
      <xdr:col>60</xdr:col>
      <xdr:colOff>87286</xdr:colOff>
      <xdr:row>26</xdr:row>
      <xdr:rowOff>95648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079B2C-2456-44C5-BE01-E6D5E04BC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2476500"/>
          <a:ext cx="11183911" cy="28483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55</xdr:col>
      <xdr:colOff>189753</xdr:colOff>
      <xdr:row>2</xdr:row>
      <xdr:rowOff>154398</xdr:rowOff>
    </xdr:from>
    <xdr:to>
      <xdr:col>59</xdr:col>
      <xdr:colOff>130192</xdr:colOff>
      <xdr:row>4</xdr:row>
      <xdr:rowOff>41262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32366-B952-4025-85C4-3C6E003E3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7278" y="554448"/>
          <a:ext cx="702439" cy="30596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331257</xdr:colOff>
      <xdr:row>3</xdr:row>
      <xdr:rowOff>182529</xdr:rowOff>
    </xdr:from>
    <xdr:to>
      <xdr:col>14</xdr:col>
      <xdr:colOff>132472</xdr:colOff>
      <xdr:row>7</xdr:row>
      <xdr:rowOff>677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C447EE-25A3-487D-9683-EDE1C21F0000}"/>
            </a:ext>
          </a:extLst>
        </xdr:cNvPr>
        <xdr:cNvSpPr txBox="1"/>
      </xdr:nvSpPr>
      <xdr:spPr>
        <a:xfrm>
          <a:off x="531282" y="792129"/>
          <a:ext cx="2468215" cy="456323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329576</xdr:colOff>
      <xdr:row>4</xdr:row>
      <xdr:rowOff>126381</xdr:rowOff>
    </xdr:from>
    <xdr:to>
      <xdr:col>16</xdr:col>
      <xdr:colOff>22412</xdr:colOff>
      <xdr:row>6</xdr:row>
      <xdr:rowOff>24358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2D660D-3F35-4F47-8452-060D4A6A4EAF}"/>
            </a:ext>
          </a:extLst>
        </xdr:cNvPr>
        <xdr:cNvSpPr txBox="1"/>
      </xdr:nvSpPr>
      <xdr:spPr>
        <a:xfrm>
          <a:off x="529601" y="945531"/>
          <a:ext cx="2740836" cy="28850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050" b="1">
              <a:solidFill>
                <a:schemeClr val="bg1">
                  <a:alpha val="78000"/>
                </a:scheme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</a:t>
          </a:r>
          <a:r>
            <a:rPr kumimoji="0" lang="de-DE" sz="1050" b="0" i="0" u="none" strike="noStrike" kern="0" cap="none" spc="0" normalizeH="0" baseline="0" noProof="0">
              <a:ln>
                <a:noFill/>
              </a:ln>
              <a:solidFill>
                <a:prstClr val="white">
                  <a:alpha val="78000"/>
                </a:prstClr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Helvetica" panose="020B0604020202020204" pitchFamily="34" charset="0"/>
              <a:ea typeface="+mn-ea"/>
              <a:cs typeface="Helvetica" panose="020B0604020202020204" pitchFamily="34" charset="0"/>
            </a:rPr>
            <a:t>NORTH CONTINENT TO ASIA</a:t>
          </a:r>
          <a:endParaRPr lang="de-DE" sz="1050" b="0">
            <a:solidFill>
              <a:schemeClr val="bg1">
                <a:lumMod val="75000"/>
                <a:alpha val="78000"/>
              </a:schemeClr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  <xdr:twoCellAnchor>
    <xdr:from>
      <xdr:col>1</xdr:col>
      <xdr:colOff>347133</xdr:colOff>
      <xdr:row>2</xdr:row>
      <xdr:rowOff>16933</xdr:rowOff>
    </xdr:from>
    <xdr:to>
      <xdr:col>21</xdr:col>
      <xdr:colOff>96308</xdr:colOff>
      <xdr:row>3</xdr:row>
      <xdr:rowOff>104005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130093-7740-44C3-9244-3AF2FB025F7D}"/>
            </a:ext>
          </a:extLst>
        </xdr:cNvPr>
        <xdr:cNvSpPr txBox="1"/>
      </xdr:nvSpPr>
      <xdr:spPr>
        <a:xfrm>
          <a:off x="547158" y="416983"/>
          <a:ext cx="3749675" cy="296622"/>
        </a:xfrm>
        <a:prstGeom prst="rect">
          <a:avLst/>
        </a:prstGeom>
        <a:noFill/>
        <a:ln w="9525" cmpd="sng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de-DE" sz="1800" b="1" baseline="0">
              <a:solidFill>
                <a:schemeClr val="bg1"/>
              </a:solidFill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  <a:latin typeface="Helvetica" panose="020B0604020202020204" pitchFamily="34" charset="0"/>
              <a:cs typeface="Helvetica" panose="020B0604020202020204" pitchFamily="34" charset="0"/>
            </a:rPr>
            <a:t>NCP Rate Sheet</a:t>
          </a:r>
          <a:endParaRPr lang="de-DE" sz="1800" b="1">
            <a:solidFill>
              <a:schemeClr val="bg1"/>
            </a:solidFill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  <a:latin typeface="Helvetica" panose="020B0604020202020204" pitchFamily="34" charset="0"/>
            <a:cs typeface="Helvetica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571500</xdr:colOff>
      <xdr:row>1</xdr:row>
      <xdr:rowOff>47625</xdr:rowOff>
    </xdr:from>
    <xdr:ext cx="1035984" cy="496819"/>
    <xdr:pic>
      <xdr:nvPicPr>
        <xdr:cNvPr id="2" name="Picture 1">
          <a:extLst>
            <a:ext uri="{FF2B5EF4-FFF2-40B4-BE49-F238E27FC236}">
              <a16:creationId xmlns:a16="http://schemas.microsoft.com/office/drawing/2014/main" id="{02A3F148-2D77-49AE-A8D7-07AB282DA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650"/>
          <a:ext cx="1035984" cy="496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590550</xdr:colOff>
      <xdr:row>1</xdr:row>
      <xdr:rowOff>57150</xdr:rowOff>
    </xdr:from>
    <xdr:ext cx="1038225" cy="496819"/>
    <xdr:pic>
      <xdr:nvPicPr>
        <xdr:cNvPr id="2" name="Picture 1">
          <a:extLst>
            <a:ext uri="{FF2B5EF4-FFF2-40B4-BE49-F238E27FC236}">
              <a16:creationId xmlns:a16="http://schemas.microsoft.com/office/drawing/2014/main" id="{8CC95105-2AA8-4EFA-A0D6-4B57A4E5D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175"/>
          <a:ext cx="1038225" cy="496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590550</xdr:colOff>
      <xdr:row>1</xdr:row>
      <xdr:rowOff>57150</xdr:rowOff>
    </xdr:from>
    <xdr:ext cx="1038225" cy="496819"/>
    <xdr:pic>
      <xdr:nvPicPr>
        <xdr:cNvPr id="2" name="Picture 1">
          <a:extLst>
            <a:ext uri="{FF2B5EF4-FFF2-40B4-BE49-F238E27FC236}">
              <a16:creationId xmlns:a16="http://schemas.microsoft.com/office/drawing/2014/main" id="{180D9186-542D-4429-B611-C0BB21885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175"/>
          <a:ext cx="1038225" cy="496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47625</xdr:rowOff>
    </xdr:from>
    <xdr:ext cx="1038225" cy="496819"/>
    <xdr:pic>
      <xdr:nvPicPr>
        <xdr:cNvPr id="2" name="Picture 1">
          <a:extLst>
            <a:ext uri="{FF2B5EF4-FFF2-40B4-BE49-F238E27FC236}">
              <a16:creationId xmlns:a16="http://schemas.microsoft.com/office/drawing/2014/main" id="{B40D3786-93DE-4886-81C1-1543E6FC0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28600"/>
          <a:ext cx="1038225" cy="496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</xdr:row>
      <xdr:rowOff>123825</xdr:rowOff>
    </xdr:from>
    <xdr:ext cx="1038225" cy="496819"/>
    <xdr:pic>
      <xdr:nvPicPr>
        <xdr:cNvPr id="2" name="Picture 1">
          <a:extLst>
            <a:ext uri="{FF2B5EF4-FFF2-40B4-BE49-F238E27FC236}">
              <a16:creationId xmlns:a16="http://schemas.microsoft.com/office/drawing/2014/main" id="{92874A44-86C8-489F-B5BE-226D75D70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04800"/>
          <a:ext cx="1038225" cy="496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kus.posselt@hmm21.com" TargetMode="External"/><Relationship Id="rId18" Type="http://schemas.openxmlformats.org/officeDocument/2006/relationships/hyperlink" Target="mailto:soyeon.seo@hmm21.com" TargetMode="External"/><Relationship Id="rId26" Type="http://schemas.openxmlformats.org/officeDocument/2006/relationships/hyperlink" Target="mailto:bianca.mueller@hmm21.com" TargetMode="External"/><Relationship Id="rId3" Type="http://schemas.openxmlformats.org/officeDocument/2006/relationships/hyperlink" Target="mailto:brigitte.stoeckler@hmm21.com" TargetMode="External"/><Relationship Id="rId21" Type="http://schemas.openxmlformats.org/officeDocument/2006/relationships/hyperlink" Target="mailto:yannik.esch@hmm21.com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mailto:hartmut.oevermann@hmm21.com" TargetMode="External"/><Relationship Id="rId12" Type="http://schemas.openxmlformats.org/officeDocument/2006/relationships/hyperlink" Target="mailto:karl.kanczok@hmm21.com" TargetMode="External"/><Relationship Id="rId17" Type="http://schemas.openxmlformats.org/officeDocument/2006/relationships/hyperlink" Target="mailto:moritz.steffens@hmm21.com" TargetMode="External"/><Relationship Id="rId25" Type="http://schemas.openxmlformats.org/officeDocument/2006/relationships/hyperlink" Target="mailto:pauline.moeckel@hmm21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minu.lee@hmm21.com" TargetMode="External"/><Relationship Id="rId16" Type="http://schemas.openxmlformats.org/officeDocument/2006/relationships/hyperlink" Target="mailto:lisa.schuermann@hmm21.com" TargetMode="External"/><Relationship Id="rId20" Type="http://schemas.openxmlformats.org/officeDocument/2006/relationships/hyperlink" Target="mailto:justine.ausmane@hmm21.com" TargetMode="External"/><Relationship Id="rId29" Type="http://schemas.openxmlformats.org/officeDocument/2006/relationships/hyperlink" Target="mailto:antonio.song@hmm21.com" TargetMode="External"/><Relationship Id="rId1" Type="http://schemas.openxmlformats.org/officeDocument/2006/relationships/hyperlink" Target="mailto:dan.hansen@hmm21.com" TargetMode="External"/><Relationship Id="rId6" Type="http://schemas.openxmlformats.org/officeDocument/2006/relationships/hyperlink" Target="mailto:ole.paulus@hmm21.com" TargetMode="External"/><Relationship Id="rId11" Type="http://schemas.openxmlformats.org/officeDocument/2006/relationships/hyperlink" Target="mailto:andrea.kubischok@hmm21.com" TargetMode="External"/><Relationship Id="rId24" Type="http://schemas.openxmlformats.org/officeDocument/2006/relationships/hyperlink" Target="mailto:morten.melchert@hmm21.com" TargetMode="External"/><Relationship Id="rId32" Type="http://schemas.openxmlformats.org/officeDocument/2006/relationships/hyperlink" Target="mailto:julia.mueller@hmm21.com" TargetMode="External"/><Relationship Id="rId5" Type="http://schemas.openxmlformats.org/officeDocument/2006/relationships/hyperlink" Target="mailto:bastian.rielinger@hmm21.com" TargetMode="External"/><Relationship Id="rId15" Type="http://schemas.openxmlformats.org/officeDocument/2006/relationships/hyperlink" Target="mailto:moritz.steffens@hmm21.com" TargetMode="External"/><Relationship Id="rId23" Type="http://schemas.openxmlformats.org/officeDocument/2006/relationships/hyperlink" Target="mailto:eunjung.lee@hmm21.com" TargetMode="External"/><Relationship Id="rId28" Type="http://schemas.openxmlformats.org/officeDocument/2006/relationships/hyperlink" Target="mailto:anja.roderigo@hmm21.com" TargetMode="External"/><Relationship Id="rId10" Type="http://schemas.openxmlformats.org/officeDocument/2006/relationships/hyperlink" Target="mailto:patrick.eggert@hmm21.com" TargetMode="External"/><Relationship Id="rId19" Type="http://schemas.openxmlformats.org/officeDocument/2006/relationships/hyperlink" Target="mailto:soyeon.seo@hmm21.com" TargetMode="External"/><Relationship Id="rId31" Type="http://schemas.openxmlformats.org/officeDocument/2006/relationships/hyperlink" Target="mailto:ilka.mueller-dippe@hmm.21com" TargetMode="External"/><Relationship Id="rId4" Type="http://schemas.openxmlformats.org/officeDocument/2006/relationships/hyperlink" Target="mailto:sven.ploetzke@hmm21.com" TargetMode="External"/><Relationship Id="rId9" Type="http://schemas.openxmlformats.org/officeDocument/2006/relationships/hyperlink" Target="mailto:wiebke.engler@hmm21.com" TargetMode="External"/><Relationship Id="rId14" Type="http://schemas.openxmlformats.org/officeDocument/2006/relationships/hyperlink" Target="mailto:andreas.weidemann@hmm21.com" TargetMode="External"/><Relationship Id="rId22" Type="http://schemas.openxmlformats.org/officeDocument/2006/relationships/hyperlink" Target="mailto:andreas.freiwald@hmm21.com" TargetMode="External"/><Relationship Id="rId27" Type="http://schemas.openxmlformats.org/officeDocument/2006/relationships/hyperlink" Target="mailto:vincent.propp@hmm21.com" TargetMode="External"/><Relationship Id="rId30" Type="http://schemas.openxmlformats.org/officeDocument/2006/relationships/hyperlink" Target="mailto:elena.potschernik@hmm21.com" TargetMode="External"/><Relationship Id="rId8" Type="http://schemas.openxmlformats.org/officeDocument/2006/relationships/hyperlink" Target="mailto:michelle.spitzer@hmm21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hmm21.com/e-service/general/tariffRate/SurchargeInquiry.do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hmm21.com/e-service/general/tariffRate/SurchargeInquiry.do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hmm21.com/e-service/general/tariffRate/SurchargeInquiry.do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F8CB-2566-408A-B915-88FFE638F0D6}">
  <sheetPr codeName="Sheet2">
    <tabColor rgb="FFFF0000"/>
    <pageSetUpPr fitToPage="1"/>
  </sheetPr>
  <dimension ref="B1:BI81"/>
  <sheetViews>
    <sheetView showGridLines="0" tabSelected="1" zoomScaleNormal="100" workbookViewId="0">
      <selection activeCell="BT15" sqref="BT15"/>
    </sheetView>
  </sheetViews>
  <sheetFormatPr defaultColWidth="3" defaultRowHeight="14.25"/>
  <cols>
    <col min="1" max="1" width="3" style="1"/>
    <col min="2" max="2" width="5.7109375" style="1" customWidth="1"/>
    <col min="3" max="60" width="2.85546875" style="1" customWidth="1"/>
    <col min="61" max="61" width="5.7109375" style="1" customWidth="1"/>
    <col min="62" max="16384" width="3" style="1"/>
  </cols>
  <sheetData>
    <row r="1" spans="2:61" ht="15" thickBot="1"/>
    <row r="2" spans="2:61" ht="16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</row>
    <row r="3" spans="2:61" ht="16.5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7"/>
    </row>
    <row r="4" spans="2:61" ht="16.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</row>
    <row r="5" spans="2:61" ht="16.5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1" ht="14.2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2:61" ht="3" customHeight="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0"/>
    </row>
    <row r="8" spans="2:61" ht="16.5" customHeigh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3"/>
    </row>
    <row r="9" spans="2:61" ht="16.5" customHeight="1">
      <c r="B9" s="11"/>
      <c r="C9" s="1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 t="s">
        <v>0</v>
      </c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3"/>
    </row>
    <row r="10" spans="2:61" ht="16.5" customHeight="1">
      <c r="B10" s="11"/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 t="s">
        <v>1</v>
      </c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3"/>
    </row>
    <row r="11" spans="2:61" ht="16.5" customHeight="1">
      <c r="B11" s="11"/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 t="s">
        <v>2</v>
      </c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 ht="16.5" customHeight="1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3"/>
    </row>
    <row r="13" spans="2:61" ht="16.5" customHeight="1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 t="s">
        <v>3</v>
      </c>
      <c r="AW13" s="12"/>
      <c r="AX13" s="16">
        <v>46100</v>
      </c>
      <c r="AY13" s="16"/>
      <c r="AZ13" s="16"/>
      <c r="BA13" s="16"/>
      <c r="BB13" s="16"/>
      <c r="BC13" s="16"/>
      <c r="BD13" s="16"/>
      <c r="BE13" s="16"/>
      <c r="BF13" s="16"/>
      <c r="BG13" s="15"/>
      <c r="BH13" s="15"/>
      <c r="BI13" s="13"/>
    </row>
    <row r="14" spans="2:61" ht="16.5" customHeight="1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</row>
    <row r="15" spans="2:61" ht="16.5" customHeight="1">
      <c r="B15" s="11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3"/>
    </row>
    <row r="16" spans="2:61" ht="16.5" customHeight="1"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3"/>
    </row>
    <row r="17" spans="2:61" ht="16.5" customHeight="1">
      <c r="B17" s="1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</row>
    <row r="18" spans="2:61" ht="16.5" customHeight="1">
      <c r="B18" s="1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</row>
    <row r="19" spans="2:61" s="25" customFormat="1" ht="16.5" customHeight="1">
      <c r="B19" s="17"/>
      <c r="C19" s="18" t="s">
        <v>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9"/>
      <c r="AP19" s="12"/>
      <c r="AQ19" s="19"/>
      <c r="AR19" s="20"/>
      <c r="AS19" s="21" t="str">
        <f>IFERROR(" ",'1. Intro'!AS19)</f>
        <v xml:space="preserve"> </v>
      </c>
      <c r="AT19" s="19"/>
      <c r="AU19" s="19"/>
      <c r="AV19" s="22" t="s">
        <v>5</v>
      </c>
      <c r="AW19" s="19"/>
      <c r="AX19" s="19"/>
      <c r="AY19" s="19"/>
      <c r="AZ19" s="19"/>
      <c r="BA19" s="19" t="s">
        <v>6</v>
      </c>
      <c r="BB19" s="19"/>
      <c r="BC19" s="23"/>
      <c r="BD19" s="23"/>
      <c r="BE19" s="23"/>
      <c r="BF19" s="23"/>
      <c r="BG19" s="23"/>
      <c r="BH19" s="23"/>
      <c r="BI19" s="24"/>
    </row>
    <row r="20" spans="2:61" s="25" customFormat="1" ht="16.5" customHeight="1">
      <c r="B20" s="17"/>
      <c r="C20" s="18" t="s">
        <v>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23"/>
      <c r="AP20" s="23"/>
      <c r="AQ20" s="23"/>
      <c r="AR20" s="23"/>
      <c r="AS20" s="21" t="str">
        <f>IFERROR(" ",'1. Intro'!AS20)</f>
        <v xml:space="preserve"> 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19"/>
      <c r="BD20" s="19"/>
      <c r="BE20" s="19"/>
      <c r="BF20" s="19"/>
      <c r="BG20" s="19"/>
      <c r="BH20" s="19"/>
      <c r="BI20" s="24"/>
    </row>
    <row r="21" spans="2:61" s="29" customFormat="1" ht="16.5" customHeight="1">
      <c r="B21" s="26"/>
      <c r="C21" s="18" t="s">
        <v>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27"/>
      <c r="AP21" s="27"/>
      <c r="AQ21" s="27"/>
      <c r="AR21" s="27"/>
      <c r="AS21" s="21"/>
      <c r="AT21" s="27"/>
      <c r="AU21" s="27"/>
      <c r="AV21" s="27"/>
      <c r="AW21" s="27"/>
      <c r="AX21" s="27"/>
      <c r="AY21" s="27"/>
      <c r="AZ21" s="27"/>
      <c r="BA21" s="27"/>
      <c r="BB21" s="27"/>
      <c r="BC21" s="23"/>
      <c r="BD21" s="23"/>
      <c r="BE21" s="23"/>
      <c r="BF21" s="23"/>
      <c r="BG21" s="23"/>
      <c r="BH21" s="23"/>
      <c r="BI21" s="28"/>
    </row>
    <row r="22" spans="2:61" s="29" customFormat="1" ht="16.5" customHeight="1">
      <c r="B22" s="26"/>
      <c r="C22" s="18" t="s">
        <v>9</v>
      </c>
      <c r="D22" s="30"/>
      <c r="E22" s="30"/>
      <c r="F22" s="18" t="s">
        <v>10</v>
      </c>
      <c r="G22" s="18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27"/>
      <c r="AP22" s="27"/>
      <c r="AQ22" s="27"/>
      <c r="AR22" s="27"/>
      <c r="AS22" s="21" t="str">
        <f>IFERROR(" ",'1. Intro'!AS22)</f>
        <v xml:space="preserve"> </v>
      </c>
      <c r="AT22" s="27"/>
      <c r="AU22" s="27"/>
      <c r="AV22" s="27"/>
      <c r="AW22" s="27"/>
      <c r="AX22" s="27"/>
      <c r="AY22" s="27"/>
      <c r="AZ22" s="27"/>
      <c r="BA22" s="27"/>
      <c r="BB22" s="27"/>
      <c r="BC22" s="23"/>
      <c r="BD22" s="23"/>
      <c r="BE22" s="23"/>
      <c r="BF22" s="23"/>
      <c r="BG22" s="23"/>
      <c r="BH22" s="23"/>
      <c r="BI22" s="28"/>
    </row>
    <row r="23" spans="2:61" s="25" customFormat="1" ht="16.5" customHeight="1">
      <c r="B23" s="17"/>
      <c r="C23" s="31" t="s">
        <v>11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3"/>
      <c r="BI23" s="24"/>
    </row>
    <row r="24" spans="2:61" s="25" customFormat="1" ht="16.5" customHeight="1">
      <c r="B24" s="17"/>
      <c r="C24" s="34" t="s">
        <v>12</v>
      </c>
      <c r="D24" s="35"/>
      <c r="E24" s="35"/>
      <c r="F24" s="35"/>
      <c r="G24" s="35"/>
      <c r="H24" s="35"/>
      <c r="I24" s="35"/>
      <c r="J24" s="35"/>
      <c r="K24" s="35"/>
      <c r="L24" s="36"/>
      <c r="M24" s="37" t="s">
        <v>13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7" t="s">
        <v>14</v>
      </c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9"/>
      <c r="AS24" s="37" t="s">
        <v>15</v>
      </c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40"/>
    </row>
    <row r="25" spans="2:61" s="25" customFormat="1" ht="16.5" customHeight="1">
      <c r="B25" s="17"/>
      <c r="C25" s="41" t="s">
        <v>16</v>
      </c>
      <c r="D25" s="42"/>
      <c r="E25" s="42"/>
      <c r="F25" s="42"/>
      <c r="G25" s="42"/>
      <c r="H25" s="42"/>
      <c r="I25" s="42"/>
      <c r="J25" s="42"/>
      <c r="K25" s="42"/>
      <c r="L25" s="43"/>
      <c r="M25" s="41" t="s">
        <v>17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41" t="s">
        <v>18</v>
      </c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3"/>
      <c r="AS25" s="41" t="s">
        <v>19</v>
      </c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3"/>
      <c r="BI25" s="24"/>
    </row>
    <row r="26" spans="2:61" s="25" customFormat="1" ht="16.5" customHeight="1">
      <c r="B26" s="17"/>
      <c r="C26" s="44" t="s">
        <v>20</v>
      </c>
      <c r="D26" s="45"/>
      <c r="E26" s="45"/>
      <c r="F26" s="45"/>
      <c r="G26" s="45"/>
      <c r="H26" s="45"/>
      <c r="I26" s="45"/>
      <c r="J26" s="45"/>
      <c r="K26" s="45"/>
      <c r="L26" s="46"/>
      <c r="M26" s="44" t="s">
        <v>21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6"/>
      <c r="AC26" s="44" t="s">
        <v>22</v>
      </c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6"/>
      <c r="AS26" s="44" t="s">
        <v>23</v>
      </c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6"/>
      <c r="BI26" s="24"/>
    </row>
    <row r="27" spans="2:61" s="25" customFormat="1" ht="16.5" customHeight="1">
      <c r="B27" s="17"/>
      <c r="C27" s="47" t="s">
        <v>24</v>
      </c>
      <c r="D27" s="48"/>
      <c r="E27" s="48"/>
      <c r="F27" s="48"/>
      <c r="G27" s="48"/>
      <c r="H27" s="48"/>
      <c r="I27" s="48"/>
      <c r="J27" s="48"/>
      <c r="K27" s="48"/>
      <c r="L27" s="49"/>
      <c r="M27" s="47" t="s">
        <v>25</v>
      </c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9"/>
      <c r="AC27" s="47" t="s">
        <v>26</v>
      </c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9"/>
      <c r="AS27" s="47" t="s">
        <v>27</v>
      </c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9"/>
      <c r="BI27" s="24"/>
    </row>
    <row r="28" spans="2:61" s="25" customFormat="1" ht="16.5" customHeight="1">
      <c r="B28" s="17"/>
      <c r="C28" s="50" t="s">
        <v>28</v>
      </c>
      <c r="D28" s="51"/>
      <c r="E28" s="51"/>
      <c r="F28" s="51"/>
      <c r="G28" s="51"/>
      <c r="H28" s="51"/>
      <c r="I28" s="51"/>
      <c r="J28" s="51"/>
      <c r="K28" s="51"/>
      <c r="L28" s="52"/>
      <c r="M28" s="50" t="s">
        <v>29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2"/>
      <c r="AC28" s="50" t="s">
        <v>30</v>
      </c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2"/>
      <c r="AS28" s="50" t="s">
        <v>31</v>
      </c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2"/>
      <c r="BI28" s="24"/>
    </row>
    <row r="29" spans="2:61" s="25" customFormat="1" ht="16.5" customHeight="1">
      <c r="B29" s="17"/>
      <c r="C29" s="47" t="s">
        <v>32</v>
      </c>
      <c r="D29" s="48"/>
      <c r="E29" s="48"/>
      <c r="F29" s="48"/>
      <c r="G29" s="48"/>
      <c r="H29" s="48"/>
      <c r="I29" s="48"/>
      <c r="J29" s="48"/>
      <c r="K29" s="48"/>
      <c r="L29" s="49"/>
      <c r="M29" s="47" t="s">
        <v>33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9"/>
      <c r="AC29" s="47" t="s">
        <v>34</v>
      </c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9"/>
      <c r="AS29" s="47" t="s">
        <v>35</v>
      </c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9"/>
      <c r="BI29" s="24"/>
    </row>
    <row r="30" spans="2:61" s="25" customFormat="1" ht="16.5" customHeight="1">
      <c r="B30" s="17"/>
      <c r="C30" s="50" t="s">
        <v>36</v>
      </c>
      <c r="D30" s="51"/>
      <c r="E30" s="51"/>
      <c r="F30" s="51"/>
      <c r="G30" s="51"/>
      <c r="H30" s="51"/>
      <c r="I30" s="51"/>
      <c r="J30" s="51"/>
      <c r="K30" s="51"/>
      <c r="L30" s="52"/>
      <c r="M30" s="50" t="s">
        <v>37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2"/>
      <c r="AC30" s="50" t="s">
        <v>38</v>
      </c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2"/>
      <c r="AS30" s="50" t="s">
        <v>39</v>
      </c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2"/>
      <c r="BI30" s="24"/>
    </row>
    <row r="31" spans="2:61" s="25" customFormat="1" ht="16.5" customHeight="1">
      <c r="B31" s="17"/>
      <c r="C31" s="50" t="s">
        <v>40</v>
      </c>
      <c r="D31" s="51"/>
      <c r="E31" s="51"/>
      <c r="F31" s="51"/>
      <c r="G31" s="51"/>
      <c r="H31" s="51"/>
      <c r="I31" s="51"/>
      <c r="J31" s="51"/>
      <c r="K31" s="51"/>
      <c r="L31" s="52"/>
      <c r="M31" s="50" t="s">
        <v>41</v>
      </c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2"/>
      <c r="AC31" s="50" t="s">
        <v>42</v>
      </c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2"/>
      <c r="AS31" s="50" t="s">
        <v>43</v>
      </c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2"/>
      <c r="BI31" s="24"/>
    </row>
    <row r="32" spans="2:61" s="25" customFormat="1" ht="16.5" customHeight="1">
      <c r="B32" s="17"/>
      <c r="C32" s="47" t="s">
        <v>44</v>
      </c>
      <c r="D32" s="48"/>
      <c r="E32" s="48"/>
      <c r="F32" s="48"/>
      <c r="G32" s="48"/>
      <c r="H32" s="48"/>
      <c r="I32" s="48"/>
      <c r="J32" s="48"/>
      <c r="K32" s="48"/>
      <c r="L32" s="49"/>
      <c r="M32" s="47" t="s">
        <v>45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  <c r="AC32" s="47" t="s">
        <v>46</v>
      </c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9"/>
      <c r="AS32" s="47" t="s">
        <v>47</v>
      </c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9"/>
      <c r="BI32" s="24"/>
    </row>
    <row r="33" spans="2:61" s="25" customFormat="1" ht="16.5" customHeight="1">
      <c r="B33" s="17"/>
      <c r="C33" s="50" t="s">
        <v>48</v>
      </c>
      <c r="D33" s="51"/>
      <c r="E33" s="51"/>
      <c r="F33" s="51"/>
      <c r="G33" s="51"/>
      <c r="H33" s="51"/>
      <c r="I33" s="51"/>
      <c r="J33" s="51"/>
      <c r="K33" s="51"/>
      <c r="L33" s="52"/>
      <c r="M33" s="50" t="s">
        <v>45</v>
      </c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2"/>
      <c r="AC33" s="50" t="s">
        <v>49</v>
      </c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2"/>
      <c r="AS33" s="50" t="s">
        <v>50</v>
      </c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2"/>
      <c r="BI33" s="24"/>
    </row>
    <row r="34" spans="2:61" s="25" customFormat="1" ht="16.5" customHeight="1">
      <c r="B34" s="17"/>
      <c r="C34" s="47" t="s">
        <v>51</v>
      </c>
      <c r="D34" s="48"/>
      <c r="E34" s="48"/>
      <c r="F34" s="48"/>
      <c r="G34" s="48"/>
      <c r="H34" s="48"/>
      <c r="I34" s="48"/>
      <c r="J34" s="48"/>
      <c r="K34" s="48"/>
      <c r="L34" s="49"/>
      <c r="M34" s="47" t="s">
        <v>45</v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9"/>
      <c r="AC34" s="47" t="s">
        <v>52</v>
      </c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9"/>
      <c r="AS34" s="47" t="s">
        <v>53</v>
      </c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9"/>
      <c r="BI34" s="24"/>
    </row>
    <row r="35" spans="2:61" s="25" customFormat="1" ht="16.5" customHeight="1">
      <c r="B35" s="17"/>
      <c r="C35" s="50" t="s">
        <v>54</v>
      </c>
      <c r="D35" s="51"/>
      <c r="E35" s="51"/>
      <c r="F35" s="51"/>
      <c r="G35" s="51"/>
      <c r="H35" s="51"/>
      <c r="I35" s="51"/>
      <c r="J35" s="51"/>
      <c r="K35" s="51"/>
      <c r="L35" s="52"/>
      <c r="M35" s="50" t="s">
        <v>45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2"/>
      <c r="AC35" s="50" t="s">
        <v>55</v>
      </c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2"/>
      <c r="AS35" s="50" t="s">
        <v>56</v>
      </c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2"/>
      <c r="BI35" s="24"/>
    </row>
    <row r="36" spans="2:61" s="25" customFormat="1" ht="16.5" customHeight="1">
      <c r="B36" s="17"/>
      <c r="C36" s="47" t="s">
        <v>57</v>
      </c>
      <c r="D36" s="48"/>
      <c r="E36" s="48"/>
      <c r="F36" s="48"/>
      <c r="G36" s="48"/>
      <c r="H36" s="48"/>
      <c r="I36" s="48"/>
      <c r="J36" s="48"/>
      <c r="K36" s="48"/>
      <c r="L36" s="49"/>
      <c r="M36" s="47" t="s">
        <v>58</v>
      </c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9"/>
      <c r="AC36" s="47" t="s">
        <v>59</v>
      </c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9"/>
      <c r="AS36" s="47" t="s">
        <v>60</v>
      </c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9"/>
      <c r="BI36" s="24"/>
    </row>
    <row r="37" spans="2:61" s="25" customFormat="1" ht="16.5" customHeight="1">
      <c r="B37" s="17"/>
      <c r="C37" s="50" t="s">
        <v>61</v>
      </c>
      <c r="D37" s="51"/>
      <c r="E37" s="51"/>
      <c r="F37" s="51"/>
      <c r="G37" s="51"/>
      <c r="H37" s="51"/>
      <c r="I37" s="51"/>
      <c r="J37" s="51"/>
      <c r="K37" s="51"/>
      <c r="L37" s="52"/>
      <c r="M37" s="44" t="s">
        <v>45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6"/>
      <c r="AC37" s="44" t="s">
        <v>62</v>
      </c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6"/>
      <c r="AS37" s="44" t="s">
        <v>63</v>
      </c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6"/>
      <c r="BI37" s="24"/>
    </row>
    <row r="38" spans="2:61" s="25" customFormat="1" ht="16.5" customHeight="1">
      <c r="B38" s="17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4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24"/>
    </row>
    <row r="39" spans="2:61" s="25" customFormat="1" ht="16.5" customHeight="1">
      <c r="B39" s="17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7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24"/>
    </row>
    <row r="40" spans="2:61" s="25" customFormat="1" ht="16.5" customHeight="1">
      <c r="B40" s="17"/>
      <c r="C40" s="31" t="s">
        <v>64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3"/>
      <c r="BI40" s="24"/>
    </row>
    <row r="41" spans="2:61" s="25" customFormat="1" ht="16.5" customHeight="1">
      <c r="B41" s="17"/>
      <c r="C41" s="34" t="s">
        <v>12</v>
      </c>
      <c r="D41" s="35"/>
      <c r="E41" s="35"/>
      <c r="F41" s="35"/>
      <c r="G41" s="35"/>
      <c r="H41" s="35"/>
      <c r="I41" s="35"/>
      <c r="J41" s="35"/>
      <c r="K41" s="35"/>
      <c r="L41" s="36"/>
      <c r="M41" s="37" t="s">
        <v>13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7" t="s">
        <v>14</v>
      </c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9"/>
      <c r="AS41" s="37" t="s">
        <v>15</v>
      </c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9"/>
      <c r="BI41" s="24"/>
    </row>
    <row r="42" spans="2:61" s="25" customFormat="1" ht="16.5" customHeight="1">
      <c r="B42" s="17"/>
      <c r="C42" s="41" t="s">
        <v>65</v>
      </c>
      <c r="D42" s="42"/>
      <c r="E42" s="42"/>
      <c r="F42" s="42"/>
      <c r="G42" s="42"/>
      <c r="H42" s="42"/>
      <c r="I42" s="42"/>
      <c r="J42" s="42"/>
      <c r="K42" s="42"/>
      <c r="L42" s="43"/>
      <c r="M42" s="41" t="s">
        <v>66</v>
      </c>
      <c r="N42" s="42"/>
      <c r="O42" s="42"/>
      <c r="P42" s="42"/>
      <c r="Q42" s="42"/>
      <c r="R42" s="42"/>
      <c r="S42" s="42"/>
      <c r="T42" s="42"/>
      <c r="U42" s="42"/>
      <c r="V42" s="42"/>
      <c r="W42" s="42" t="s">
        <v>67</v>
      </c>
      <c r="X42" s="42"/>
      <c r="Y42" s="42"/>
      <c r="Z42" s="42"/>
      <c r="AA42" s="42"/>
      <c r="AB42" s="43"/>
      <c r="AC42" s="41" t="s">
        <v>68</v>
      </c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3"/>
      <c r="AS42" s="41" t="s">
        <v>69</v>
      </c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3"/>
      <c r="BI42" s="24"/>
    </row>
    <row r="43" spans="2:61" s="25" customFormat="1" ht="16.5" customHeight="1">
      <c r="B43" s="17"/>
      <c r="C43" s="44" t="s">
        <v>70</v>
      </c>
      <c r="D43" s="45"/>
      <c r="E43" s="45"/>
      <c r="F43" s="45"/>
      <c r="G43" s="45"/>
      <c r="H43" s="45"/>
      <c r="I43" s="45"/>
      <c r="J43" s="45"/>
      <c r="K43" s="45"/>
      <c r="L43" s="46"/>
      <c r="M43" s="44" t="s">
        <v>66</v>
      </c>
      <c r="N43" s="45"/>
      <c r="O43" s="45"/>
      <c r="P43" s="45"/>
      <c r="Q43" s="45"/>
      <c r="R43" s="45"/>
      <c r="S43" s="45"/>
      <c r="T43" s="45"/>
      <c r="U43" s="45"/>
      <c r="V43" s="45"/>
      <c r="W43" s="45" t="s">
        <v>71</v>
      </c>
      <c r="X43" s="45"/>
      <c r="Y43" s="45"/>
      <c r="Z43" s="45"/>
      <c r="AA43" s="45"/>
      <c r="AB43" s="46"/>
      <c r="AC43" s="44" t="s">
        <v>71</v>
      </c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6"/>
      <c r="AS43" s="44" t="s">
        <v>72</v>
      </c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6"/>
      <c r="BI43" s="24"/>
    </row>
    <row r="44" spans="2:61" s="25" customFormat="1" ht="16.5" customHeight="1">
      <c r="B44" s="17"/>
      <c r="C44" s="41" t="s">
        <v>73</v>
      </c>
      <c r="D44" s="42"/>
      <c r="E44" s="42"/>
      <c r="F44" s="42"/>
      <c r="G44" s="42"/>
      <c r="H44" s="42"/>
      <c r="I44" s="42"/>
      <c r="J44" s="42"/>
      <c r="K44" s="42"/>
      <c r="L44" s="43"/>
      <c r="M44" s="41" t="s">
        <v>74</v>
      </c>
      <c r="N44" s="42"/>
      <c r="O44" s="42"/>
      <c r="P44" s="42"/>
      <c r="Q44" s="42"/>
      <c r="R44" s="42"/>
      <c r="S44" s="42"/>
      <c r="T44" s="42"/>
      <c r="U44" s="42"/>
      <c r="V44" s="42"/>
      <c r="W44" s="42" t="s">
        <v>75</v>
      </c>
      <c r="X44" s="42"/>
      <c r="Y44" s="42"/>
      <c r="Z44" s="42"/>
      <c r="AA44" s="42"/>
      <c r="AB44" s="43"/>
      <c r="AC44" s="41" t="s">
        <v>75</v>
      </c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3"/>
      <c r="AS44" s="41" t="s">
        <v>76</v>
      </c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3"/>
      <c r="BI44" s="24"/>
    </row>
    <row r="45" spans="2:61" s="25" customFormat="1" ht="16.5" customHeight="1">
      <c r="B45" s="17"/>
      <c r="C45" s="44" t="s">
        <v>77</v>
      </c>
      <c r="D45" s="45"/>
      <c r="E45" s="45"/>
      <c r="F45" s="45"/>
      <c r="G45" s="45"/>
      <c r="H45" s="45"/>
      <c r="I45" s="45"/>
      <c r="J45" s="45"/>
      <c r="K45" s="45"/>
      <c r="L45" s="46"/>
      <c r="M45" s="44" t="s">
        <v>66</v>
      </c>
      <c r="N45" s="45"/>
      <c r="O45" s="45"/>
      <c r="P45" s="45"/>
      <c r="Q45" s="45"/>
      <c r="R45" s="45" t="s">
        <v>66</v>
      </c>
      <c r="S45" s="45"/>
      <c r="T45" s="45"/>
      <c r="U45" s="45"/>
      <c r="V45" s="45"/>
      <c r="W45" s="45" t="s">
        <v>78</v>
      </c>
      <c r="X45" s="45"/>
      <c r="Y45" s="45"/>
      <c r="Z45" s="45"/>
      <c r="AA45" s="45"/>
      <c r="AB45" s="46"/>
      <c r="AC45" s="44" t="s">
        <v>78</v>
      </c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6"/>
      <c r="AS45" s="44" t="s">
        <v>79</v>
      </c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6"/>
      <c r="BI45" s="24"/>
    </row>
    <row r="46" spans="2:61" s="25" customFormat="1" ht="16.5" customHeight="1">
      <c r="B46" s="17"/>
      <c r="C46" s="41" t="s">
        <v>80</v>
      </c>
      <c r="D46" s="42"/>
      <c r="E46" s="42"/>
      <c r="F46" s="42"/>
      <c r="G46" s="42"/>
      <c r="H46" s="42"/>
      <c r="I46" s="42"/>
      <c r="J46" s="42"/>
      <c r="K46" s="42"/>
      <c r="L46" s="43"/>
      <c r="M46" s="41" t="s">
        <v>74</v>
      </c>
      <c r="N46" s="42"/>
      <c r="O46" s="42"/>
      <c r="P46" s="42"/>
      <c r="Q46" s="42"/>
      <c r="R46" s="42"/>
      <c r="S46" s="42"/>
      <c r="T46" s="42"/>
      <c r="U46" s="42"/>
      <c r="V46" s="42"/>
      <c r="W46" s="42" t="s">
        <v>81</v>
      </c>
      <c r="X46" s="42"/>
      <c r="Y46" s="42"/>
      <c r="Z46" s="42"/>
      <c r="AA46" s="42"/>
      <c r="AB46" s="43"/>
      <c r="AC46" s="41" t="s">
        <v>81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3"/>
      <c r="AS46" s="41" t="s">
        <v>82</v>
      </c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3"/>
      <c r="BI46" s="24"/>
    </row>
    <row r="47" spans="2:61" s="25" customFormat="1" ht="16.5" customHeight="1">
      <c r="B47" s="17"/>
      <c r="C47" s="44" t="s">
        <v>83</v>
      </c>
      <c r="D47" s="45"/>
      <c r="E47" s="45"/>
      <c r="F47" s="45"/>
      <c r="G47" s="45"/>
      <c r="H47" s="45"/>
      <c r="I47" s="45"/>
      <c r="J47" s="45"/>
      <c r="K47" s="45"/>
      <c r="L47" s="46"/>
      <c r="M47" s="44" t="s">
        <v>66</v>
      </c>
      <c r="N47" s="45"/>
      <c r="O47" s="45"/>
      <c r="P47" s="45"/>
      <c r="Q47" s="45"/>
      <c r="R47" s="45"/>
      <c r="S47" s="45"/>
      <c r="T47" s="45"/>
      <c r="U47" s="45"/>
      <c r="V47" s="45"/>
      <c r="W47" s="45" t="s">
        <v>67</v>
      </c>
      <c r="X47" s="45"/>
      <c r="Y47" s="45"/>
      <c r="Z47" s="45"/>
      <c r="AA47" s="45"/>
      <c r="AB47" s="46"/>
      <c r="AC47" s="44" t="s">
        <v>67</v>
      </c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6"/>
      <c r="AS47" s="44" t="s">
        <v>84</v>
      </c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6"/>
      <c r="BI47" s="24"/>
    </row>
    <row r="48" spans="2:61" s="25" customFormat="1" ht="16.5" customHeight="1">
      <c r="B48" s="17"/>
      <c r="C48" s="41" t="s">
        <v>85</v>
      </c>
      <c r="D48" s="42"/>
      <c r="E48" s="42"/>
      <c r="F48" s="42"/>
      <c r="G48" s="42"/>
      <c r="H48" s="42"/>
      <c r="I48" s="42"/>
      <c r="J48" s="42"/>
      <c r="K48" s="42"/>
      <c r="L48" s="43"/>
      <c r="M48" s="41" t="s">
        <v>66</v>
      </c>
      <c r="N48" s="42"/>
      <c r="O48" s="42"/>
      <c r="P48" s="42"/>
      <c r="Q48" s="42"/>
      <c r="R48" s="42"/>
      <c r="S48" s="42"/>
      <c r="T48" s="42"/>
      <c r="U48" s="42"/>
      <c r="V48" s="42"/>
      <c r="W48" s="42" t="s">
        <v>86</v>
      </c>
      <c r="X48" s="42"/>
      <c r="Y48" s="42"/>
      <c r="Z48" s="42"/>
      <c r="AA48" s="42"/>
      <c r="AB48" s="43"/>
      <c r="AC48" s="41" t="s">
        <v>86</v>
      </c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3"/>
      <c r="AS48" s="41" t="s">
        <v>87</v>
      </c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3"/>
      <c r="BI48" s="24"/>
    </row>
    <row r="49" spans="2:61" s="25" customFormat="1" ht="16.5" customHeight="1">
      <c r="B49" s="17"/>
      <c r="C49" s="44" t="s">
        <v>88</v>
      </c>
      <c r="D49" s="45"/>
      <c r="E49" s="45"/>
      <c r="F49" s="45"/>
      <c r="G49" s="45"/>
      <c r="H49" s="45"/>
      <c r="I49" s="45"/>
      <c r="J49" s="45"/>
      <c r="K49" s="45"/>
      <c r="L49" s="46"/>
      <c r="M49" s="44" t="s">
        <v>66</v>
      </c>
      <c r="N49" s="45"/>
      <c r="O49" s="45"/>
      <c r="P49" s="45"/>
      <c r="Q49" s="45"/>
      <c r="R49" s="45"/>
      <c r="S49" s="45"/>
      <c r="T49" s="45"/>
      <c r="U49" s="45"/>
      <c r="V49" s="45"/>
      <c r="W49" s="45" t="s">
        <v>89</v>
      </c>
      <c r="X49" s="45"/>
      <c r="Y49" s="45"/>
      <c r="Z49" s="45"/>
      <c r="AA49" s="45"/>
      <c r="AB49" s="46"/>
      <c r="AC49" s="44" t="s">
        <v>89</v>
      </c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6"/>
      <c r="AS49" s="44" t="s">
        <v>90</v>
      </c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6"/>
      <c r="BI49" s="24"/>
    </row>
    <row r="50" spans="2:61" s="25" customFormat="1" ht="16.5" customHeight="1">
      <c r="B50" s="17"/>
      <c r="C50" s="41" t="s">
        <v>91</v>
      </c>
      <c r="D50" s="42"/>
      <c r="E50" s="42"/>
      <c r="F50" s="42"/>
      <c r="G50" s="42"/>
      <c r="H50" s="42"/>
      <c r="I50" s="42"/>
      <c r="J50" s="42"/>
      <c r="K50" s="42"/>
      <c r="L50" s="43"/>
      <c r="M50" s="41" t="s">
        <v>74</v>
      </c>
      <c r="N50" s="42"/>
      <c r="O50" s="42"/>
      <c r="P50" s="42"/>
      <c r="Q50" s="42"/>
      <c r="R50" s="42" t="s">
        <v>74</v>
      </c>
      <c r="S50" s="42"/>
      <c r="T50" s="42"/>
      <c r="U50" s="42"/>
      <c r="V50" s="42"/>
      <c r="W50" s="42" t="s">
        <v>92</v>
      </c>
      <c r="X50" s="42"/>
      <c r="Y50" s="42"/>
      <c r="Z50" s="42"/>
      <c r="AA50" s="42"/>
      <c r="AB50" s="43"/>
      <c r="AC50" s="41" t="s">
        <v>92</v>
      </c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3"/>
      <c r="AS50" s="41" t="s">
        <v>93</v>
      </c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3"/>
      <c r="BI50" s="24"/>
    </row>
    <row r="51" spans="2:61" s="25" customFormat="1" ht="16.5" customHeight="1">
      <c r="B51" s="17"/>
      <c r="C51" s="44" t="s">
        <v>94</v>
      </c>
      <c r="D51" s="45"/>
      <c r="E51" s="45"/>
      <c r="F51" s="45"/>
      <c r="G51" s="45"/>
      <c r="H51" s="45"/>
      <c r="I51" s="45"/>
      <c r="J51" s="45"/>
      <c r="K51" s="45"/>
      <c r="L51" s="46"/>
      <c r="M51" s="44" t="s">
        <v>66</v>
      </c>
      <c r="N51" s="45"/>
      <c r="O51" s="45"/>
      <c r="P51" s="45"/>
      <c r="Q51" s="45"/>
      <c r="R51" s="45" t="s">
        <v>66</v>
      </c>
      <c r="S51" s="45"/>
      <c r="T51" s="45"/>
      <c r="U51" s="45"/>
      <c r="V51" s="45"/>
      <c r="W51" s="45" t="s">
        <v>95</v>
      </c>
      <c r="X51" s="45"/>
      <c r="Y51" s="45"/>
      <c r="Z51" s="45"/>
      <c r="AA51" s="45"/>
      <c r="AB51" s="46"/>
      <c r="AC51" s="44" t="s">
        <v>95</v>
      </c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6"/>
      <c r="AS51" s="44" t="s">
        <v>96</v>
      </c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6"/>
      <c r="BI51" s="24"/>
    </row>
    <row r="52" spans="2:61" s="25" customFormat="1" ht="16.5" customHeight="1">
      <c r="B52" s="17"/>
      <c r="C52" s="41" t="s">
        <v>97</v>
      </c>
      <c r="D52" s="42"/>
      <c r="E52" s="42"/>
      <c r="F52" s="42"/>
      <c r="G52" s="42"/>
      <c r="H52" s="42"/>
      <c r="I52" s="42"/>
      <c r="J52" s="42"/>
      <c r="K52" s="42"/>
      <c r="L52" s="43"/>
      <c r="M52" s="41" t="s">
        <v>74</v>
      </c>
      <c r="N52" s="42"/>
      <c r="O52" s="42"/>
      <c r="P52" s="42"/>
      <c r="Q52" s="42"/>
      <c r="R52" s="42" t="s">
        <v>74</v>
      </c>
      <c r="S52" s="42"/>
      <c r="T52" s="42"/>
      <c r="U52" s="42"/>
      <c r="V52" s="42"/>
      <c r="W52" s="42" t="s">
        <v>92</v>
      </c>
      <c r="X52" s="42"/>
      <c r="Y52" s="42"/>
      <c r="Z52" s="42"/>
      <c r="AA52" s="42"/>
      <c r="AB52" s="43"/>
      <c r="AC52" s="41" t="s">
        <v>98</v>
      </c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3"/>
      <c r="AS52" s="41" t="s">
        <v>99</v>
      </c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3"/>
      <c r="BI52" s="24"/>
    </row>
    <row r="53" spans="2:61" s="25" customFormat="1" ht="16.5" customHeight="1">
      <c r="B53" s="17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59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24"/>
    </row>
    <row r="54" spans="2:61" s="25" customFormat="1" ht="16.5" customHeight="1">
      <c r="B54" s="17"/>
      <c r="C54" s="31" t="s">
        <v>100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3"/>
      <c r="BI54" s="24"/>
    </row>
    <row r="55" spans="2:61" s="25" customFormat="1" ht="16.5" customHeight="1">
      <c r="B55" s="17"/>
      <c r="C55" s="34" t="s">
        <v>12</v>
      </c>
      <c r="D55" s="35"/>
      <c r="E55" s="35"/>
      <c r="F55" s="35"/>
      <c r="G55" s="35"/>
      <c r="H55" s="35"/>
      <c r="I55" s="35"/>
      <c r="J55" s="35"/>
      <c r="K55" s="35"/>
      <c r="L55" s="36"/>
      <c r="M55" s="37" t="s">
        <v>13</v>
      </c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7" t="s">
        <v>14</v>
      </c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9"/>
      <c r="AS55" s="37" t="s">
        <v>15</v>
      </c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9"/>
      <c r="BI55" s="24"/>
    </row>
    <row r="56" spans="2:61" s="25" customFormat="1" ht="16.5" customHeight="1">
      <c r="B56" s="17"/>
      <c r="C56" s="41" t="s">
        <v>101</v>
      </c>
      <c r="D56" s="42"/>
      <c r="E56" s="42"/>
      <c r="F56" s="42"/>
      <c r="G56" s="42"/>
      <c r="H56" s="42"/>
      <c r="I56" s="42"/>
      <c r="J56" s="42"/>
      <c r="K56" s="42"/>
      <c r="L56" s="43"/>
      <c r="M56" s="41" t="s">
        <v>102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41" t="s">
        <v>103</v>
      </c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3"/>
      <c r="AS56" s="41" t="s">
        <v>104</v>
      </c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3"/>
      <c r="BI56" s="24"/>
    </row>
    <row r="57" spans="2:61" s="25" customFormat="1" ht="16.5" customHeight="1">
      <c r="B57" s="17"/>
      <c r="C57" s="44" t="s">
        <v>105</v>
      </c>
      <c r="D57" s="45"/>
      <c r="E57" s="45"/>
      <c r="F57" s="45"/>
      <c r="G57" s="45"/>
      <c r="H57" s="45"/>
      <c r="I57" s="45"/>
      <c r="J57" s="45"/>
      <c r="K57" s="45"/>
      <c r="L57" s="46"/>
      <c r="M57" s="44" t="s">
        <v>21</v>
      </c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6"/>
      <c r="AC57" s="44" t="s">
        <v>106</v>
      </c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6"/>
      <c r="AS57" s="44" t="s">
        <v>107</v>
      </c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6"/>
      <c r="BI57" s="61"/>
    </row>
    <row r="58" spans="2:61" s="25" customFormat="1" ht="16.5" customHeight="1">
      <c r="B58" s="17"/>
      <c r="C58" s="41" t="s">
        <v>108</v>
      </c>
      <c r="D58" s="42"/>
      <c r="E58" s="42"/>
      <c r="F58" s="42"/>
      <c r="G58" s="42"/>
      <c r="H58" s="42"/>
      <c r="I58" s="42"/>
      <c r="J58" s="42"/>
      <c r="K58" s="42"/>
      <c r="L58" s="43"/>
      <c r="M58" s="41" t="s">
        <v>21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41" t="s">
        <v>109</v>
      </c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3"/>
      <c r="AS58" s="41" t="s">
        <v>110</v>
      </c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3"/>
      <c r="BI58" s="61"/>
    </row>
    <row r="59" spans="2:61" s="25" customFormat="1" ht="16.5" customHeight="1">
      <c r="B59" s="17"/>
      <c r="C59" s="44" t="s">
        <v>111</v>
      </c>
      <c r="D59" s="45"/>
      <c r="E59" s="45"/>
      <c r="F59" s="45"/>
      <c r="G59" s="45"/>
      <c r="H59" s="45"/>
      <c r="I59" s="45"/>
      <c r="J59" s="45"/>
      <c r="K59" s="45"/>
      <c r="L59" s="46"/>
      <c r="M59" s="44" t="s">
        <v>45</v>
      </c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6"/>
      <c r="AC59" s="44" t="s">
        <v>112</v>
      </c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6"/>
      <c r="AS59" s="44" t="s">
        <v>113</v>
      </c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6"/>
      <c r="BI59" s="61"/>
    </row>
    <row r="60" spans="2:61" s="25" customFormat="1" ht="16.5" customHeight="1">
      <c r="B60" s="17"/>
      <c r="C60" s="41" t="s">
        <v>114</v>
      </c>
      <c r="D60" s="42"/>
      <c r="E60" s="42"/>
      <c r="F60" s="42"/>
      <c r="G60" s="42"/>
      <c r="H60" s="42"/>
      <c r="I60" s="42"/>
      <c r="J60" s="42"/>
      <c r="K60" s="42"/>
      <c r="L60" s="43"/>
      <c r="M60" s="41" t="s">
        <v>45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3"/>
      <c r="AC60" s="41" t="s">
        <v>115</v>
      </c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3"/>
      <c r="AS60" s="41" t="s">
        <v>116</v>
      </c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3"/>
      <c r="BI60" s="61"/>
    </row>
    <row r="61" spans="2:61" s="25" customFormat="1" ht="16.5" customHeight="1">
      <c r="B61" s="17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24"/>
    </row>
    <row r="62" spans="2:61" s="25" customFormat="1" ht="16.5" customHeight="1">
      <c r="B62" s="17"/>
      <c r="C62" s="31" t="s">
        <v>117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3"/>
      <c r="BI62" s="24"/>
    </row>
    <row r="63" spans="2:61" s="25" customFormat="1" ht="16.5" customHeight="1">
      <c r="B63" s="17"/>
      <c r="C63" s="34" t="s">
        <v>12</v>
      </c>
      <c r="D63" s="35"/>
      <c r="E63" s="35"/>
      <c r="F63" s="35"/>
      <c r="G63" s="35"/>
      <c r="H63" s="35"/>
      <c r="I63" s="35"/>
      <c r="J63" s="35"/>
      <c r="K63" s="35"/>
      <c r="L63" s="36"/>
      <c r="M63" s="37" t="s">
        <v>13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7" t="s">
        <v>14</v>
      </c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9"/>
      <c r="AS63" s="37" t="s">
        <v>15</v>
      </c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9"/>
      <c r="BI63" s="24"/>
    </row>
    <row r="64" spans="2:61" s="25" customFormat="1" ht="16.5" customHeight="1">
      <c r="B64" s="17"/>
      <c r="C64" s="41" t="s">
        <v>118</v>
      </c>
      <c r="D64" s="42"/>
      <c r="E64" s="42"/>
      <c r="F64" s="42"/>
      <c r="G64" s="42"/>
      <c r="H64" s="42"/>
      <c r="I64" s="42"/>
      <c r="J64" s="42"/>
      <c r="K64" s="42"/>
      <c r="L64" s="43"/>
      <c r="M64" s="41" t="s">
        <v>17</v>
      </c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41" t="s">
        <v>119</v>
      </c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3"/>
      <c r="AS64" s="41" t="s">
        <v>120</v>
      </c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3"/>
      <c r="BI64" s="24"/>
    </row>
    <row r="65" spans="2:61" s="25" customFormat="1" ht="16.5" customHeight="1">
      <c r="B65" s="17"/>
      <c r="C65" s="44" t="s">
        <v>121</v>
      </c>
      <c r="D65" s="45"/>
      <c r="E65" s="45"/>
      <c r="F65" s="45"/>
      <c r="G65" s="45"/>
      <c r="H65" s="45"/>
      <c r="I65" s="45"/>
      <c r="J65" s="45"/>
      <c r="K65" s="45"/>
      <c r="L65" s="46"/>
      <c r="M65" s="44" t="s">
        <v>21</v>
      </c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6"/>
      <c r="AC65" s="44" t="s">
        <v>122</v>
      </c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6"/>
      <c r="AS65" s="44" t="s">
        <v>123</v>
      </c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6"/>
      <c r="BI65" s="24"/>
    </row>
    <row r="66" spans="2:61" s="25" customFormat="1" ht="16.5" customHeight="1">
      <c r="B66" s="17"/>
      <c r="C66" s="41" t="s">
        <v>124</v>
      </c>
      <c r="D66" s="42"/>
      <c r="E66" s="42"/>
      <c r="F66" s="42"/>
      <c r="G66" s="42"/>
      <c r="H66" s="42"/>
      <c r="I66" s="42"/>
      <c r="J66" s="42"/>
      <c r="K66" s="42"/>
      <c r="L66" s="43"/>
      <c r="M66" s="41" t="s">
        <v>45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3"/>
      <c r="AC66" s="41" t="s">
        <v>125</v>
      </c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3"/>
      <c r="AS66" s="41" t="s">
        <v>126</v>
      </c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3"/>
      <c r="BI66" s="24"/>
    </row>
    <row r="67" spans="2:61" s="25" customFormat="1" ht="16.5" customHeight="1">
      <c r="B67" s="17"/>
      <c r="C67" s="44" t="s">
        <v>127</v>
      </c>
      <c r="D67" s="45"/>
      <c r="E67" s="45"/>
      <c r="F67" s="45"/>
      <c r="G67" s="45"/>
      <c r="H67" s="45"/>
      <c r="I67" s="45"/>
      <c r="J67" s="45"/>
      <c r="K67" s="45"/>
      <c r="L67" s="46"/>
      <c r="M67" s="44" t="s">
        <v>45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6"/>
      <c r="AC67" s="44" t="s">
        <v>128</v>
      </c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6"/>
      <c r="AS67" s="44" t="s">
        <v>129</v>
      </c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6"/>
      <c r="BI67" s="24"/>
    </row>
    <row r="68" spans="2:61" s="25" customFormat="1" ht="16.5" customHeight="1">
      <c r="B68" s="17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24"/>
    </row>
    <row r="69" spans="2:61" s="25" customFormat="1" ht="16.5" customHeight="1">
      <c r="B69" s="17"/>
      <c r="C69" s="31" t="s">
        <v>130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3"/>
      <c r="BI69" s="24"/>
    </row>
    <row r="70" spans="2:61" s="25" customFormat="1" ht="16.5" customHeight="1">
      <c r="B70" s="17"/>
      <c r="C70" s="34" t="s">
        <v>12</v>
      </c>
      <c r="D70" s="35"/>
      <c r="E70" s="35"/>
      <c r="F70" s="35"/>
      <c r="G70" s="35"/>
      <c r="H70" s="35"/>
      <c r="I70" s="35"/>
      <c r="J70" s="35"/>
      <c r="K70" s="35"/>
      <c r="L70" s="36"/>
      <c r="M70" s="37" t="s">
        <v>13</v>
      </c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7" t="s">
        <v>14</v>
      </c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9"/>
      <c r="AS70" s="37" t="s">
        <v>15</v>
      </c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9"/>
      <c r="BI70" s="24"/>
    </row>
    <row r="71" spans="2:61" s="25" customFormat="1" ht="16.5" customHeight="1">
      <c r="B71" s="17"/>
      <c r="C71" s="41" t="s">
        <v>131</v>
      </c>
      <c r="D71" s="42"/>
      <c r="E71" s="42"/>
      <c r="F71" s="42"/>
      <c r="G71" s="42"/>
      <c r="H71" s="42"/>
      <c r="I71" s="42"/>
      <c r="J71" s="42"/>
      <c r="K71" s="42"/>
      <c r="L71" s="43"/>
      <c r="M71" s="41" t="s">
        <v>45</v>
      </c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3"/>
      <c r="AC71" s="41" t="s">
        <v>132</v>
      </c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3"/>
      <c r="AS71" s="41" t="s">
        <v>133</v>
      </c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3"/>
      <c r="BI71" s="24"/>
    </row>
    <row r="72" spans="2:61" s="25" customFormat="1" ht="16.5" customHeight="1">
      <c r="B72" s="17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24"/>
    </row>
    <row r="73" spans="2:61" s="25" customFormat="1" ht="16.5" customHeight="1">
      <c r="B73" s="17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24"/>
    </row>
    <row r="74" spans="2:61" s="25" customFormat="1" ht="16.5" customHeight="1">
      <c r="B74" s="17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24"/>
    </row>
    <row r="75" spans="2:61" s="25" customFormat="1" ht="16.5" customHeight="1">
      <c r="B75" s="17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24"/>
    </row>
    <row r="76" spans="2:61" s="25" customFormat="1" ht="16.5" customHeight="1">
      <c r="B76" s="17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24"/>
    </row>
    <row r="77" spans="2:61" s="25" customFormat="1" ht="16.5" customHeight="1">
      <c r="B77" s="17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24"/>
    </row>
    <row r="78" spans="2:61" s="25" customFormat="1" ht="16.5" customHeight="1">
      <c r="B78" s="17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24"/>
    </row>
    <row r="79" spans="2:61" s="25" customFormat="1" ht="16.5" customHeight="1">
      <c r="B79" s="17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24"/>
    </row>
    <row r="80" spans="2:61" s="25" customFormat="1" ht="16.5" customHeight="1">
      <c r="B80" s="17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24"/>
    </row>
    <row r="81" spans="2:61" s="25" customFormat="1" ht="16.5" customHeight="1" thickBot="1"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5"/>
    </row>
  </sheetData>
  <mergeCells count="121">
    <mergeCell ref="C69:BH69"/>
    <mergeCell ref="C70:L70"/>
    <mergeCell ref="M70:AB70"/>
    <mergeCell ref="AC70:AR70"/>
    <mergeCell ref="AS70:BH70"/>
    <mergeCell ref="C71:L71"/>
    <mergeCell ref="M71:AB71"/>
    <mergeCell ref="AC71:AR71"/>
    <mergeCell ref="AS71:BH71"/>
    <mergeCell ref="C66:L66"/>
    <mergeCell ref="M66:AB66"/>
    <mergeCell ref="AC66:AR66"/>
    <mergeCell ref="AS66:BH66"/>
    <mergeCell ref="C67:L67"/>
    <mergeCell ref="M67:AB67"/>
    <mergeCell ref="AC67:AR67"/>
    <mergeCell ref="AS67:BH67"/>
    <mergeCell ref="C64:L64"/>
    <mergeCell ref="M64:AB64"/>
    <mergeCell ref="AC64:AR64"/>
    <mergeCell ref="AS64:BH64"/>
    <mergeCell ref="C65:L65"/>
    <mergeCell ref="M65:AB65"/>
    <mergeCell ref="AC65:AR65"/>
    <mergeCell ref="AS65:BH65"/>
    <mergeCell ref="C60:L60"/>
    <mergeCell ref="M60:AB60"/>
    <mergeCell ref="AC60:AR60"/>
    <mergeCell ref="AS60:BH60"/>
    <mergeCell ref="C62:BH62"/>
    <mergeCell ref="C63:L63"/>
    <mergeCell ref="M63:AB63"/>
    <mergeCell ref="AC63:AR63"/>
    <mergeCell ref="AS63:BH63"/>
    <mergeCell ref="C58:L58"/>
    <mergeCell ref="M58:AB58"/>
    <mergeCell ref="AC58:AR58"/>
    <mergeCell ref="AS58:BH58"/>
    <mergeCell ref="C59:L59"/>
    <mergeCell ref="M59:AB59"/>
    <mergeCell ref="AC59:AR59"/>
    <mergeCell ref="AS59:BH59"/>
    <mergeCell ref="C56:L56"/>
    <mergeCell ref="M56:AB56"/>
    <mergeCell ref="AC56:AR56"/>
    <mergeCell ref="AS56:BH56"/>
    <mergeCell ref="C57:L57"/>
    <mergeCell ref="M57:AB57"/>
    <mergeCell ref="AC57:AR57"/>
    <mergeCell ref="AS57:BH57"/>
    <mergeCell ref="C52:L52"/>
    <mergeCell ref="M52:AB52"/>
    <mergeCell ref="AC52:AR52"/>
    <mergeCell ref="AS52:BH52"/>
    <mergeCell ref="C54:BH54"/>
    <mergeCell ref="C55:L55"/>
    <mergeCell ref="M55:AB55"/>
    <mergeCell ref="AC55:AR55"/>
    <mergeCell ref="AS55:BH55"/>
    <mergeCell ref="C50:L50"/>
    <mergeCell ref="M50:AB50"/>
    <mergeCell ref="AC50:AR50"/>
    <mergeCell ref="AS50:BH50"/>
    <mergeCell ref="C51:L51"/>
    <mergeCell ref="M51:AB51"/>
    <mergeCell ref="AC51:AR51"/>
    <mergeCell ref="AS51:BH51"/>
    <mergeCell ref="C48:L48"/>
    <mergeCell ref="M48:AB48"/>
    <mergeCell ref="AC48:AR48"/>
    <mergeCell ref="AS48:BH48"/>
    <mergeCell ref="C49:L49"/>
    <mergeCell ref="M49:AB49"/>
    <mergeCell ref="AC49:AR49"/>
    <mergeCell ref="AS49:BH49"/>
    <mergeCell ref="C46:L46"/>
    <mergeCell ref="M46:AB46"/>
    <mergeCell ref="AC46:AR46"/>
    <mergeCell ref="AS46:BH46"/>
    <mergeCell ref="C47:L47"/>
    <mergeCell ref="M47:AB47"/>
    <mergeCell ref="AC47:AR47"/>
    <mergeCell ref="AS47:BH47"/>
    <mergeCell ref="C44:L44"/>
    <mergeCell ref="M44:AB44"/>
    <mergeCell ref="AC44:AR44"/>
    <mergeCell ref="AS44:BH44"/>
    <mergeCell ref="C45:L45"/>
    <mergeCell ref="M45:AB45"/>
    <mergeCell ref="AC45:AR45"/>
    <mergeCell ref="AS45:BH45"/>
    <mergeCell ref="C42:L42"/>
    <mergeCell ref="M42:AB42"/>
    <mergeCell ref="AC42:AR42"/>
    <mergeCell ref="AS42:BH42"/>
    <mergeCell ref="C43:L43"/>
    <mergeCell ref="M43:AB43"/>
    <mergeCell ref="AC43:AR43"/>
    <mergeCell ref="AS43:BH43"/>
    <mergeCell ref="M37:AB37"/>
    <mergeCell ref="AC37:AR37"/>
    <mergeCell ref="AS37:BH37"/>
    <mergeCell ref="C40:BH40"/>
    <mergeCell ref="C41:L41"/>
    <mergeCell ref="M41:AB41"/>
    <mergeCell ref="AC41:AR41"/>
    <mergeCell ref="AS41:BH41"/>
    <mergeCell ref="C25:L25"/>
    <mergeCell ref="M25:AB25"/>
    <mergeCell ref="AC25:AR25"/>
    <mergeCell ref="AS25:BH25"/>
    <mergeCell ref="C26:L26"/>
    <mergeCell ref="M26:AB26"/>
    <mergeCell ref="AC26:AR26"/>
    <mergeCell ref="AS26:BH26"/>
    <mergeCell ref="AX13:BF13"/>
    <mergeCell ref="C23:BH23"/>
    <mergeCell ref="C24:L24"/>
    <mergeCell ref="M24:AB24"/>
    <mergeCell ref="AC24:AR24"/>
    <mergeCell ref="AS24:BH24"/>
  </mergeCells>
  <hyperlinks>
    <hyperlink ref="AS26" r:id="rId1" xr:uid="{EAA23F2E-FC7A-4899-9875-67ED35BDC0A7}"/>
    <hyperlink ref="AS25" r:id="rId2" xr:uid="{E673E5E3-8DAB-4784-8092-CD737E8179AB}"/>
    <hyperlink ref="AS31" r:id="rId3" xr:uid="{11CC2732-393C-442F-8009-9612250D8DFE}"/>
    <hyperlink ref="AS27" r:id="rId4" xr:uid="{E11CD5A4-11A0-4CBF-BD3D-88E3DEDEF6E5}"/>
    <hyperlink ref="AS29" r:id="rId5" xr:uid="{C2F4C188-46CF-4603-8611-CD4035271A22}"/>
    <hyperlink ref="AS28" r:id="rId6" xr:uid="{E002446E-6619-49B4-9441-D1CE16940450}"/>
    <hyperlink ref="AS56" r:id="rId7" xr:uid="{812B36EA-E93C-461E-84C8-BF2F20110D94}"/>
    <hyperlink ref="AS57" r:id="rId8" xr:uid="{0684B6B4-E617-4F33-BB75-367C8E38C2FE}"/>
    <hyperlink ref="AS59" r:id="rId9" xr:uid="{FA11F396-2416-4A5D-BCEA-6178856BAAD8}"/>
    <hyperlink ref="AS64" r:id="rId10" xr:uid="{932547F9-2702-452B-A2D1-66AD6EE691EA}"/>
    <hyperlink ref="AS66" r:id="rId11" xr:uid="{CCD6D00C-D764-4528-BCD4-AC241DD3079B}"/>
    <hyperlink ref="AS65" r:id="rId12" xr:uid="{83281AAE-5C0F-4841-831E-C2C691B25296}"/>
    <hyperlink ref="AS67" r:id="rId13" xr:uid="{A2CD6675-E078-42D0-8DC4-12D06FEBBD7D}"/>
    <hyperlink ref="AS58" r:id="rId14" xr:uid="{BAB8E35A-47D5-4BB6-ACA0-168925648D8A}"/>
    <hyperlink ref="AS37" r:id="rId15" xr:uid="{5E44557C-1360-44BC-81EB-686930C6243A}"/>
    <hyperlink ref="AS32" r:id="rId16" display="lisa.schuermann@hmm21.com" xr:uid="{277036AF-01D2-468F-BC79-2B9567A97E23}"/>
    <hyperlink ref="AS33" r:id="rId17" display="moritz.steffens@hmm21.com" xr:uid="{F7875BE8-5304-4444-AFA2-3E314AC26326}"/>
    <hyperlink ref="AS34" r:id="rId18" display="soyeon.seo@hmm21.com" xr:uid="{F01D4D73-B6E3-4F85-94E8-49493FFC67A4}"/>
    <hyperlink ref="AS36" r:id="rId19" xr:uid="{3B6E918D-F0B9-4822-AE4E-09F9AECECC62}"/>
    <hyperlink ref="AS42" r:id="rId20" display="justine.ausmane@hmm21.com" xr:uid="{B8EDFE15-7FE9-46A2-9B75-FC037F232886}"/>
    <hyperlink ref="AS43" r:id="rId21" xr:uid="{8F10949E-B67F-46F1-8ED5-BC020E9AE301}"/>
    <hyperlink ref="AS44" r:id="rId22" xr:uid="{24A3138F-A67A-440F-9B9C-E1D062069D41}"/>
    <hyperlink ref="AS45" r:id="rId23" xr:uid="{066AC84E-E709-4BE1-932E-D460CFE8BC55}"/>
    <hyperlink ref="AS46" r:id="rId24" xr:uid="{99A24DD2-9DC6-40A7-B525-4F146AFE1D4F}"/>
    <hyperlink ref="AS47" r:id="rId25" xr:uid="{9D7E1725-64C4-4FD6-ACC2-FDDFF7F866F3}"/>
    <hyperlink ref="AS48" r:id="rId26" xr:uid="{39ED2C6D-3887-4312-BD07-5B82FCAAB3D3}"/>
    <hyperlink ref="AS49" r:id="rId27" xr:uid="{8B2066CB-DBE3-4244-BD27-E897DF3E52C4}"/>
    <hyperlink ref="AS50" r:id="rId28" xr:uid="{24F93D20-B2EE-42DE-97B4-8418F77999A9}"/>
    <hyperlink ref="AS51" r:id="rId29" xr:uid="{921ED811-2854-49B2-8F90-3A33E6AEF037}"/>
    <hyperlink ref="AS71" r:id="rId30" xr:uid="{E0EF3104-6C3F-4F7A-87BF-48AA0897A3C9}"/>
    <hyperlink ref="AS60" r:id="rId31" xr:uid="{C5A272AD-A6FC-45EB-8FB0-4F55938D020A}"/>
    <hyperlink ref="AS52" r:id="rId32" xr:uid="{40B6B81E-15AE-467D-93B9-C17E4299B85F}"/>
  </hyperlinks>
  <pageMargins left="0.23622047244094491" right="0.23622047244094491" top="0.74803149606299213" bottom="0.74803149606299213" header="0.31496062992125984" footer="0.31496062992125984"/>
  <pageSetup paperSize="9" scale="56" orientation="portrait" r:id="rId33"/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CBAB-5C71-4E22-ADAF-D4F5DA002EC7}">
  <sheetPr codeName="Sheet3">
    <tabColor theme="3" tint="0.39997558519241921"/>
    <pageSetUpPr fitToPage="1"/>
  </sheetPr>
  <dimension ref="B1:AQ74"/>
  <sheetViews>
    <sheetView showGridLines="0" topLeftCell="A6" zoomScaleNormal="100" workbookViewId="0">
      <selection activeCell="AZ60" sqref="AZ60"/>
    </sheetView>
  </sheetViews>
  <sheetFormatPr defaultColWidth="3" defaultRowHeight="15"/>
  <cols>
    <col min="1" max="19" width="3" style="66"/>
    <col min="20" max="20" width="2.85546875" style="66" customWidth="1"/>
    <col min="21" max="21" width="3" style="66" customWidth="1"/>
    <col min="22" max="42" width="3" style="66"/>
    <col min="43" max="43" width="4.85546875" style="66" customWidth="1"/>
    <col min="44" max="16384" width="3" style="66"/>
  </cols>
  <sheetData>
    <row r="1" spans="2:43" ht="15.75" thickBot="1"/>
    <row r="2" spans="2:43"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</row>
    <row r="3" spans="2:43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2"/>
    </row>
    <row r="4" spans="2:43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</row>
    <row r="5" spans="2:43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2"/>
    </row>
    <row r="6" spans="2:43"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2"/>
    </row>
    <row r="7" spans="2:43"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2"/>
    </row>
    <row r="8" spans="2:43"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2"/>
    </row>
    <row r="9" spans="2:43"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2"/>
    </row>
    <row r="10" spans="2:43"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2"/>
    </row>
    <row r="11" spans="2:43"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2"/>
    </row>
    <row r="12" spans="2:43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2"/>
    </row>
    <row r="13" spans="2:43"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2"/>
    </row>
    <row r="14" spans="2:43"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2"/>
    </row>
    <row r="15" spans="2:43">
      <c r="B15" s="70"/>
      <c r="C15" s="73" t="s">
        <v>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4"/>
      <c r="AM15" s="71"/>
      <c r="AN15" s="71"/>
      <c r="AO15" s="71"/>
      <c r="AP15" s="71"/>
      <c r="AQ15" s="72"/>
    </row>
    <row r="16" spans="2:43">
      <c r="B16" s="70"/>
      <c r="C16" s="73" t="s">
        <v>1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4"/>
      <c r="AL16" s="71"/>
      <c r="AM16" s="71"/>
      <c r="AN16" s="71"/>
      <c r="AO16" s="71"/>
      <c r="AP16" s="71"/>
      <c r="AQ16" s="72"/>
    </row>
    <row r="17" spans="2:43">
      <c r="B17" s="70"/>
      <c r="C17" s="73" t="s">
        <v>2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2"/>
    </row>
    <row r="18" spans="2:43">
      <c r="B18" s="70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2"/>
    </row>
    <row r="19" spans="2:43" s="78" customFormat="1" ht="12">
      <c r="B19" s="75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7"/>
    </row>
    <row r="20" spans="2:43" s="78" customFormat="1" ht="15.75">
      <c r="B20" s="75"/>
      <c r="C20" s="79"/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2"/>
      <c r="Y20" s="82"/>
      <c r="Z20" s="82"/>
      <c r="AA20" s="83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77"/>
    </row>
    <row r="21" spans="2:43" s="88" customFormat="1" ht="15.75"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7"/>
    </row>
    <row r="22" spans="2:43" s="78" customFormat="1" ht="15.75">
      <c r="B22" s="75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77"/>
    </row>
    <row r="23" spans="2:43" s="78" customFormat="1" ht="12" customHeight="1">
      <c r="B23" s="75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77"/>
    </row>
    <row r="24" spans="2:43" s="78" customFormat="1" ht="12.75" customHeight="1">
      <c r="B24" s="75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77"/>
    </row>
    <row r="25" spans="2:43" s="78" customFormat="1" ht="15.75" customHeight="1">
      <c r="B25" s="75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77"/>
    </row>
    <row r="26" spans="2:43" s="78" customFormat="1" ht="15.75" customHeight="1">
      <c r="B26" s="75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77"/>
    </row>
    <row r="27" spans="2:43" s="78" customFormat="1" ht="12.75">
      <c r="B27" s="75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77"/>
    </row>
    <row r="28" spans="2:43" s="78" customFormat="1" ht="12.75">
      <c r="B28" s="75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77"/>
    </row>
    <row r="29" spans="2:43" s="78" customFormat="1" ht="12.75">
      <c r="B29" s="75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77"/>
    </row>
    <row r="30" spans="2:43" s="78" customFormat="1" ht="12.75">
      <c r="B30" s="75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77"/>
    </row>
    <row r="31" spans="2:43" s="78" customFormat="1" ht="12.75">
      <c r="B31" s="75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77"/>
    </row>
    <row r="32" spans="2:43" s="78" customFormat="1" ht="12.75">
      <c r="B32" s="75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77"/>
    </row>
    <row r="33" spans="2:43" s="78" customFormat="1" ht="12.75">
      <c r="B33" s="75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77"/>
    </row>
    <row r="34" spans="2:43" s="78" customFormat="1" ht="12.75">
      <c r="B34" s="75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77"/>
    </row>
    <row r="35" spans="2:43" s="78" customFormat="1" ht="12">
      <c r="B35" s="7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77"/>
    </row>
    <row r="36" spans="2:43" s="78" customFormat="1" ht="12">
      <c r="B36" s="75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77"/>
    </row>
    <row r="37" spans="2:43" s="78" customFormat="1" ht="12">
      <c r="B37" s="75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77"/>
    </row>
    <row r="38" spans="2:43" s="78" customFormat="1" ht="12">
      <c r="B38" s="7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77"/>
    </row>
    <row r="39" spans="2:43" s="78" customFormat="1" ht="12">
      <c r="B39" s="7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77"/>
    </row>
    <row r="40" spans="2:43" s="78" customFormat="1" ht="12">
      <c r="B40" s="75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77"/>
    </row>
    <row r="41" spans="2:43" s="78" customFormat="1" ht="12">
      <c r="B41" s="7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8"/>
      <c r="AH41" s="99"/>
      <c r="AI41" s="99"/>
      <c r="AJ41" s="99"/>
      <c r="AK41" s="99"/>
      <c r="AL41" s="99"/>
      <c r="AM41" s="99"/>
      <c r="AN41" s="99"/>
      <c r="AO41" s="99"/>
      <c r="AP41" s="99"/>
      <c r="AQ41" s="77"/>
    </row>
    <row r="42" spans="2:43" s="78" customFormat="1" ht="12">
      <c r="B42" s="75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8"/>
      <c r="AH42" s="99"/>
      <c r="AI42" s="99"/>
      <c r="AJ42" s="99"/>
      <c r="AK42" s="99"/>
      <c r="AL42" s="99"/>
      <c r="AM42" s="99"/>
      <c r="AN42" s="99"/>
      <c r="AO42" s="99"/>
      <c r="AP42" s="99"/>
      <c r="AQ42" s="77"/>
    </row>
    <row r="43" spans="2:43" s="78" customFormat="1" ht="12" customHeight="1">
      <c r="B43" s="75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98"/>
      <c r="AH43" s="99"/>
      <c r="AI43" s="99"/>
      <c r="AJ43" s="99"/>
      <c r="AK43" s="99"/>
      <c r="AL43" s="99"/>
      <c r="AM43" s="99"/>
      <c r="AN43" s="99"/>
      <c r="AO43" s="99"/>
      <c r="AP43" s="99"/>
      <c r="AQ43" s="101"/>
    </row>
    <row r="44" spans="2:43" s="78" customFormat="1" ht="12" customHeight="1">
      <c r="B44" s="75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98"/>
      <c r="AH44" s="99"/>
      <c r="AI44" s="99"/>
      <c r="AJ44" s="99"/>
      <c r="AK44" s="99"/>
      <c r="AL44" s="99"/>
      <c r="AM44" s="99"/>
      <c r="AN44" s="99"/>
      <c r="AO44" s="99"/>
      <c r="AP44" s="99"/>
      <c r="AQ44" s="102"/>
    </row>
    <row r="45" spans="2:43" s="78" customFormat="1" ht="12" customHeight="1">
      <c r="B45" s="75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3"/>
      <c r="AH45" s="104"/>
      <c r="AI45" s="104"/>
      <c r="AJ45" s="104"/>
      <c r="AK45" s="104"/>
      <c r="AL45" s="104"/>
      <c r="AM45" s="104"/>
      <c r="AN45" s="104"/>
      <c r="AO45" s="104"/>
      <c r="AP45" s="104"/>
      <c r="AQ45" s="102"/>
    </row>
    <row r="46" spans="2:43" s="78" customFormat="1" ht="12" customHeight="1">
      <c r="B46" s="75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8"/>
      <c r="AH46" s="99"/>
      <c r="AI46" s="99"/>
      <c r="AJ46" s="99"/>
      <c r="AK46" s="99"/>
      <c r="AL46" s="99"/>
      <c r="AM46" s="99"/>
      <c r="AN46" s="99"/>
      <c r="AO46" s="99"/>
      <c r="AP46" s="99"/>
      <c r="AQ46" s="77"/>
    </row>
    <row r="47" spans="2:43" s="78" customFormat="1" ht="12" customHeight="1">
      <c r="B47" s="75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8"/>
      <c r="AH47" s="99"/>
      <c r="AI47" s="99"/>
      <c r="AJ47" s="99"/>
      <c r="AK47" s="99"/>
      <c r="AL47" s="99"/>
      <c r="AM47" s="99"/>
      <c r="AN47" s="99"/>
      <c r="AO47" s="99"/>
      <c r="AP47" s="99"/>
      <c r="AQ47" s="77"/>
    </row>
    <row r="48" spans="2:43" s="78" customFormat="1" ht="12" customHeight="1">
      <c r="B48" s="75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8"/>
      <c r="AH48" s="99"/>
      <c r="AI48" s="99"/>
      <c r="AJ48" s="99"/>
      <c r="AK48" s="99"/>
      <c r="AL48" s="99"/>
      <c r="AM48" s="99"/>
      <c r="AN48" s="99"/>
      <c r="AO48" s="99"/>
      <c r="AP48" s="99"/>
      <c r="AQ48" s="77"/>
    </row>
    <row r="49" spans="2:43" s="78" customFormat="1" ht="12" customHeight="1">
      <c r="B49" s="75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77"/>
    </row>
    <row r="50" spans="2:43" s="78" customFormat="1" ht="12" customHeight="1">
      <c r="B50" s="75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77"/>
    </row>
    <row r="51" spans="2:43" s="78" customFormat="1" ht="12" customHeight="1">
      <c r="B51" s="75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77"/>
    </row>
    <row r="52" spans="2:43" s="78" customFormat="1" ht="12" customHeight="1">
      <c r="B52" s="75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8"/>
      <c r="AH52" s="99"/>
      <c r="AI52" s="99"/>
      <c r="AJ52" s="99"/>
      <c r="AK52" s="99"/>
      <c r="AL52" s="99"/>
      <c r="AM52" s="99"/>
      <c r="AN52" s="99"/>
      <c r="AO52" s="99"/>
      <c r="AP52" s="99"/>
      <c r="AQ52" s="77"/>
    </row>
    <row r="53" spans="2:43" s="78" customFormat="1" ht="12">
      <c r="B53" s="75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77"/>
    </row>
    <row r="54" spans="2:43" s="78" customFormat="1" ht="12">
      <c r="B54" s="7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77"/>
    </row>
    <row r="55" spans="2:43" s="78" customFormat="1" ht="12">
      <c r="B55" s="7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77"/>
    </row>
    <row r="56" spans="2:43" s="78" customFormat="1" ht="12">
      <c r="B56" s="75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05"/>
      <c r="AH56" s="106"/>
      <c r="AI56" s="106"/>
      <c r="AJ56" s="106"/>
      <c r="AK56" s="106"/>
      <c r="AL56" s="106"/>
      <c r="AM56" s="106"/>
      <c r="AN56" s="106"/>
      <c r="AO56" s="106"/>
      <c r="AP56" s="106"/>
      <c r="AQ56" s="77"/>
    </row>
    <row r="57" spans="2:43" s="78" customFormat="1" ht="12">
      <c r="B57" s="75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8"/>
      <c r="AH57" s="99"/>
      <c r="AI57" s="99"/>
      <c r="AJ57" s="99"/>
      <c r="AK57" s="99"/>
      <c r="AL57" s="99"/>
      <c r="AM57" s="99"/>
      <c r="AN57" s="99"/>
      <c r="AO57" s="99"/>
      <c r="AP57" s="99"/>
      <c r="AQ57" s="77"/>
    </row>
    <row r="58" spans="2:43" s="78" customFormat="1" ht="12">
      <c r="B58" s="75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8"/>
      <c r="AH58" s="99"/>
      <c r="AI58" s="99"/>
      <c r="AJ58" s="99"/>
      <c r="AK58" s="99"/>
      <c r="AL58" s="99"/>
      <c r="AM58" s="99"/>
      <c r="AN58" s="99"/>
      <c r="AO58" s="99"/>
      <c r="AP58" s="99"/>
      <c r="AQ58" s="77"/>
    </row>
    <row r="59" spans="2:43" s="78" customFormat="1" ht="12">
      <c r="B59" s="75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3"/>
      <c r="AH59" s="104"/>
      <c r="AI59" s="104"/>
      <c r="AJ59" s="104"/>
      <c r="AK59" s="104"/>
      <c r="AL59" s="104"/>
      <c r="AM59" s="104"/>
      <c r="AN59" s="104"/>
      <c r="AO59" s="104"/>
      <c r="AP59" s="104"/>
      <c r="AQ59" s="77"/>
    </row>
    <row r="60" spans="2:43" s="78" customFormat="1" ht="12">
      <c r="B60" s="75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03"/>
      <c r="AH60" s="107"/>
      <c r="AI60" s="107"/>
      <c r="AJ60" s="107"/>
      <c r="AK60" s="107"/>
      <c r="AL60" s="107"/>
      <c r="AM60" s="107"/>
      <c r="AN60" s="107"/>
      <c r="AO60" s="107"/>
      <c r="AP60" s="107"/>
      <c r="AQ60" s="77"/>
    </row>
    <row r="61" spans="2:43" s="78" customFormat="1" ht="12">
      <c r="B61" s="75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77"/>
    </row>
    <row r="62" spans="2:43" s="78" customFormat="1" ht="12">
      <c r="B62" s="7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77"/>
    </row>
    <row r="63" spans="2:43" s="78" customFormat="1" ht="12">
      <c r="B63" s="75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77"/>
    </row>
    <row r="64" spans="2:43" s="78" customFormat="1" ht="12">
      <c r="B64" s="75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8"/>
      <c r="AH64" s="99"/>
      <c r="AI64" s="99"/>
      <c r="AJ64" s="99"/>
      <c r="AK64" s="99"/>
      <c r="AL64" s="99"/>
      <c r="AM64" s="99"/>
      <c r="AN64" s="99"/>
      <c r="AO64" s="99"/>
      <c r="AP64" s="99"/>
      <c r="AQ64" s="77"/>
    </row>
    <row r="65" spans="2:43" s="78" customFormat="1" ht="12">
      <c r="B65" s="75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8"/>
      <c r="AH65" s="99"/>
      <c r="AI65" s="99"/>
      <c r="AJ65" s="99"/>
      <c r="AK65" s="99"/>
      <c r="AL65" s="99"/>
      <c r="AM65" s="99"/>
      <c r="AN65" s="99"/>
      <c r="AO65" s="99"/>
      <c r="AP65" s="99"/>
      <c r="AQ65" s="77"/>
    </row>
    <row r="66" spans="2:43" s="78" customFormat="1" ht="12">
      <c r="B66" s="75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8"/>
      <c r="AH66" s="99"/>
      <c r="AI66" s="99"/>
      <c r="AJ66" s="99"/>
      <c r="AK66" s="99"/>
      <c r="AL66" s="99"/>
      <c r="AM66" s="99"/>
      <c r="AN66" s="99"/>
      <c r="AO66" s="99"/>
      <c r="AP66" s="99"/>
      <c r="AQ66" s="77"/>
    </row>
    <row r="67" spans="2:43" s="78" customFormat="1" ht="12">
      <c r="B67" s="75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77"/>
    </row>
    <row r="68" spans="2:43" s="78" customFormat="1" ht="12">
      <c r="B68" s="7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77"/>
    </row>
    <row r="69" spans="2:43" s="78" customFormat="1" ht="12">
      <c r="B69" s="75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77"/>
    </row>
    <row r="70" spans="2:43" s="78" customFormat="1" ht="12">
      <c r="B70" s="75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10"/>
      <c r="AH70" s="111"/>
      <c r="AI70" s="111"/>
      <c r="AJ70" s="111"/>
      <c r="AK70" s="111"/>
      <c r="AL70" s="111"/>
      <c r="AM70" s="111"/>
      <c r="AN70" s="111"/>
      <c r="AO70" s="111"/>
      <c r="AP70" s="111"/>
      <c r="AQ70" s="77"/>
    </row>
    <row r="71" spans="2:43" s="78" customFormat="1" ht="12">
      <c r="B71" s="75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12"/>
      <c r="AH71" s="113"/>
      <c r="AI71" s="113"/>
      <c r="AJ71" s="113"/>
      <c r="AK71" s="113"/>
      <c r="AL71" s="113"/>
      <c r="AM71" s="113"/>
      <c r="AN71" s="113"/>
      <c r="AO71" s="113"/>
      <c r="AP71" s="113"/>
      <c r="AQ71" s="77"/>
    </row>
    <row r="72" spans="2:43" s="78" customFormat="1" ht="12">
      <c r="B72" s="75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15"/>
      <c r="AH72" s="113"/>
      <c r="AI72" s="113"/>
      <c r="AJ72" s="113"/>
      <c r="AK72" s="113"/>
      <c r="AL72" s="113"/>
      <c r="AM72" s="113"/>
      <c r="AN72" s="113"/>
      <c r="AO72" s="113"/>
      <c r="AP72" s="113"/>
      <c r="AQ72" s="77"/>
    </row>
    <row r="73" spans="2:43" s="78" customFormat="1" ht="12">
      <c r="B73" s="75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15"/>
      <c r="AH73" s="113"/>
      <c r="AI73" s="113"/>
      <c r="AJ73" s="113"/>
      <c r="AK73" s="113"/>
      <c r="AL73" s="113"/>
      <c r="AM73" s="113"/>
      <c r="AN73" s="113"/>
      <c r="AO73" s="113"/>
      <c r="AP73" s="113"/>
      <c r="AQ73" s="77"/>
    </row>
    <row r="74" spans="2:43" s="78" customFormat="1" ht="12.75" thickBot="1">
      <c r="B74" s="116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8"/>
    </row>
  </sheetData>
  <mergeCells count="141">
    <mergeCell ref="M72:V72"/>
    <mergeCell ref="W72:AF72"/>
    <mergeCell ref="M73:V73"/>
    <mergeCell ref="W73:AF73"/>
    <mergeCell ref="C70:L70"/>
    <mergeCell ref="M70:V70"/>
    <mergeCell ref="W70:AF70"/>
    <mergeCell ref="AG70:AP70"/>
    <mergeCell ref="C71:L71"/>
    <mergeCell ref="M71:V71"/>
    <mergeCell ref="W71:AF71"/>
    <mergeCell ref="C66:L66"/>
    <mergeCell ref="M66:V66"/>
    <mergeCell ref="W66:AF66"/>
    <mergeCell ref="AG66:AP66"/>
    <mergeCell ref="C68:AP68"/>
    <mergeCell ref="C69:L69"/>
    <mergeCell ref="M69:V69"/>
    <mergeCell ref="W69:AF69"/>
    <mergeCell ref="AG69:AP69"/>
    <mergeCell ref="C64:L64"/>
    <mergeCell ref="M64:V64"/>
    <mergeCell ref="W64:AF64"/>
    <mergeCell ref="AG64:AP64"/>
    <mergeCell ref="C65:L65"/>
    <mergeCell ref="M65:V65"/>
    <mergeCell ref="W65:AF65"/>
    <mergeCell ref="AG65:AP65"/>
    <mergeCell ref="M60:V60"/>
    <mergeCell ref="W60:AF60"/>
    <mergeCell ref="C62:AP62"/>
    <mergeCell ref="C63:L63"/>
    <mergeCell ref="M63:V63"/>
    <mergeCell ref="W63:AF63"/>
    <mergeCell ref="AG63:AP63"/>
    <mergeCell ref="C57:L57"/>
    <mergeCell ref="M57:V57"/>
    <mergeCell ref="W57:AF57"/>
    <mergeCell ref="AG57:AP57"/>
    <mergeCell ref="C58:L58"/>
    <mergeCell ref="M58:V58"/>
    <mergeCell ref="W58:AF58"/>
    <mergeCell ref="AG58:AP58"/>
    <mergeCell ref="C54:AP54"/>
    <mergeCell ref="C55:L55"/>
    <mergeCell ref="M55:V55"/>
    <mergeCell ref="W55:AF55"/>
    <mergeCell ref="AG55:AP55"/>
    <mergeCell ref="C56:L56"/>
    <mergeCell ref="M56:V56"/>
    <mergeCell ref="W56:AF56"/>
    <mergeCell ref="AG56:AP56"/>
    <mergeCell ref="C51:L51"/>
    <mergeCell ref="M51:V51"/>
    <mergeCell ref="W51:AF51"/>
    <mergeCell ref="AG51:AP51"/>
    <mergeCell ref="C52:L52"/>
    <mergeCell ref="M52:V52"/>
    <mergeCell ref="W52:AF52"/>
    <mergeCell ref="AG52:AP52"/>
    <mergeCell ref="C49:L49"/>
    <mergeCell ref="M49:V49"/>
    <mergeCell ref="W49:AF49"/>
    <mergeCell ref="AG49:AP49"/>
    <mergeCell ref="C50:L50"/>
    <mergeCell ref="M50:V50"/>
    <mergeCell ref="W50:AF50"/>
    <mergeCell ref="AG50:AP50"/>
    <mergeCell ref="C47:L47"/>
    <mergeCell ref="M47:V47"/>
    <mergeCell ref="W47:AF47"/>
    <mergeCell ref="AG47:AP47"/>
    <mergeCell ref="C48:L48"/>
    <mergeCell ref="M48:V48"/>
    <mergeCell ref="W48:AF48"/>
    <mergeCell ref="AG48:AP48"/>
    <mergeCell ref="M44:V44"/>
    <mergeCell ref="AG44:AP44"/>
    <mergeCell ref="C46:L46"/>
    <mergeCell ref="M46:V46"/>
    <mergeCell ref="W46:AF46"/>
    <mergeCell ref="AG46:AP46"/>
    <mergeCell ref="C42:L42"/>
    <mergeCell ref="M42:V42"/>
    <mergeCell ref="W42:AF42"/>
    <mergeCell ref="AG42:AP42"/>
    <mergeCell ref="M43:V43"/>
    <mergeCell ref="AG43:AP43"/>
    <mergeCell ref="C39:AP39"/>
    <mergeCell ref="C40:L40"/>
    <mergeCell ref="M40:V40"/>
    <mergeCell ref="W40:AF40"/>
    <mergeCell ref="AG40:AP40"/>
    <mergeCell ref="C41:L41"/>
    <mergeCell ref="M41:V41"/>
    <mergeCell ref="W41:AF41"/>
    <mergeCell ref="AG41:AP41"/>
    <mergeCell ref="C34:M34"/>
    <mergeCell ref="N34:Y34"/>
    <mergeCell ref="Z34:AG34"/>
    <mergeCell ref="AH34:AP34"/>
    <mergeCell ref="C36:AP36"/>
    <mergeCell ref="C37:AP37"/>
    <mergeCell ref="C32:M32"/>
    <mergeCell ref="N32:Y32"/>
    <mergeCell ref="Z32:AG32"/>
    <mergeCell ref="AH32:AP32"/>
    <mergeCell ref="C33:M33"/>
    <mergeCell ref="N33:Y33"/>
    <mergeCell ref="Z33:AG33"/>
    <mergeCell ref="AH33:AP33"/>
    <mergeCell ref="C30:M30"/>
    <mergeCell ref="N30:Y30"/>
    <mergeCell ref="Z30:AG30"/>
    <mergeCell ref="AH30:AP30"/>
    <mergeCell ref="C31:M31"/>
    <mergeCell ref="N31:Y31"/>
    <mergeCell ref="Z31:AG31"/>
    <mergeCell ref="AH31:AP31"/>
    <mergeCell ref="C28:M28"/>
    <mergeCell ref="N28:Y28"/>
    <mergeCell ref="Z28:AG28"/>
    <mergeCell ref="AH28:AP28"/>
    <mergeCell ref="C29:M29"/>
    <mergeCell ref="N29:Y29"/>
    <mergeCell ref="Z29:AG29"/>
    <mergeCell ref="AH29:AP29"/>
    <mergeCell ref="C26:M26"/>
    <mergeCell ref="N26:Y26"/>
    <mergeCell ref="Z26:AG26"/>
    <mergeCell ref="AH26:AP26"/>
    <mergeCell ref="C27:M27"/>
    <mergeCell ref="N27:Y27"/>
    <mergeCell ref="Z27:AG27"/>
    <mergeCell ref="AH27:AP27"/>
    <mergeCell ref="C22:AE22"/>
    <mergeCell ref="C23:AP24"/>
    <mergeCell ref="C25:M25"/>
    <mergeCell ref="N25:Y25"/>
    <mergeCell ref="Z25:AG25"/>
    <mergeCell ref="AH25:AP25"/>
  </mergeCells>
  <pageMargins left="3.937007874015748E-2" right="3.937007874015748E-2" top="0.39370078740157483" bottom="0.19685039370078741" header="0.11811023622047245" footer="0.11811023622047245"/>
  <pageSetup paperSize="9"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5A23-E3CD-4D04-A1C5-415AC187987F}">
  <sheetPr codeName="Sheet4">
    <tabColor theme="3" tint="0.39997558519241921"/>
    <pageSetUpPr fitToPage="1"/>
  </sheetPr>
  <dimension ref="B1:AQ74"/>
  <sheetViews>
    <sheetView showGridLines="0" zoomScaleNormal="100" workbookViewId="0">
      <selection activeCell="BO38" sqref="BO38"/>
    </sheetView>
  </sheetViews>
  <sheetFormatPr defaultColWidth="3" defaultRowHeight="15"/>
  <cols>
    <col min="1" max="19" width="3" style="66"/>
    <col min="20" max="20" width="2.85546875" style="66" customWidth="1"/>
    <col min="21" max="21" width="3" style="66" customWidth="1"/>
    <col min="22" max="42" width="3" style="66"/>
    <col min="43" max="43" width="4.85546875" style="66" customWidth="1"/>
    <col min="44" max="16384" width="3" style="66"/>
  </cols>
  <sheetData>
    <row r="1" spans="2:43" ht="15.75" thickBot="1"/>
    <row r="2" spans="2:43"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</row>
    <row r="3" spans="2:43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2"/>
    </row>
    <row r="4" spans="2:43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</row>
    <row r="5" spans="2:43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2"/>
    </row>
    <row r="6" spans="2:43"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2"/>
    </row>
    <row r="7" spans="2:43"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2"/>
    </row>
    <row r="8" spans="2:43"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2"/>
    </row>
    <row r="9" spans="2:43"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2"/>
    </row>
    <row r="10" spans="2:43"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2"/>
    </row>
    <row r="11" spans="2:43"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2"/>
    </row>
    <row r="12" spans="2:43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2"/>
    </row>
    <row r="13" spans="2:43"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2"/>
    </row>
    <row r="14" spans="2:43"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2"/>
    </row>
    <row r="15" spans="2:43">
      <c r="B15" s="70"/>
      <c r="C15" s="73" t="s">
        <v>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4"/>
      <c r="AM15" s="71"/>
      <c r="AN15" s="71"/>
      <c r="AO15" s="71"/>
      <c r="AP15" s="71"/>
      <c r="AQ15" s="72"/>
    </row>
    <row r="16" spans="2:43">
      <c r="B16" s="70"/>
      <c r="C16" s="73" t="s">
        <v>1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4" t="s">
        <v>134</v>
      </c>
      <c r="AL16" s="71"/>
      <c r="AM16" s="71"/>
      <c r="AN16" s="71"/>
      <c r="AO16" s="71"/>
      <c r="AP16" s="71"/>
      <c r="AQ16" s="72"/>
    </row>
    <row r="17" spans="2:43">
      <c r="B17" s="70"/>
      <c r="C17" s="73" t="s">
        <v>2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2"/>
    </row>
    <row r="18" spans="2:43">
      <c r="B18" s="70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2"/>
    </row>
    <row r="19" spans="2:43" s="78" customFormat="1" ht="12">
      <c r="B19" s="75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7"/>
    </row>
    <row r="20" spans="2:43" s="78" customFormat="1" ht="15.75">
      <c r="B20" s="75"/>
      <c r="C20" s="79"/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2"/>
      <c r="Y20" s="82"/>
      <c r="Z20" s="82"/>
      <c r="AA20" s="83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77"/>
    </row>
    <row r="21" spans="2:43" s="88" customFormat="1" ht="15.75"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7"/>
    </row>
    <row r="22" spans="2:43" s="78" customFormat="1" ht="15.75">
      <c r="B22" s="75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77"/>
    </row>
    <row r="23" spans="2:43" s="78" customFormat="1" ht="12" customHeight="1">
      <c r="B23" s="75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77"/>
    </row>
    <row r="24" spans="2:43" s="78" customFormat="1" ht="12.75" customHeight="1">
      <c r="B24" s="75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77"/>
    </row>
    <row r="25" spans="2:43" s="78" customFormat="1" ht="15.75" customHeight="1">
      <c r="B25" s="75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77"/>
    </row>
    <row r="26" spans="2:43" s="78" customFormat="1" ht="15.75" customHeight="1">
      <c r="B26" s="75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77"/>
    </row>
    <row r="27" spans="2:43" s="78" customFormat="1" ht="12.75">
      <c r="B27" s="75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77"/>
    </row>
    <row r="28" spans="2:43" s="78" customFormat="1" ht="12.75">
      <c r="B28" s="75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77"/>
    </row>
    <row r="29" spans="2:43" s="78" customFormat="1" ht="12.75">
      <c r="B29" s="75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77"/>
    </row>
    <row r="30" spans="2:43" s="78" customFormat="1" ht="12.75">
      <c r="B30" s="75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77"/>
    </row>
    <row r="31" spans="2:43" s="78" customFormat="1" ht="12.75">
      <c r="B31" s="75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77"/>
    </row>
    <row r="32" spans="2:43" s="78" customFormat="1" ht="12.75">
      <c r="B32" s="75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77"/>
    </row>
    <row r="33" spans="2:43" s="78" customFormat="1" ht="12.75">
      <c r="B33" s="75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77"/>
    </row>
    <row r="34" spans="2:43" s="78" customFormat="1" ht="12.75">
      <c r="B34" s="75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77"/>
    </row>
    <row r="35" spans="2:43" s="78" customFormat="1" ht="12">
      <c r="B35" s="7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77"/>
    </row>
    <row r="36" spans="2:43" s="78" customFormat="1" ht="12">
      <c r="B36" s="75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77"/>
    </row>
    <row r="37" spans="2:43" s="78" customFormat="1" ht="12">
      <c r="B37" s="75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77"/>
    </row>
    <row r="38" spans="2:43" s="78" customFormat="1" ht="12">
      <c r="B38" s="7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77"/>
    </row>
    <row r="39" spans="2:43" s="78" customFormat="1" ht="12">
      <c r="B39" s="7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77"/>
    </row>
    <row r="40" spans="2:43" s="78" customFormat="1" ht="12">
      <c r="B40" s="75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77"/>
    </row>
    <row r="41" spans="2:43" s="78" customFormat="1" ht="12">
      <c r="B41" s="7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8"/>
      <c r="AH41" s="99"/>
      <c r="AI41" s="99"/>
      <c r="AJ41" s="99"/>
      <c r="AK41" s="99"/>
      <c r="AL41" s="99"/>
      <c r="AM41" s="99"/>
      <c r="AN41" s="99"/>
      <c r="AO41" s="99"/>
      <c r="AP41" s="99"/>
      <c r="AQ41" s="77"/>
    </row>
    <row r="42" spans="2:43" s="78" customFormat="1" ht="12">
      <c r="B42" s="75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8"/>
      <c r="AH42" s="99"/>
      <c r="AI42" s="99"/>
      <c r="AJ42" s="99"/>
      <c r="AK42" s="99"/>
      <c r="AL42" s="99"/>
      <c r="AM42" s="99"/>
      <c r="AN42" s="99"/>
      <c r="AO42" s="99"/>
      <c r="AP42" s="99"/>
      <c r="AQ42" s="77"/>
    </row>
    <row r="43" spans="2:43" s="78" customFormat="1" ht="12" customHeight="1">
      <c r="B43" s="75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98"/>
      <c r="AH43" s="99"/>
      <c r="AI43" s="99"/>
      <c r="AJ43" s="99"/>
      <c r="AK43" s="99"/>
      <c r="AL43" s="99"/>
      <c r="AM43" s="99"/>
      <c r="AN43" s="99"/>
      <c r="AO43" s="99"/>
      <c r="AP43" s="99"/>
      <c r="AQ43" s="101"/>
    </row>
    <row r="44" spans="2:43" s="78" customFormat="1" ht="12" customHeight="1">
      <c r="B44" s="75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98"/>
      <c r="AH44" s="99"/>
      <c r="AI44" s="99"/>
      <c r="AJ44" s="99"/>
      <c r="AK44" s="99"/>
      <c r="AL44" s="99"/>
      <c r="AM44" s="99"/>
      <c r="AN44" s="99"/>
      <c r="AO44" s="99"/>
      <c r="AP44" s="99"/>
      <c r="AQ44" s="102"/>
    </row>
    <row r="45" spans="2:43" s="78" customFormat="1" ht="12" customHeight="1">
      <c r="B45" s="75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3"/>
      <c r="AH45" s="104"/>
      <c r="AI45" s="104"/>
      <c r="AJ45" s="104"/>
      <c r="AK45" s="104"/>
      <c r="AL45" s="104"/>
      <c r="AM45" s="104"/>
      <c r="AN45" s="104"/>
      <c r="AO45" s="104"/>
      <c r="AP45" s="104"/>
      <c r="AQ45" s="102"/>
    </row>
    <row r="46" spans="2:43" s="78" customFormat="1" ht="12" customHeight="1">
      <c r="B46" s="75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8"/>
      <c r="AH46" s="99"/>
      <c r="AI46" s="99"/>
      <c r="AJ46" s="99"/>
      <c r="AK46" s="99"/>
      <c r="AL46" s="99"/>
      <c r="AM46" s="99"/>
      <c r="AN46" s="99"/>
      <c r="AO46" s="99"/>
      <c r="AP46" s="99"/>
      <c r="AQ46" s="77"/>
    </row>
    <row r="47" spans="2:43" s="78" customFormat="1" ht="12" customHeight="1">
      <c r="B47" s="75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8"/>
      <c r="AH47" s="99"/>
      <c r="AI47" s="99"/>
      <c r="AJ47" s="99"/>
      <c r="AK47" s="99"/>
      <c r="AL47" s="99"/>
      <c r="AM47" s="99"/>
      <c r="AN47" s="99"/>
      <c r="AO47" s="99"/>
      <c r="AP47" s="99"/>
      <c r="AQ47" s="77"/>
    </row>
    <row r="48" spans="2:43" s="78" customFormat="1" ht="12" customHeight="1">
      <c r="B48" s="75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8"/>
      <c r="AH48" s="99"/>
      <c r="AI48" s="99"/>
      <c r="AJ48" s="99"/>
      <c r="AK48" s="99"/>
      <c r="AL48" s="99"/>
      <c r="AM48" s="99"/>
      <c r="AN48" s="99"/>
      <c r="AO48" s="99"/>
      <c r="AP48" s="99"/>
      <c r="AQ48" s="77"/>
    </row>
    <row r="49" spans="2:43" s="78" customFormat="1" ht="12" customHeight="1">
      <c r="B49" s="75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77"/>
    </row>
    <row r="50" spans="2:43" s="78" customFormat="1" ht="12" customHeight="1">
      <c r="B50" s="75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77"/>
    </row>
    <row r="51" spans="2:43" s="78" customFormat="1" ht="12" customHeight="1">
      <c r="B51" s="75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77"/>
    </row>
    <row r="52" spans="2:43" s="78" customFormat="1" ht="12" customHeight="1">
      <c r="B52" s="75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8"/>
      <c r="AH52" s="99"/>
      <c r="AI52" s="99"/>
      <c r="AJ52" s="99"/>
      <c r="AK52" s="99"/>
      <c r="AL52" s="99"/>
      <c r="AM52" s="99"/>
      <c r="AN52" s="99"/>
      <c r="AO52" s="99"/>
      <c r="AP52" s="99"/>
      <c r="AQ52" s="77"/>
    </row>
    <row r="53" spans="2:43" s="78" customFormat="1" ht="12">
      <c r="B53" s="75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77"/>
    </row>
    <row r="54" spans="2:43" s="78" customFormat="1" ht="12">
      <c r="B54" s="7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77"/>
    </row>
    <row r="55" spans="2:43" s="78" customFormat="1" ht="12">
      <c r="B55" s="7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77"/>
    </row>
    <row r="56" spans="2:43" s="78" customFormat="1" ht="12">
      <c r="B56" s="75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05"/>
      <c r="AH56" s="106"/>
      <c r="AI56" s="106"/>
      <c r="AJ56" s="106"/>
      <c r="AK56" s="106"/>
      <c r="AL56" s="106"/>
      <c r="AM56" s="106"/>
      <c r="AN56" s="106"/>
      <c r="AO56" s="106"/>
      <c r="AP56" s="106"/>
      <c r="AQ56" s="77"/>
    </row>
    <row r="57" spans="2:43" s="78" customFormat="1" ht="12">
      <c r="B57" s="75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8"/>
      <c r="AH57" s="99"/>
      <c r="AI57" s="99"/>
      <c r="AJ57" s="99"/>
      <c r="AK57" s="99"/>
      <c r="AL57" s="99"/>
      <c r="AM57" s="99"/>
      <c r="AN57" s="99"/>
      <c r="AO57" s="99"/>
      <c r="AP57" s="99"/>
      <c r="AQ57" s="77"/>
    </row>
    <row r="58" spans="2:43" s="78" customFormat="1" ht="12">
      <c r="B58" s="75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8"/>
      <c r="AH58" s="99"/>
      <c r="AI58" s="99"/>
      <c r="AJ58" s="99"/>
      <c r="AK58" s="99"/>
      <c r="AL58" s="99"/>
      <c r="AM58" s="99"/>
      <c r="AN58" s="99"/>
      <c r="AO58" s="99"/>
      <c r="AP58" s="99"/>
      <c r="AQ58" s="77"/>
    </row>
    <row r="59" spans="2:43" s="78" customFormat="1" ht="12">
      <c r="B59" s="75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3"/>
      <c r="AH59" s="104"/>
      <c r="AI59" s="104"/>
      <c r="AJ59" s="104"/>
      <c r="AK59" s="104"/>
      <c r="AL59" s="104"/>
      <c r="AM59" s="104"/>
      <c r="AN59" s="104"/>
      <c r="AO59" s="104"/>
      <c r="AP59" s="104"/>
      <c r="AQ59" s="77"/>
    </row>
    <row r="60" spans="2:43" s="78" customFormat="1" ht="12">
      <c r="B60" s="75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03"/>
      <c r="AH60" s="107"/>
      <c r="AI60" s="107"/>
      <c r="AJ60" s="107"/>
      <c r="AK60" s="107"/>
      <c r="AL60" s="107"/>
      <c r="AM60" s="107"/>
      <c r="AN60" s="107"/>
      <c r="AO60" s="107"/>
      <c r="AP60" s="107"/>
      <c r="AQ60" s="77"/>
    </row>
    <row r="61" spans="2:43" s="78" customFormat="1" ht="12">
      <c r="B61" s="75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77"/>
    </row>
    <row r="62" spans="2:43" s="78" customFormat="1" ht="12">
      <c r="B62" s="7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77"/>
    </row>
    <row r="63" spans="2:43" s="78" customFormat="1" ht="12">
      <c r="B63" s="75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77"/>
    </row>
    <row r="64" spans="2:43" s="78" customFormat="1" ht="12">
      <c r="B64" s="75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8"/>
      <c r="AH64" s="99"/>
      <c r="AI64" s="99"/>
      <c r="AJ64" s="99"/>
      <c r="AK64" s="99"/>
      <c r="AL64" s="99"/>
      <c r="AM64" s="99"/>
      <c r="AN64" s="99"/>
      <c r="AO64" s="99"/>
      <c r="AP64" s="99"/>
      <c r="AQ64" s="77"/>
    </row>
    <row r="65" spans="2:43" s="78" customFormat="1" ht="12">
      <c r="B65" s="75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8"/>
      <c r="AH65" s="99"/>
      <c r="AI65" s="99"/>
      <c r="AJ65" s="99"/>
      <c r="AK65" s="99"/>
      <c r="AL65" s="99"/>
      <c r="AM65" s="99"/>
      <c r="AN65" s="99"/>
      <c r="AO65" s="99"/>
      <c r="AP65" s="99"/>
      <c r="AQ65" s="77"/>
    </row>
    <row r="66" spans="2:43" s="78" customFormat="1" ht="12">
      <c r="B66" s="75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8"/>
      <c r="AH66" s="99"/>
      <c r="AI66" s="99"/>
      <c r="AJ66" s="99"/>
      <c r="AK66" s="99"/>
      <c r="AL66" s="99"/>
      <c r="AM66" s="99"/>
      <c r="AN66" s="99"/>
      <c r="AO66" s="99"/>
      <c r="AP66" s="99"/>
      <c r="AQ66" s="77"/>
    </row>
    <row r="67" spans="2:43" s="78" customFormat="1" ht="12">
      <c r="B67" s="75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77"/>
    </row>
    <row r="68" spans="2:43" s="78" customFormat="1" ht="12">
      <c r="B68" s="7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77"/>
    </row>
    <row r="69" spans="2:43" s="78" customFormat="1" ht="12">
      <c r="B69" s="75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77"/>
    </row>
    <row r="70" spans="2:43" s="78" customFormat="1" ht="12">
      <c r="B70" s="75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10"/>
      <c r="AH70" s="111"/>
      <c r="AI70" s="111"/>
      <c r="AJ70" s="111"/>
      <c r="AK70" s="111"/>
      <c r="AL70" s="111"/>
      <c r="AM70" s="111"/>
      <c r="AN70" s="111"/>
      <c r="AO70" s="111"/>
      <c r="AP70" s="111"/>
      <c r="AQ70" s="77"/>
    </row>
    <row r="71" spans="2:43" s="78" customFormat="1" ht="12">
      <c r="B71" s="75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12"/>
      <c r="AH71" s="113"/>
      <c r="AI71" s="113"/>
      <c r="AJ71" s="113"/>
      <c r="AK71" s="113"/>
      <c r="AL71" s="113"/>
      <c r="AM71" s="113"/>
      <c r="AN71" s="113"/>
      <c r="AO71" s="113"/>
      <c r="AP71" s="113"/>
      <c r="AQ71" s="77"/>
    </row>
    <row r="72" spans="2:43" s="78" customFormat="1" ht="12">
      <c r="B72" s="75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15"/>
      <c r="AH72" s="113"/>
      <c r="AI72" s="113"/>
      <c r="AJ72" s="113"/>
      <c r="AK72" s="113"/>
      <c r="AL72" s="113"/>
      <c r="AM72" s="113"/>
      <c r="AN72" s="113"/>
      <c r="AO72" s="113"/>
      <c r="AP72" s="113"/>
      <c r="AQ72" s="77"/>
    </row>
    <row r="73" spans="2:43" s="78" customFormat="1" ht="12">
      <c r="B73" s="75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15"/>
      <c r="AH73" s="113"/>
      <c r="AI73" s="113"/>
      <c r="AJ73" s="113"/>
      <c r="AK73" s="113"/>
      <c r="AL73" s="113"/>
      <c r="AM73" s="113"/>
      <c r="AN73" s="113"/>
      <c r="AO73" s="113"/>
      <c r="AP73" s="113"/>
      <c r="AQ73" s="77"/>
    </row>
    <row r="74" spans="2:43" s="78" customFormat="1" ht="12.75" thickBot="1">
      <c r="B74" s="116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8"/>
    </row>
  </sheetData>
  <mergeCells count="141">
    <mergeCell ref="M72:V72"/>
    <mergeCell ref="W72:AF72"/>
    <mergeCell ref="M73:V73"/>
    <mergeCell ref="W73:AF73"/>
    <mergeCell ref="C70:L70"/>
    <mergeCell ref="M70:V70"/>
    <mergeCell ref="W70:AF70"/>
    <mergeCell ref="AG70:AP70"/>
    <mergeCell ref="C71:L71"/>
    <mergeCell ref="M71:V71"/>
    <mergeCell ref="W71:AF71"/>
    <mergeCell ref="C66:L66"/>
    <mergeCell ref="M66:V66"/>
    <mergeCell ref="W66:AF66"/>
    <mergeCell ref="AG66:AP66"/>
    <mergeCell ref="C68:AP68"/>
    <mergeCell ref="C69:L69"/>
    <mergeCell ref="M69:V69"/>
    <mergeCell ref="W69:AF69"/>
    <mergeCell ref="AG69:AP69"/>
    <mergeCell ref="C64:L64"/>
    <mergeCell ref="M64:V64"/>
    <mergeCell ref="W64:AF64"/>
    <mergeCell ref="AG64:AP64"/>
    <mergeCell ref="C65:L65"/>
    <mergeCell ref="M65:V65"/>
    <mergeCell ref="W65:AF65"/>
    <mergeCell ref="AG65:AP65"/>
    <mergeCell ref="M60:V60"/>
    <mergeCell ref="W60:AF60"/>
    <mergeCell ref="C62:AP62"/>
    <mergeCell ref="C63:L63"/>
    <mergeCell ref="M63:V63"/>
    <mergeCell ref="W63:AF63"/>
    <mergeCell ref="AG63:AP63"/>
    <mergeCell ref="C57:L57"/>
    <mergeCell ref="M57:V57"/>
    <mergeCell ref="W57:AF57"/>
    <mergeCell ref="AG57:AP57"/>
    <mergeCell ref="C58:L58"/>
    <mergeCell ref="M58:V58"/>
    <mergeCell ref="W58:AF58"/>
    <mergeCell ref="AG58:AP58"/>
    <mergeCell ref="C54:AP54"/>
    <mergeCell ref="C55:L55"/>
    <mergeCell ref="M55:V55"/>
    <mergeCell ref="W55:AF55"/>
    <mergeCell ref="AG55:AP55"/>
    <mergeCell ref="C56:L56"/>
    <mergeCell ref="M56:V56"/>
    <mergeCell ref="W56:AF56"/>
    <mergeCell ref="AG56:AP56"/>
    <mergeCell ref="C51:L51"/>
    <mergeCell ref="M51:V51"/>
    <mergeCell ref="W51:AF51"/>
    <mergeCell ref="AG51:AP51"/>
    <mergeCell ref="C52:L52"/>
    <mergeCell ref="M52:V52"/>
    <mergeCell ref="W52:AF52"/>
    <mergeCell ref="AG52:AP52"/>
    <mergeCell ref="C49:L49"/>
    <mergeCell ref="M49:V49"/>
    <mergeCell ref="W49:AF49"/>
    <mergeCell ref="AG49:AP49"/>
    <mergeCell ref="C50:L50"/>
    <mergeCell ref="M50:V50"/>
    <mergeCell ref="W50:AF50"/>
    <mergeCell ref="AG50:AP50"/>
    <mergeCell ref="C47:L47"/>
    <mergeCell ref="M47:V47"/>
    <mergeCell ref="W47:AF47"/>
    <mergeCell ref="AG47:AP47"/>
    <mergeCell ref="C48:L48"/>
    <mergeCell ref="M48:V48"/>
    <mergeCell ref="W48:AF48"/>
    <mergeCell ref="AG48:AP48"/>
    <mergeCell ref="M44:V44"/>
    <mergeCell ref="AG44:AP44"/>
    <mergeCell ref="C46:L46"/>
    <mergeCell ref="M46:V46"/>
    <mergeCell ref="W46:AF46"/>
    <mergeCell ref="AG46:AP46"/>
    <mergeCell ref="C42:L42"/>
    <mergeCell ref="M42:V42"/>
    <mergeCell ref="W42:AF42"/>
    <mergeCell ref="AG42:AP42"/>
    <mergeCell ref="M43:V43"/>
    <mergeCell ref="AG43:AP43"/>
    <mergeCell ref="C39:AP39"/>
    <mergeCell ref="C40:L40"/>
    <mergeCell ref="M40:V40"/>
    <mergeCell ref="W40:AF40"/>
    <mergeCell ref="AG40:AP40"/>
    <mergeCell ref="C41:L41"/>
    <mergeCell ref="M41:V41"/>
    <mergeCell ref="W41:AF41"/>
    <mergeCell ref="AG41:AP41"/>
    <mergeCell ref="C34:M34"/>
    <mergeCell ref="N34:Y34"/>
    <mergeCell ref="Z34:AG34"/>
    <mergeCell ref="AH34:AP34"/>
    <mergeCell ref="C36:AP36"/>
    <mergeCell ref="C37:AP37"/>
    <mergeCell ref="C32:M32"/>
    <mergeCell ref="N32:Y32"/>
    <mergeCell ref="Z32:AG32"/>
    <mergeCell ref="AH32:AP32"/>
    <mergeCell ref="C33:M33"/>
    <mergeCell ref="N33:Y33"/>
    <mergeCell ref="Z33:AG33"/>
    <mergeCell ref="AH33:AP33"/>
    <mergeCell ref="C30:M30"/>
    <mergeCell ref="N30:Y30"/>
    <mergeCell ref="Z30:AG30"/>
    <mergeCell ref="AH30:AP30"/>
    <mergeCell ref="C31:M31"/>
    <mergeCell ref="N31:Y31"/>
    <mergeCell ref="Z31:AG31"/>
    <mergeCell ref="AH31:AP31"/>
    <mergeCell ref="C28:M28"/>
    <mergeCell ref="N28:Y28"/>
    <mergeCell ref="Z28:AG28"/>
    <mergeCell ref="AH28:AP28"/>
    <mergeCell ref="C29:M29"/>
    <mergeCell ref="N29:Y29"/>
    <mergeCell ref="Z29:AG29"/>
    <mergeCell ref="AH29:AP29"/>
    <mergeCell ref="C26:M26"/>
    <mergeCell ref="N26:Y26"/>
    <mergeCell ref="Z26:AG26"/>
    <mergeCell ref="AH26:AP26"/>
    <mergeCell ref="C27:M27"/>
    <mergeCell ref="N27:Y27"/>
    <mergeCell ref="Z27:AG27"/>
    <mergeCell ref="AH27:AP27"/>
    <mergeCell ref="C22:AE22"/>
    <mergeCell ref="C23:AP24"/>
    <mergeCell ref="C25:M25"/>
    <mergeCell ref="N25:Y25"/>
    <mergeCell ref="Z25:AG25"/>
    <mergeCell ref="AH25:AP25"/>
  </mergeCells>
  <pageMargins left="3.937007874015748E-2" right="3.937007874015748E-2" top="0.39370078740157483" bottom="0.19685039370078741" header="0.11811023622047245" footer="0.11811023622047245"/>
  <pageSetup paperSize="9" scale="7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A5B5-0919-4AD7-B1FE-9EA14FFBB959}">
  <sheetPr codeName="Sheet5">
    <tabColor theme="3" tint="0.39997558519241921"/>
    <pageSetUpPr fitToPage="1"/>
  </sheetPr>
  <dimension ref="B1:AQ74"/>
  <sheetViews>
    <sheetView showGridLines="0" topLeftCell="A12" zoomScaleNormal="100" workbookViewId="0">
      <selection activeCell="BK30" sqref="BK30"/>
    </sheetView>
  </sheetViews>
  <sheetFormatPr defaultColWidth="3" defaultRowHeight="15"/>
  <cols>
    <col min="1" max="19" width="3" style="66"/>
    <col min="20" max="20" width="2.85546875" style="66" customWidth="1"/>
    <col min="21" max="21" width="3" style="66" customWidth="1"/>
    <col min="22" max="42" width="3" style="66"/>
    <col min="43" max="43" width="4.85546875" style="66" customWidth="1"/>
    <col min="44" max="16384" width="3" style="66"/>
  </cols>
  <sheetData>
    <row r="1" spans="2:43" ht="15.75" thickBot="1"/>
    <row r="2" spans="2:43"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</row>
    <row r="3" spans="2:43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2"/>
    </row>
    <row r="4" spans="2:43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</row>
    <row r="5" spans="2:43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2"/>
    </row>
    <row r="6" spans="2:43"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2"/>
    </row>
    <row r="7" spans="2:43"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2"/>
    </row>
    <row r="8" spans="2:43"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2"/>
    </row>
    <row r="9" spans="2:43"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2"/>
    </row>
    <row r="10" spans="2:43"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2"/>
    </row>
    <row r="11" spans="2:43"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2"/>
    </row>
    <row r="12" spans="2:43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2"/>
    </row>
    <row r="13" spans="2:43">
      <c r="B13" s="70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2"/>
    </row>
    <row r="14" spans="2:43"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2"/>
    </row>
    <row r="15" spans="2:43">
      <c r="B15" s="70"/>
      <c r="C15" s="73" t="s">
        <v>0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4"/>
      <c r="AM15" s="71"/>
      <c r="AN15" s="71"/>
      <c r="AO15" s="71"/>
      <c r="AP15" s="71"/>
      <c r="AQ15" s="72"/>
    </row>
    <row r="16" spans="2:43">
      <c r="B16" s="70"/>
      <c r="C16" s="73" t="s">
        <v>1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4" t="s">
        <v>135</v>
      </c>
      <c r="AL16" s="71"/>
      <c r="AM16" s="71"/>
      <c r="AN16" s="71"/>
      <c r="AO16" s="71"/>
      <c r="AP16" s="71"/>
      <c r="AQ16" s="72"/>
    </row>
    <row r="17" spans="2:43">
      <c r="B17" s="70"/>
      <c r="C17" s="73" t="s">
        <v>2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2"/>
    </row>
    <row r="18" spans="2:43">
      <c r="B18" s="70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2"/>
    </row>
    <row r="19" spans="2:43" s="78" customFormat="1" ht="12">
      <c r="B19" s="75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7"/>
    </row>
    <row r="20" spans="2:43" s="78" customFormat="1" ht="15.75">
      <c r="B20" s="75"/>
      <c r="C20" s="79"/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2"/>
      <c r="Y20" s="82"/>
      <c r="Z20" s="82"/>
      <c r="AA20" s="83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77"/>
    </row>
    <row r="21" spans="2:43" s="88" customFormat="1" ht="15.75">
      <c r="B21" s="84"/>
      <c r="C21" s="85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7"/>
    </row>
    <row r="22" spans="2:43" s="78" customFormat="1" ht="15.75">
      <c r="B22" s="75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77"/>
    </row>
    <row r="23" spans="2:43" s="78" customFormat="1" ht="12" customHeight="1">
      <c r="B23" s="75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77"/>
    </row>
    <row r="24" spans="2:43" s="78" customFormat="1" ht="12.75" customHeight="1">
      <c r="B24" s="75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77"/>
    </row>
    <row r="25" spans="2:43" s="78" customFormat="1" ht="15.75" customHeight="1">
      <c r="B25" s="75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77"/>
    </row>
    <row r="26" spans="2:43" s="78" customFormat="1" ht="15.75" customHeight="1">
      <c r="B26" s="75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77"/>
    </row>
    <row r="27" spans="2:43" s="78" customFormat="1" ht="12.75">
      <c r="B27" s="75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77"/>
    </row>
    <row r="28" spans="2:43" s="78" customFormat="1" ht="12.75">
      <c r="B28" s="75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77"/>
    </row>
    <row r="29" spans="2:43" s="78" customFormat="1" ht="12.75">
      <c r="B29" s="75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77"/>
    </row>
    <row r="30" spans="2:43" s="78" customFormat="1" ht="12.75">
      <c r="B30" s="75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77"/>
    </row>
    <row r="31" spans="2:43" s="78" customFormat="1" ht="12.75">
      <c r="B31" s="75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77"/>
    </row>
    <row r="32" spans="2:43" s="78" customFormat="1" ht="12.75">
      <c r="B32" s="75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77"/>
    </row>
    <row r="33" spans="2:43" s="78" customFormat="1" ht="12.75">
      <c r="B33" s="75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77"/>
    </row>
    <row r="34" spans="2:43" s="78" customFormat="1" ht="12.75">
      <c r="B34" s="75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77"/>
    </row>
    <row r="35" spans="2:43" s="78" customFormat="1" ht="12">
      <c r="B35" s="7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77"/>
    </row>
    <row r="36" spans="2:43" s="78" customFormat="1" ht="12">
      <c r="B36" s="75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77"/>
    </row>
    <row r="37" spans="2:43" s="78" customFormat="1" ht="12">
      <c r="B37" s="75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77"/>
    </row>
    <row r="38" spans="2:43" s="78" customFormat="1" ht="12">
      <c r="B38" s="7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77"/>
    </row>
    <row r="39" spans="2:43" s="78" customFormat="1" ht="12">
      <c r="B39" s="7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77"/>
    </row>
    <row r="40" spans="2:43" s="78" customFormat="1" ht="12">
      <c r="B40" s="75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77"/>
    </row>
    <row r="41" spans="2:43" s="78" customFormat="1" ht="12">
      <c r="B41" s="7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8"/>
      <c r="AH41" s="99"/>
      <c r="AI41" s="99"/>
      <c r="AJ41" s="99"/>
      <c r="AK41" s="99"/>
      <c r="AL41" s="99"/>
      <c r="AM41" s="99"/>
      <c r="AN41" s="99"/>
      <c r="AO41" s="99"/>
      <c r="AP41" s="99"/>
      <c r="AQ41" s="77"/>
    </row>
    <row r="42" spans="2:43" s="78" customFormat="1" ht="12">
      <c r="B42" s="75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8"/>
      <c r="AH42" s="99"/>
      <c r="AI42" s="99"/>
      <c r="AJ42" s="99"/>
      <c r="AK42" s="99"/>
      <c r="AL42" s="99"/>
      <c r="AM42" s="99"/>
      <c r="AN42" s="99"/>
      <c r="AO42" s="99"/>
      <c r="AP42" s="99"/>
      <c r="AQ42" s="77"/>
    </row>
    <row r="43" spans="2:43" s="78" customFormat="1" ht="12" customHeight="1">
      <c r="B43" s="75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98"/>
      <c r="AH43" s="99"/>
      <c r="AI43" s="99"/>
      <c r="AJ43" s="99"/>
      <c r="AK43" s="99"/>
      <c r="AL43" s="99"/>
      <c r="AM43" s="99"/>
      <c r="AN43" s="99"/>
      <c r="AO43" s="99"/>
      <c r="AP43" s="99"/>
      <c r="AQ43" s="101"/>
    </row>
    <row r="44" spans="2:43" s="78" customFormat="1" ht="12" customHeight="1">
      <c r="B44" s="75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98"/>
      <c r="AH44" s="99"/>
      <c r="AI44" s="99"/>
      <c r="AJ44" s="99"/>
      <c r="AK44" s="99"/>
      <c r="AL44" s="99"/>
      <c r="AM44" s="99"/>
      <c r="AN44" s="99"/>
      <c r="AO44" s="99"/>
      <c r="AP44" s="99"/>
      <c r="AQ44" s="102"/>
    </row>
    <row r="45" spans="2:43" s="78" customFormat="1" ht="12" customHeight="1">
      <c r="B45" s="75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3"/>
      <c r="AH45" s="104"/>
      <c r="AI45" s="104"/>
      <c r="AJ45" s="104"/>
      <c r="AK45" s="104"/>
      <c r="AL45" s="104"/>
      <c r="AM45" s="104"/>
      <c r="AN45" s="104"/>
      <c r="AO45" s="104"/>
      <c r="AP45" s="104"/>
      <c r="AQ45" s="102"/>
    </row>
    <row r="46" spans="2:43" s="78" customFormat="1" ht="12" customHeight="1">
      <c r="B46" s="75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8"/>
      <c r="AH46" s="99"/>
      <c r="AI46" s="99"/>
      <c r="AJ46" s="99"/>
      <c r="AK46" s="99"/>
      <c r="AL46" s="99"/>
      <c r="AM46" s="99"/>
      <c r="AN46" s="99"/>
      <c r="AO46" s="99"/>
      <c r="AP46" s="99"/>
      <c r="AQ46" s="77"/>
    </row>
    <row r="47" spans="2:43" s="78" customFormat="1" ht="12" customHeight="1">
      <c r="B47" s="75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8"/>
      <c r="AH47" s="99"/>
      <c r="AI47" s="99"/>
      <c r="AJ47" s="99"/>
      <c r="AK47" s="99"/>
      <c r="AL47" s="99"/>
      <c r="AM47" s="99"/>
      <c r="AN47" s="99"/>
      <c r="AO47" s="99"/>
      <c r="AP47" s="99"/>
      <c r="AQ47" s="77"/>
    </row>
    <row r="48" spans="2:43" s="78" customFormat="1" ht="12" customHeight="1">
      <c r="B48" s="75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8"/>
      <c r="AH48" s="99"/>
      <c r="AI48" s="99"/>
      <c r="AJ48" s="99"/>
      <c r="AK48" s="99"/>
      <c r="AL48" s="99"/>
      <c r="AM48" s="99"/>
      <c r="AN48" s="99"/>
      <c r="AO48" s="99"/>
      <c r="AP48" s="99"/>
      <c r="AQ48" s="77"/>
    </row>
    <row r="49" spans="2:43" s="78" customFormat="1" ht="12" customHeight="1">
      <c r="B49" s="75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77"/>
    </row>
    <row r="50" spans="2:43" s="78" customFormat="1" ht="12" customHeight="1">
      <c r="B50" s="75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77"/>
    </row>
    <row r="51" spans="2:43" s="78" customFormat="1" ht="12" customHeight="1">
      <c r="B51" s="75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77"/>
    </row>
    <row r="52" spans="2:43" s="78" customFormat="1" ht="12" customHeight="1">
      <c r="B52" s="75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8"/>
      <c r="AH52" s="99"/>
      <c r="AI52" s="99"/>
      <c r="AJ52" s="99"/>
      <c r="AK52" s="99"/>
      <c r="AL52" s="99"/>
      <c r="AM52" s="99"/>
      <c r="AN52" s="99"/>
      <c r="AO52" s="99"/>
      <c r="AP52" s="99"/>
      <c r="AQ52" s="77"/>
    </row>
    <row r="53" spans="2:43" s="78" customFormat="1" ht="12">
      <c r="B53" s="75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77"/>
    </row>
    <row r="54" spans="2:43" s="78" customFormat="1" ht="12">
      <c r="B54" s="7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77"/>
    </row>
    <row r="55" spans="2:43" s="78" customFormat="1" ht="12">
      <c r="B55" s="7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77"/>
    </row>
    <row r="56" spans="2:43" s="78" customFormat="1" ht="12">
      <c r="B56" s="75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05"/>
      <c r="AH56" s="106"/>
      <c r="AI56" s="106"/>
      <c r="AJ56" s="106"/>
      <c r="AK56" s="106"/>
      <c r="AL56" s="106"/>
      <c r="AM56" s="106"/>
      <c r="AN56" s="106"/>
      <c r="AO56" s="106"/>
      <c r="AP56" s="106"/>
      <c r="AQ56" s="77"/>
    </row>
    <row r="57" spans="2:43" s="78" customFormat="1" ht="12">
      <c r="B57" s="75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8"/>
      <c r="AH57" s="99"/>
      <c r="AI57" s="99"/>
      <c r="AJ57" s="99"/>
      <c r="AK57" s="99"/>
      <c r="AL57" s="99"/>
      <c r="AM57" s="99"/>
      <c r="AN57" s="99"/>
      <c r="AO57" s="99"/>
      <c r="AP57" s="99"/>
      <c r="AQ57" s="77"/>
    </row>
    <row r="58" spans="2:43" s="78" customFormat="1" ht="12">
      <c r="B58" s="75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8"/>
      <c r="AH58" s="99"/>
      <c r="AI58" s="99"/>
      <c r="AJ58" s="99"/>
      <c r="AK58" s="99"/>
      <c r="AL58" s="99"/>
      <c r="AM58" s="99"/>
      <c r="AN58" s="99"/>
      <c r="AO58" s="99"/>
      <c r="AP58" s="99"/>
      <c r="AQ58" s="77"/>
    </row>
    <row r="59" spans="2:43" s="78" customFormat="1" ht="12">
      <c r="B59" s="75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3"/>
      <c r="AH59" s="104"/>
      <c r="AI59" s="104"/>
      <c r="AJ59" s="104"/>
      <c r="AK59" s="104"/>
      <c r="AL59" s="104"/>
      <c r="AM59" s="104"/>
      <c r="AN59" s="104"/>
      <c r="AO59" s="104"/>
      <c r="AP59" s="104"/>
      <c r="AQ59" s="77"/>
    </row>
    <row r="60" spans="2:43" s="78" customFormat="1" ht="12">
      <c r="B60" s="75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03"/>
      <c r="AH60" s="107"/>
      <c r="AI60" s="107"/>
      <c r="AJ60" s="107"/>
      <c r="AK60" s="107"/>
      <c r="AL60" s="107"/>
      <c r="AM60" s="107"/>
      <c r="AN60" s="107"/>
      <c r="AO60" s="107"/>
      <c r="AP60" s="107"/>
      <c r="AQ60" s="77"/>
    </row>
    <row r="61" spans="2:43" s="78" customFormat="1" ht="12">
      <c r="B61" s="75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77"/>
    </row>
    <row r="62" spans="2:43" s="78" customFormat="1" ht="12">
      <c r="B62" s="7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77"/>
    </row>
    <row r="63" spans="2:43" s="78" customFormat="1" ht="12">
      <c r="B63" s="75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6"/>
      <c r="AM63" s="96"/>
      <c r="AN63" s="96"/>
      <c r="AO63" s="96"/>
      <c r="AP63" s="96"/>
      <c r="AQ63" s="77"/>
    </row>
    <row r="64" spans="2:43" s="78" customFormat="1" ht="12">
      <c r="B64" s="75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8"/>
      <c r="AH64" s="99"/>
      <c r="AI64" s="99"/>
      <c r="AJ64" s="99"/>
      <c r="AK64" s="99"/>
      <c r="AL64" s="99"/>
      <c r="AM64" s="99"/>
      <c r="AN64" s="99"/>
      <c r="AO64" s="99"/>
      <c r="AP64" s="99"/>
      <c r="AQ64" s="77"/>
    </row>
    <row r="65" spans="2:43" s="78" customFormat="1" ht="12">
      <c r="B65" s="75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8"/>
      <c r="AH65" s="99"/>
      <c r="AI65" s="99"/>
      <c r="AJ65" s="99"/>
      <c r="AK65" s="99"/>
      <c r="AL65" s="99"/>
      <c r="AM65" s="99"/>
      <c r="AN65" s="99"/>
      <c r="AO65" s="99"/>
      <c r="AP65" s="99"/>
      <c r="AQ65" s="77"/>
    </row>
    <row r="66" spans="2:43" s="78" customFormat="1" ht="12">
      <c r="B66" s="75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8"/>
      <c r="AH66" s="99"/>
      <c r="AI66" s="99"/>
      <c r="AJ66" s="99"/>
      <c r="AK66" s="99"/>
      <c r="AL66" s="99"/>
      <c r="AM66" s="99"/>
      <c r="AN66" s="99"/>
      <c r="AO66" s="99"/>
      <c r="AP66" s="99"/>
      <c r="AQ66" s="77"/>
    </row>
    <row r="67" spans="2:43" s="78" customFormat="1" ht="12">
      <c r="B67" s="75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77"/>
    </row>
    <row r="68" spans="2:43" s="78" customFormat="1" ht="12">
      <c r="B68" s="7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77"/>
    </row>
    <row r="69" spans="2:43" s="78" customFormat="1" ht="12">
      <c r="B69" s="75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77"/>
    </row>
    <row r="70" spans="2:43" s="78" customFormat="1" ht="12">
      <c r="B70" s="75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10"/>
      <c r="AH70" s="111"/>
      <c r="AI70" s="111"/>
      <c r="AJ70" s="111"/>
      <c r="AK70" s="111"/>
      <c r="AL70" s="111"/>
      <c r="AM70" s="111"/>
      <c r="AN70" s="111"/>
      <c r="AO70" s="111"/>
      <c r="AP70" s="111"/>
      <c r="AQ70" s="77"/>
    </row>
    <row r="71" spans="2:43" s="78" customFormat="1" ht="12">
      <c r="B71" s="75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12"/>
      <c r="AH71" s="113"/>
      <c r="AI71" s="113"/>
      <c r="AJ71" s="113"/>
      <c r="AK71" s="113"/>
      <c r="AL71" s="113"/>
      <c r="AM71" s="113"/>
      <c r="AN71" s="113"/>
      <c r="AO71" s="113"/>
      <c r="AP71" s="113"/>
      <c r="AQ71" s="77"/>
    </row>
    <row r="72" spans="2:43" s="78" customFormat="1" ht="12">
      <c r="B72" s="75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15"/>
      <c r="AH72" s="113"/>
      <c r="AI72" s="113"/>
      <c r="AJ72" s="113"/>
      <c r="AK72" s="113"/>
      <c r="AL72" s="113"/>
      <c r="AM72" s="113"/>
      <c r="AN72" s="113"/>
      <c r="AO72" s="113"/>
      <c r="AP72" s="113"/>
      <c r="AQ72" s="77"/>
    </row>
    <row r="73" spans="2:43" s="78" customFormat="1" ht="12">
      <c r="B73" s="75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15"/>
      <c r="AH73" s="113"/>
      <c r="AI73" s="113"/>
      <c r="AJ73" s="113"/>
      <c r="AK73" s="113"/>
      <c r="AL73" s="113"/>
      <c r="AM73" s="113"/>
      <c r="AN73" s="113"/>
      <c r="AO73" s="113"/>
      <c r="AP73" s="113"/>
      <c r="AQ73" s="77"/>
    </row>
    <row r="74" spans="2:43" s="78" customFormat="1" ht="12.75" thickBot="1">
      <c r="B74" s="116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8"/>
    </row>
  </sheetData>
  <mergeCells count="141">
    <mergeCell ref="M72:V72"/>
    <mergeCell ref="W72:AF72"/>
    <mergeCell ref="M73:V73"/>
    <mergeCell ref="W73:AF73"/>
    <mergeCell ref="C70:L70"/>
    <mergeCell ref="M70:V70"/>
    <mergeCell ref="W70:AF70"/>
    <mergeCell ref="AG70:AP70"/>
    <mergeCell ref="C71:L71"/>
    <mergeCell ref="M71:V71"/>
    <mergeCell ref="W71:AF71"/>
    <mergeCell ref="C66:L66"/>
    <mergeCell ref="M66:V66"/>
    <mergeCell ref="W66:AF66"/>
    <mergeCell ref="AG66:AP66"/>
    <mergeCell ref="C68:AP68"/>
    <mergeCell ref="C69:L69"/>
    <mergeCell ref="M69:V69"/>
    <mergeCell ref="W69:AF69"/>
    <mergeCell ref="AG69:AP69"/>
    <mergeCell ref="C64:L64"/>
    <mergeCell ref="M64:V64"/>
    <mergeCell ref="W64:AF64"/>
    <mergeCell ref="AG64:AP64"/>
    <mergeCell ref="C65:L65"/>
    <mergeCell ref="M65:V65"/>
    <mergeCell ref="W65:AF65"/>
    <mergeCell ref="AG65:AP65"/>
    <mergeCell ref="M60:V60"/>
    <mergeCell ref="W60:AF60"/>
    <mergeCell ref="C62:AP62"/>
    <mergeCell ref="C63:L63"/>
    <mergeCell ref="M63:V63"/>
    <mergeCell ref="W63:AF63"/>
    <mergeCell ref="AG63:AP63"/>
    <mergeCell ref="C57:L57"/>
    <mergeCell ref="M57:V57"/>
    <mergeCell ref="W57:AF57"/>
    <mergeCell ref="AG57:AP57"/>
    <mergeCell ref="C58:L58"/>
    <mergeCell ref="M58:V58"/>
    <mergeCell ref="W58:AF58"/>
    <mergeCell ref="AG58:AP58"/>
    <mergeCell ref="C54:AP54"/>
    <mergeCell ref="C55:L55"/>
    <mergeCell ref="M55:V55"/>
    <mergeCell ref="W55:AF55"/>
    <mergeCell ref="AG55:AP55"/>
    <mergeCell ref="C56:L56"/>
    <mergeCell ref="M56:V56"/>
    <mergeCell ref="W56:AF56"/>
    <mergeCell ref="AG56:AP56"/>
    <mergeCell ref="C51:L51"/>
    <mergeCell ref="M51:V51"/>
    <mergeCell ref="W51:AF51"/>
    <mergeCell ref="AG51:AP51"/>
    <mergeCell ref="C52:L52"/>
    <mergeCell ref="M52:V52"/>
    <mergeCell ref="W52:AF52"/>
    <mergeCell ref="AG52:AP52"/>
    <mergeCell ref="C49:L49"/>
    <mergeCell ref="M49:V49"/>
    <mergeCell ref="W49:AF49"/>
    <mergeCell ref="AG49:AP49"/>
    <mergeCell ref="C50:L50"/>
    <mergeCell ref="M50:V50"/>
    <mergeCell ref="W50:AF50"/>
    <mergeCell ref="AG50:AP50"/>
    <mergeCell ref="C47:L47"/>
    <mergeCell ref="M47:V47"/>
    <mergeCell ref="W47:AF47"/>
    <mergeCell ref="AG47:AP47"/>
    <mergeCell ref="C48:L48"/>
    <mergeCell ref="M48:V48"/>
    <mergeCell ref="W48:AF48"/>
    <mergeCell ref="AG48:AP48"/>
    <mergeCell ref="M44:V44"/>
    <mergeCell ref="AG44:AP44"/>
    <mergeCell ref="C46:L46"/>
    <mergeCell ref="M46:V46"/>
    <mergeCell ref="W46:AF46"/>
    <mergeCell ref="AG46:AP46"/>
    <mergeCell ref="C42:L42"/>
    <mergeCell ref="M42:V42"/>
    <mergeCell ref="W42:AF42"/>
    <mergeCell ref="AG42:AP42"/>
    <mergeCell ref="M43:V43"/>
    <mergeCell ref="AG43:AP43"/>
    <mergeCell ref="C39:AP39"/>
    <mergeCell ref="C40:L40"/>
    <mergeCell ref="M40:V40"/>
    <mergeCell ref="W40:AF40"/>
    <mergeCell ref="AG40:AP40"/>
    <mergeCell ref="C41:L41"/>
    <mergeCell ref="M41:V41"/>
    <mergeCell ref="W41:AF41"/>
    <mergeCell ref="AG41:AP41"/>
    <mergeCell ref="C34:M34"/>
    <mergeCell ref="N34:Y34"/>
    <mergeCell ref="Z34:AG34"/>
    <mergeCell ref="AH34:AP34"/>
    <mergeCell ref="C36:AP36"/>
    <mergeCell ref="C37:AP37"/>
    <mergeCell ref="C32:M32"/>
    <mergeCell ref="N32:Y32"/>
    <mergeCell ref="Z32:AG32"/>
    <mergeCell ref="AH32:AP32"/>
    <mergeCell ref="C33:M33"/>
    <mergeCell ref="N33:Y33"/>
    <mergeCell ref="Z33:AG33"/>
    <mergeCell ref="AH33:AP33"/>
    <mergeCell ref="C30:M30"/>
    <mergeCell ref="N30:Y30"/>
    <mergeCell ref="Z30:AG30"/>
    <mergeCell ref="AH30:AP30"/>
    <mergeCell ref="C31:M31"/>
    <mergeCell ref="N31:Y31"/>
    <mergeCell ref="Z31:AG31"/>
    <mergeCell ref="AH31:AP31"/>
    <mergeCell ref="C28:M28"/>
    <mergeCell ref="N28:Y28"/>
    <mergeCell ref="Z28:AG28"/>
    <mergeCell ref="AH28:AP28"/>
    <mergeCell ref="C29:M29"/>
    <mergeCell ref="N29:Y29"/>
    <mergeCell ref="Z29:AG29"/>
    <mergeCell ref="AH29:AP29"/>
    <mergeCell ref="C26:M26"/>
    <mergeCell ref="N26:Y26"/>
    <mergeCell ref="Z26:AG26"/>
    <mergeCell ref="AH26:AP26"/>
    <mergeCell ref="C27:M27"/>
    <mergeCell ref="N27:Y27"/>
    <mergeCell ref="Z27:AG27"/>
    <mergeCell ref="AH27:AP27"/>
    <mergeCell ref="C22:AE22"/>
    <mergeCell ref="C23:AP24"/>
    <mergeCell ref="C25:M25"/>
    <mergeCell ref="N25:Y25"/>
    <mergeCell ref="Z25:AG25"/>
    <mergeCell ref="AH25:AP25"/>
  </mergeCells>
  <pageMargins left="3.937007874015748E-2" right="3.937007874015748E-2" top="0.39370078740157483" bottom="0.19685039370078741" header="0.11811023622047245" footer="0.11811023622047245"/>
  <pageSetup paperSize="9" scale="7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0028-00B2-4FAC-AEED-8A0B0E8BA41F}">
  <sheetPr codeName="Sheet6">
    <tabColor rgb="FFFF0000"/>
    <pageSetUpPr fitToPage="1"/>
  </sheetPr>
  <dimension ref="C2"/>
  <sheetViews>
    <sheetView view="pageBreakPreview" zoomScaleNormal="100" zoomScaleSheetLayoutView="100" workbookViewId="0">
      <selection activeCell="O12" sqref="O12"/>
    </sheetView>
  </sheetViews>
  <sheetFormatPr defaultRowHeight="15"/>
  <sheetData>
    <row r="2" spans="3:3">
      <c r="C2" s="119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F4C0-8CD0-4E4C-896D-1C5D6D39A175}">
  <sheetPr codeName="Sheet7">
    <tabColor rgb="FFEE312F"/>
    <pageSetUpPr fitToPage="1"/>
  </sheetPr>
  <dimension ref="B1:BI116"/>
  <sheetViews>
    <sheetView showGridLines="0" topLeftCell="A52" zoomScaleNormal="100" workbookViewId="0">
      <selection activeCell="BZ74" sqref="BZ74"/>
    </sheetView>
  </sheetViews>
  <sheetFormatPr defaultColWidth="3" defaultRowHeight="14.25"/>
  <cols>
    <col min="1" max="1" width="3.42578125" style="1" bestFit="1" customWidth="1"/>
    <col min="2" max="2" width="5.7109375" style="1" customWidth="1"/>
    <col min="3" max="31" width="2.85546875" style="1" customWidth="1"/>
    <col min="32" max="32" width="8.140625" style="1" customWidth="1"/>
    <col min="33" max="60" width="2.85546875" style="1" customWidth="1"/>
    <col min="61" max="61" width="5.7109375" style="1" customWidth="1"/>
    <col min="62" max="16384" width="3" style="1"/>
  </cols>
  <sheetData>
    <row r="1" spans="2:61" ht="15" thickBot="1"/>
    <row r="2" spans="2:61" ht="16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</row>
    <row r="3" spans="2:61" ht="16.5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7"/>
    </row>
    <row r="4" spans="2:61" ht="16.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</row>
    <row r="5" spans="2:61" ht="16.5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1" ht="14.2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2:61" ht="3" customHeight="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0"/>
    </row>
    <row r="8" spans="2:61" ht="16.5" customHeigh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3"/>
    </row>
    <row r="9" spans="2:61" ht="16.5" customHeight="1">
      <c r="B9" s="11"/>
      <c r="C9" s="18" t="str">
        <f>('1. Intro'!$C$19)</f>
        <v>RATE AGREEMENT / SERVICE CONTRACT: AS OUTLINED BY ROUTE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3</v>
      </c>
      <c r="BA9" s="12"/>
      <c r="BB9" s="120">
        <v>46041</v>
      </c>
      <c r="BC9" s="120"/>
      <c r="BD9" s="120"/>
      <c r="BE9" s="120"/>
      <c r="BF9" s="120"/>
      <c r="BG9" s="12"/>
      <c r="BH9" s="121"/>
      <c r="BI9" s="13"/>
    </row>
    <row r="10" spans="2:61" ht="16.5" customHeight="1">
      <c r="B10" s="11"/>
      <c r="C10" s="18" t="str">
        <f>('1. Intro'!$C$20)</f>
        <v>RATE VALIDITY: AS PER RDA DATE 01.02.2026 - 30.04.2026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3"/>
    </row>
    <row r="11" spans="2:61" ht="16.5" customHeight="1">
      <c r="B11" s="11"/>
      <c r="C11" s="18" t="str">
        <f>('1. Intro'!$C$21)</f>
        <v xml:space="preserve">RATE AND SURCHARGES APPLICATION: AS PER RATING DATE (RDA) 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 ht="16.5" customHeight="1">
      <c r="B12" s="11"/>
      <c r="C12" s="18" t="s">
        <v>136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3"/>
    </row>
    <row r="13" spans="2:61" ht="16.5" customHeight="1">
      <c r="B13" s="11"/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3"/>
    </row>
    <row r="14" spans="2:61" ht="16.5" customHeight="1">
      <c r="B14" s="11"/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</row>
    <row r="15" spans="2:61" ht="16.5" customHeight="1">
      <c r="B15" s="11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</row>
    <row r="16" spans="2:61" ht="16.5" customHeight="1">
      <c r="B16" s="11"/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</row>
    <row r="17" spans="2:61" ht="16.5" customHeight="1">
      <c r="B17" s="11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</row>
    <row r="18" spans="2:61" ht="16.5" customHeight="1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</row>
    <row r="19" spans="2:61" ht="16.5" customHeight="1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</row>
    <row r="20" spans="2:61" ht="16.5" customHeight="1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</row>
    <row r="21" spans="2:61" ht="16.5" customHeight="1">
      <c r="B21" s="1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2"/>
      <c r="BA21" s="12"/>
      <c r="BB21" s="12"/>
      <c r="BC21" s="12"/>
      <c r="BD21" s="12"/>
      <c r="BE21" s="12"/>
      <c r="BF21" s="12"/>
      <c r="BG21" s="12"/>
      <c r="BH21" s="12"/>
      <c r="BI21" s="13"/>
    </row>
    <row r="22" spans="2:61" ht="16.5" customHeight="1">
      <c r="B22" s="1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3"/>
    </row>
    <row r="23" spans="2:61" ht="16.5" customHeight="1">
      <c r="B23" s="1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</row>
    <row r="24" spans="2:61" ht="16.5" customHeight="1">
      <c r="B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</row>
    <row r="25" spans="2:61" s="25" customFormat="1" ht="16.5" customHeight="1">
      <c r="B25" s="17"/>
      <c r="C25" s="18"/>
      <c r="D25" s="18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2"/>
      <c r="Y25" s="82"/>
      <c r="Z25" s="82"/>
      <c r="AA25" s="83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19"/>
      <c r="AP25" s="12"/>
      <c r="AQ25" s="19"/>
      <c r="AR25" s="20"/>
      <c r="AS25" s="21" t="s">
        <v>137</v>
      </c>
      <c r="AT25" s="19"/>
      <c r="AU25" s="19"/>
      <c r="AV25" s="123"/>
      <c r="AW25" s="19"/>
      <c r="AX25" s="19"/>
      <c r="AY25" s="19"/>
      <c r="AZ25" s="19"/>
      <c r="BA25" s="19"/>
      <c r="BB25" s="19"/>
      <c r="BC25" s="23"/>
      <c r="BD25" s="23"/>
      <c r="BE25" s="23"/>
      <c r="BF25" s="23"/>
      <c r="BG25" s="23"/>
      <c r="BH25" s="23"/>
      <c r="BI25" s="24"/>
    </row>
    <row r="26" spans="2:61" s="25" customFormat="1" ht="16.5" customHeight="1">
      <c r="B26" s="17"/>
      <c r="C26" s="18"/>
      <c r="D26" s="18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23"/>
      <c r="AP26" s="23"/>
      <c r="AQ26" s="23"/>
      <c r="AR26" s="23"/>
      <c r="AS26" s="21" t="s">
        <v>137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19"/>
      <c r="BD26" s="19"/>
      <c r="BE26" s="19"/>
      <c r="BF26" s="19"/>
      <c r="BG26" s="19"/>
      <c r="BH26" s="19"/>
      <c r="BI26" s="24"/>
    </row>
    <row r="27" spans="2:61" s="25" customFormat="1" ht="16.5" customHeight="1">
      <c r="B27" s="17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24"/>
    </row>
    <row r="28" spans="2:61" s="25" customFormat="1" ht="16.5" customHeight="1">
      <c r="B28" s="17"/>
      <c r="C28" s="124" t="s">
        <v>138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5" t="s">
        <v>139</v>
      </c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24"/>
    </row>
    <row r="29" spans="2:61" s="25" customFormat="1" ht="16.5" customHeight="1">
      <c r="B29" s="17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24"/>
    </row>
    <row r="30" spans="2:61" s="25" customFormat="1" ht="16.5" customHeight="1">
      <c r="B30" s="17"/>
      <c r="C30" s="126" t="s">
        <v>140</v>
      </c>
      <c r="D30" s="126"/>
      <c r="E30" s="126"/>
      <c r="F30" s="126"/>
      <c r="G30" s="126"/>
      <c r="H30" s="126"/>
      <c r="I30" s="126"/>
      <c r="J30" s="126"/>
      <c r="K30" s="126"/>
      <c r="L30" s="126" t="s">
        <v>141</v>
      </c>
      <c r="M30" s="126"/>
      <c r="N30" s="126"/>
      <c r="O30" s="126"/>
      <c r="P30" s="126"/>
      <c r="Q30" s="126"/>
      <c r="R30" s="126"/>
      <c r="S30" s="126"/>
      <c r="T30" s="126"/>
      <c r="U30" s="126" t="s">
        <v>142</v>
      </c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 t="s">
        <v>143</v>
      </c>
      <c r="AH30" s="126"/>
      <c r="AI30" s="126"/>
      <c r="AJ30" s="126"/>
      <c r="AK30" s="126"/>
      <c r="AL30" s="126"/>
      <c r="AM30" s="126"/>
      <c r="AN30" s="126" t="s">
        <v>144</v>
      </c>
      <c r="AO30" s="126"/>
      <c r="AP30" s="126"/>
      <c r="AQ30" s="126"/>
      <c r="AR30" s="126"/>
      <c r="AS30" s="126"/>
      <c r="AT30" s="126"/>
      <c r="AU30" s="126" t="s">
        <v>145</v>
      </c>
      <c r="AV30" s="126"/>
      <c r="AW30" s="126"/>
      <c r="AX30" s="126"/>
      <c r="AY30" s="126"/>
      <c r="AZ30" s="126"/>
      <c r="BA30" s="126"/>
      <c r="BB30" s="126" t="s">
        <v>146</v>
      </c>
      <c r="BC30" s="126"/>
      <c r="BD30" s="126"/>
      <c r="BE30" s="126"/>
      <c r="BF30" s="126"/>
      <c r="BG30" s="126"/>
      <c r="BH30" s="126"/>
      <c r="BI30" s="24"/>
    </row>
    <row r="31" spans="2:61" s="25" customFormat="1" ht="16.5" customHeight="1">
      <c r="B31" s="17"/>
      <c r="C31" s="41" t="s">
        <v>147</v>
      </c>
      <c r="D31" s="42"/>
      <c r="E31" s="42"/>
      <c r="F31" s="42"/>
      <c r="G31" s="42"/>
      <c r="H31" s="42"/>
      <c r="I31" s="42"/>
      <c r="J31" s="42"/>
      <c r="K31" s="43"/>
      <c r="L31" s="41" t="s">
        <v>148</v>
      </c>
      <c r="M31" s="42"/>
      <c r="N31" s="42"/>
      <c r="O31" s="42"/>
      <c r="P31" s="42"/>
      <c r="Q31" s="42"/>
      <c r="R31" s="42"/>
      <c r="S31" s="42"/>
      <c r="T31" s="43"/>
      <c r="U31" s="41" t="s">
        <v>149</v>
      </c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127">
        <v>15</v>
      </c>
      <c r="AH31" s="128"/>
      <c r="AI31" s="128"/>
      <c r="AJ31" s="128"/>
      <c r="AK31" s="128"/>
      <c r="AL31" s="128"/>
      <c r="AM31" s="129"/>
      <c r="AN31" s="127">
        <v>15</v>
      </c>
      <c r="AO31" s="128"/>
      <c r="AP31" s="128"/>
      <c r="AQ31" s="128"/>
      <c r="AR31" s="128"/>
      <c r="AS31" s="128"/>
      <c r="AT31" s="129"/>
      <c r="AU31" s="127">
        <v>15</v>
      </c>
      <c r="AV31" s="128"/>
      <c r="AW31" s="128"/>
      <c r="AX31" s="128"/>
      <c r="AY31" s="128"/>
      <c r="AZ31" s="128"/>
      <c r="BA31" s="129"/>
      <c r="BB31" s="130" t="s">
        <v>150</v>
      </c>
      <c r="BC31" s="131"/>
      <c r="BD31" s="131"/>
      <c r="BE31" s="131"/>
      <c r="BF31" s="131"/>
      <c r="BG31" s="131"/>
      <c r="BH31" s="132"/>
      <c r="BI31" s="24"/>
    </row>
    <row r="32" spans="2:61" s="25" customFormat="1" ht="16.5" customHeight="1">
      <c r="B32" s="17"/>
      <c r="C32" s="133" t="s">
        <v>151</v>
      </c>
      <c r="D32" s="133"/>
      <c r="E32" s="133"/>
      <c r="F32" s="133"/>
      <c r="G32" s="133"/>
      <c r="H32" s="133"/>
      <c r="I32" s="133"/>
      <c r="J32" s="133"/>
      <c r="K32" s="133"/>
      <c r="L32" s="133" t="s">
        <v>152</v>
      </c>
      <c r="M32" s="133"/>
      <c r="N32" s="133"/>
      <c r="O32" s="133"/>
      <c r="P32" s="133"/>
      <c r="Q32" s="133"/>
      <c r="R32" s="133"/>
      <c r="S32" s="133"/>
      <c r="T32" s="133"/>
      <c r="U32" s="133" t="s">
        <v>149</v>
      </c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4">
        <v>1</v>
      </c>
      <c r="AH32" s="134"/>
      <c r="AI32" s="134"/>
      <c r="AJ32" s="134"/>
      <c r="AK32" s="134"/>
      <c r="AL32" s="134"/>
      <c r="AM32" s="134"/>
      <c r="AN32" s="134">
        <v>1</v>
      </c>
      <c r="AO32" s="134"/>
      <c r="AP32" s="134"/>
      <c r="AQ32" s="134"/>
      <c r="AR32" s="134"/>
      <c r="AS32" s="134"/>
      <c r="AT32" s="134"/>
      <c r="AU32" s="134">
        <v>1</v>
      </c>
      <c r="AV32" s="134"/>
      <c r="AW32" s="134"/>
      <c r="AX32" s="134"/>
      <c r="AY32" s="134"/>
      <c r="AZ32" s="134"/>
      <c r="BA32" s="134"/>
      <c r="BB32" s="135" t="s">
        <v>150</v>
      </c>
      <c r="BC32" s="136"/>
      <c r="BD32" s="136"/>
      <c r="BE32" s="136"/>
      <c r="BF32" s="136"/>
      <c r="BG32" s="136"/>
      <c r="BH32" s="136"/>
      <c r="BI32" s="24"/>
    </row>
    <row r="33" spans="2:61" s="25" customFormat="1" ht="16.5" customHeight="1">
      <c r="B33" s="17"/>
      <c r="C33" s="137" t="s">
        <v>153</v>
      </c>
      <c r="D33" s="137"/>
      <c r="E33" s="137"/>
      <c r="F33" s="137"/>
      <c r="G33" s="137"/>
      <c r="H33" s="137"/>
      <c r="I33" s="137"/>
      <c r="J33" s="137"/>
      <c r="K33" s="137"/>
      <c r="L33" s="137" t="s">
        <v>154</v>
      </c>
      <c r="M33" s="137"/>
      <c r="N33" s="137"/>
      <c r="O33" s="137"/>
      <c r="P33" s="137"/>
      <c r="Q33" s="137"/>
      <c r="R33" s="137"/>
      <c r="S33" s="137"/>
      <c r="T33" s="137"/>
      <c r="U33" s="137" t="s">
        <v>155</v>
      </c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8">
        <v>1</v>
      </c>
      <c r="AH33" s="138"/>
      <c r="AI33" s="138"/>
      <c r="AJ33" s="138"/>
      <c r="AK33" s="138"/>
      <c r="AL33" s="138"/>
      <c r="AM33" s="138"/>
      <c r="AN33" s="138">
        <v>1</v>
      </c>
      <c r="AO33" s="138"/>
      <c r="AP33" s="138"/>
      <c r="AQ33" s="138"/>
      <c r="AR33" s="138"/>
      <c r="AS33" s="138"/>
      <c r="AT33" s="138"/>
      <c r="AU33" s="138">
        <v>1</v>
      </c>
      <c r="AV33" s="138"/>
      <c r="AW33" s="138"/>
      <c r="AX33" s="138"/>
      <c r="AY33" s="138"/>
      <c r="AZ33" s="138"/>
      <c r="BA33" s="138"/>
      <c r="BB33" s="139" t="s">
        <v>150</v>
      </c>
      <c r="BC33" s="140"/>
      <c r="BD33" s="140"/>
      <c r="BE33" s="140"/>
      <c r="BF33" s="140"/>
      <c r="BG33" s="140"/>
      <c r="BH33" s="140"/>
      <c r="BI33" s="24"/>
    </row>
    <row r="34" spans="2:61" s="25" customFormat="1" ht="16.5" customHeight="1">
      <c r="B34" s="17"/>
      <c r="C34" s="133" t="s">
        <v>153</v>
      </c>
      <c r="D34" s="133"/>
      <c r="E34" s="133"/>
      <c r="F34" s="133"/>
      <c r="G34" s="133"/>
      <c r="H34" s="133"/>
      <c r="I34" s="133"/>
      <c r="J34" s="133"/>
      <c r="K34" s="133"/>
      <c r="L34" s="133" t="s">
        <v>156</v>
      </c>
      <c r="M34" s="133"/>
      <c r="N34" s="133"/>
      <c r="O34" s="133"/>
      <c r="P34" s="133"/>
      <c r="Q34" s="133"/>
      <c r="R34" s="133"/>
      <c r="S34" s="133"/>
      <c r="T34" s="133"/>
      <c r="U34" s="133" t="s">
        <v>157</v>
      </c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4">
        <v>1</v>
      </c>
      <c r="AH34" s="134"/>
      <c r="AI34" s="134"/>
      <c r="AJ34" s="134"/>
      <c r="AK34" s="134"/>
      <c r="AL34" s="134"/>
      <c r="AM34" s="134"/>
      <c r="AN34" s="134">
        <v>1</v>
      </c>
      <c r="AO34" s="134"/>
      <c r="AP34" s="134"/>
      <c r="AQ34" s="134"/>
      <c r="AR34" s="134"/>
      <c r="AS34" s="134"/>
      <c r="AT34" s="134"/>
      <c r="AU34" s="134">
        <v>1</v>
      </c>
      <c r="AV34" s="134"/>
      <c r="AW34" s="134"/>
      <c r="AX34" s="134"/>
      <c r="AY34" s="134"/>
      <c r="AZ34" s="134"/>
      <c r="BA34" s="134"/>
      <c r="BB34" s="135" t="s">
        <v>150</v>
      </c>
      <c r="BC34" s="136"/>
      <c r="BD34" s="136"/>
      <c r="BE34" s="136"/>
      <c r="BF34" s="136"/>
      <c r="BG34" s="136"/>
      <c r="BH34" s="136"/>
      <c r="BI34" s="24"/>
    </row>
    <row r="35" spans="2:61" s="25" customFormat="1" ht="16.5" customHeight="1">
      <c r="B35" s="17"/>
      <c r="C35" s="137" t="s">
        <v>153</v>
      </c>
      <c r="D35" s="137"/>
      <c r="E35" s="137"/>
      <c r="F35" s="137"/>
      <c r="G35" s="137"/>
      <c r="H35" s="137"/>
      <c r="I35" s="137"/>
      <c r="J35" s="137"/>
      <c r="K35" s="137"/>
      <c r="L35" s="137" t="s">
        <v>158</v>
      </c>
      <c r="M35" s="137"/>
      <c r="N35" s="137"/>
      <c r="O35" s="137"/>
      <c r="P35" s="137"/>
      <c r="Q35" s="137"/>
      <c r="R35" s="137"/>
      <c r="S35" s="137"/>
      <c r="T35" s="137"/>
      <c r="U35" s="137" t="s">
        <v>159</v>
      </c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8">
        <v>1</v>
      </c>
      <c r="AH35" s="138"/>
      <c r="AI35" s="138"/>
      <c r="AJ35" s="138"/>
      <c r="AK35" s="138"/>
      <c r="AL35" s="138"/>
      <c r="AM35" s="138"/>
      <c r="AN35" s="138">
        <v>1</v>
      </c>
      <c r="AO35" s="138"/>
      <c r="AP35" s="138"/>
      <c r="AQ35" s="138"/>
      <c r="AR35" s="138"/>
      <c r="AS35" s="138"/>
      <c r="AT35" s="138"/>
      <c r="AU35" s="138">
        <v>1</v>
      </c>
      <c r="AV35" s="138"/>
      <c r="AW35" s="138"/>
      <c r="AX35" s="138"/>
      <c r="AY35" s="138"/>
      <c r="AZ35" s="138"/>
      <c r="BA35" s="138"/>
      <c r="BB35" s="139" t="s">
        <v>150</v>
      </c>
      <c r="BC35" s="140"/>
      <c r="BD35" s="140"/>
      <c r="BE35" s="140"/>
      <c r="BF35" s="140"/>
      <c r="BG35" s="140"/>
      <c r="BH35" s="140"/>
      <c r="BI35" s="24"/>
    </row>
    <row r="36" spans="2:61" s="25" customFormat="1" ht="16.5" customHeight="1">
      <c r="B36" s="17"/>
      <c r="C36" s="133" t="s">
        <v>153</v>
      </c>
      <c r="D36" s="133"/>
      <c r="E36" s="133"/>
      <c r="F36" s="133"/>
      <c r="G36" s="133"/>
      <c r="H36" s="133"/>
      <c r="I36" s="133"/>
      <c r="J36" s="133"/>
      <c r="K36" s="133"/>
      <c r="L36" s="133" t="s">
        <v>158</v>
      </c>
      <c r="M36" s="133"/>
      <c r="N36" s="133"/>
      <c r="O36" s="133"/>
      <c r="P36" s="133"/>
      <c r="Q36" s="133"/>
      <c r="R36" s="133"/>
      <c r="S36" s="133"/>
      <c r="T36" s="133"/>
      <c r="U36" s="133" t="s">
        <v>160</v>
      </c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4">
        <v>1</v>
      </c>
      <c r="AH36" s="134"/>
      <c r="AI36" s="134"/>
      <c r="AJ36" s="134"/>
      <c r="AK36" s="134"/>
      <c r="AL36" s="134"/>
      <c r="AM36" s="134"/>
      <c r="AN36" s="134">
        <v>1</v>
      </c>
      <c r="AO36" s="134"/>
      <c r="AP36" s="134"/>
      <c r="AQ36" s="134"/>
      <c r="AR36" s="134"/>
      <c r="AS36" s="134"/>
      <c r="AT36" s="134"/>
      <c r="AU36" s="134">
        <v>1</v>
      </c>
      <c r="AV36" s="134"/>
      <c r="AW36" s="134"/>
      <c r="AX36" s="134"/>
      <c r="AY36" s="134"/>
      <c r="AZ36" s="134"/>
      <c r="BA36" s="134"/>
      <c r="BB36" s="135" t="s">
        <v>150</v>
      </c>
      <c r="BC36" s="136"/>
      <c r="BD36" s="136"/>
      <c r="BE36" s="136"/>
      <c r="BF36" s="136"/>
      <c r="BG36" s="136"/>
      <c r="BH36" s="136"/>
      <c r="BI36" s="24"/>
    </row>
    <row r="37" spans="2:61" s="25" customFormat="1" ht="16.5" customHeight="1">
      <c r="B37" s="17"/>
      <c r="C37" s="41" t="s">
        <v>147</v>
      </c>
      <c r="D37" s="42"/>
      <c r="E37" s="42"/>
      <c r="F37" s="42"/>
      <c r="G37" s="42"/>
      <c r="H37" s="42"/>
      <c r="I37" s="42"/>
      <c r="J37" s="42"/>
      <c r="K37" s="43"/>
      <c r="L37" s="41" t="s">
        <v>148</v>
      </c>
      <c r="M37" s="42"/>
      <c r="N37" s="42"/>
      <c r="O37" s="42"/>
      <c r="P37" s="42"/>
      <c r="Q37" s="42"/>
      <c r="R37" s="42"/>
      <c r="S37" s="42"/>
      <c r="T37" s="43"/>
      <c r="U37" s="41" t="s">
        <v>160</v>
      </c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127">
        <v>15</v>
      </c>
      <c r="AH37" s="128"/>
      <c r="AI37" s="128"/>
      <c r="AJ37" s="128"/>
      <c r="AK37" s="128"/>
      <c r="AL37" s="128"/>
      <c r="AM37" s="129"/>
      <c r="AN37" s="127">
        <v>15</v>
      </c>
      <c r="AO37" s="128"/>
      <c r="AP37" s="128"/>
      <c r="AQ37" s="128"/>
      <c r="AR37" s="128"/>
      <c r="AS37" s="128"/>
      <c r="AT37" s="129"/>
      <c r="AU37" s="127">
        <v>15</v>
      </c>
      <c r="AV37" s="128"/>
      <c r="AW37" s="128"/>
      <c r="AX37" s="128"/>
      <c r="AY37" s="128"/>
      <c r="AZ37" s="128"/>
      <c r="BA37" s="129"/>
      <c r="BB37" s="130" t="s">
        <v>150</v>
      </c>
      <c r="BC37" s="131"/>
      <c r="BD37" s="131"/>
      <c r="BE37" s="131"/>
      <c r="BF37" s="131"/>
      <c r="BG37" s="131"/>
      <c r="BH37" s="132"/>
      <c r="BI37" s="24"/>
    </row>
    <row r="38" spans="2:61" s="25" customFormat="1" ht="16.5" customHeight="1">
      <c r="B38" s="17"/>
      <c r="C38" s="44" t="s">
        <v>147</v>
      </c>
      <c r="D38" s="45"/>
      <c r="E38" s="45"/>
      <c r="F38" s="45"/>
      <c r="G38" s="45"/>
      <c r="H38" s="45"/>
      <c r="I38" s="45"/>
      <c r="J38" s="45"/>
      <c r="K38" s="46"/>
      <c r="L38" s="133" t="s">
        <v>161</v>
      </c>
      <c r="M38" s="133"/>
      <c r="N38" s="133"/>
      <c r="O38" s="133"/>
      <c r="P38" s="133"/>
      <c r="Q38" s="133"/>
      <c r="R38" s="133"/>
      <c r="S38" s="133"/>
      <c r="T38" s="133"/>
      <c r="U38" s="133" t="s">
        <v>162</v>
      </c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4">
        <v>15</v>
      </c>
      <c r="AH38" s="134"/>
      <c r="AI38" s="134"/>
      <c r="AJ38" s="134"/>
      <c r="AK38" s="134"/>
      <c r="AL38" s="134"/>
      <c r="AM38" s="134"/>
      <c r="AN38" s="134">
        <v>15</v>
      </c>
      <c r="AO38" s="134"/>
      <c r="AP38" s="134"/>
      <c r="AQ38" s="134"/>
      <c r="AR38" s="134"/>
      <c r="AS38" s="134"/>
      <c r="AT38" s="134"/>
      <c r="AU38" s="134">
        <v>15</v>
      </c>
      <c r="AV38" s="134"/>
      <c r="AW38" s="134"/>
      <c r="AX38" s="134"/>
      <c r="AY38" s="134"/>
      <c r="AZ38" s="134"/>
      <c r="BA38" s="134"/>
      <c r="BB38" s="135" t="s">
        <v>150</v>
      </c>
      <c r="BC38" s="136"/>
      <c r="BD38" s="136"/>
      <c r="BE38" s="136"/>
      <c r="BF38" s="136"/>
      <c r="BG38" s="136"/>
      <c r="BH38" s="136"/>
      <c r="BI38" s="24"/>
    </row>
    <row r="39" spans="2:61" s="25" customFormat="1" ht="16.5" customHeight="1">
      <c r="B39" s="17"/>
      <c r="C39" s="141" t="s">
        <v>147</v>
      </c>
      <c r="D39" s="142"/>
      <c r="E39" s="142"/>
      <c r="F39" s="142"/>
      <c r="G39" s="142"/>
      <c r="H39" s="142"/>
      <c r="I39" s="142"/>
      <c r="J39" s="142"/>
      <c r="K39" s="143"/>
      <c r="L39" s="144" t="s">
        <v>161</v>
      </c>
      <c r="M39" s="144"/>
      <c r="N39" s="144"/>
      <c r="O39" s="144"/>
      <c r="P39" s="144"/>
      <c r="Q39" s="144"/>
      <c r="R39" s="144"/>
      <c r="S39" s="144"/>
      <c r="T39" s="144"/>
      <c r="U39" s="144" t="s">
        <v>159</v>
      </c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38">
        <v>15</v>
      </c>
      <c r="AH39" s="138"/>
      <c r="AI39" s="138"/>
      <c r="AJ39" s="138"/>
      <c r="AK39" s="138"/>
      <c r="AL39" s="138"/>
      <c r="AM39" s="138"/>
      <c r="AN39" s="138">
        <v>15</v>
      </c>
      <c r="AO39" s="138"/>
      <c r="AP39" s="138"/>
      <c r="AQ39" s="138"/>
      <c r="AR39" s="138"/>
      <c r="AS39" s="138"/>
      <c r="AT39" s="138"/>
      <c r="AU39" s="138">
        <v>15</v>
      </c>
      <c r="AV39" s="138"/>
      <c r="AW39" s="138"/>
      <c r="AX39" s="138"/>
      <c r="AY39" s="138"/>
      <c r="AZ39" s="138"/>
      <c r="BA39" s="138"/>
      <c r="BB39" s="145" t="s">
        <v>150</v>
      </c>
      <c r="BC39" s="146"/>
      <c r="BD39" s="146"/>
      <c r="BE39" s="146"/>
      <c r="BF39" s="146"/>
      <c r="BG39" s="146"/>
      <c r="BH39" s="146"/>
      <c r="BI39" s="24"/>
    </row>
    <row r="40" spans="2:61" s="25" customFormat="1" ht="16.5" customHeight="1">
      <c r="B40" s="17"/>
      <c r="C40" s="44" t="s">
        <v>147</v>
      </c>
      <c r="D40" s="45"/>
      <c r="E40" s="45"/>
      <c r="F40" s="45"/>
      <c r="G40" s="45"/>
      <c r="H40" s="45"/>
      <c r="I40" s="45"/>
      <c r="J40" s="45"/>
      <c r="K40" s="46"/>
      <c r="L40" s="133" t="s">
        <v>161</v>
      </c>
      <c r="M40" s="133"/>
      <c r="N40" s="133"/>
      <c r="O40" s="133"/>
      <c r="P40" s="133"/>
      <c r="Q40" s="133"/>
      <c r="R40" s="133"/>
      <c r="S40" s="133"/>
      <c r="T40" s="133"/>
      <c r="U40" s="133" t="s">
        <v>155</v>
      </c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4">
        <v>15</v>
      </c>
      <c r="AH40" s="134"/>
      <c r="AI40" s="134"/>
      <c r="AJ40" s="134"/>
      <c r="AK40" s="134"/>
      <c r="AL40" s="134"/>
      <c r="AM40" s="134"/>
      <c r="AN40" s="134">
        <v>15</v>
      </c>
      <c r="AO40" s="134"/>
      <c r="AP40" s="134"/>
      <c r="AQ40" s="134"/>
      <c r="AR40" s="134"/>
      <c r="AS40" s="134"/>
      <c r="AT40" s="134"/>
      <c r="AU40" s="134">
        <v>15</v>
      </c>
      <c r="AV40" s="134"/>
      <c r="AW40" s="134"/>
      <c r="AX40" s="134"/>
      <c r="AY40" s="134"/>
      <c r="AZ40" s="134"/>
      <c r="BA40" s="134"/>
      <c r="BB40" s="135" t="s">
        <v>150</v>
      </c>
      <c r="BC40" s="136"/>
      <c r="BD40" s="136"/>
      <c r="BE40" s="136"/>
      <c r="BF40" s="136"/>
      <c r="BG40" s="136"/>
      <c r="BH40" s="136"/>
      <c r="BI40" s="24"/>
    </row>
    <row r="41" spans="2:61" s="25" customFormat="1" ht="16.5" customHeight="1">
      <c r="B41" s="17"/>
      <c r="C41" s="141" t="s">
        <v>147</v>
      </c>
      <c r="D41" s="142"/>
      <c r="E41" s="142"/>
      <c r="F41" s="142"/>
      <c r="G41" s="142"/>
      <c r="H41" s="142"/>
      <c r="I41" s="142"/>
      <c r="J41" s="142"/>
      <c r="K41" s="143"/>
      <c r="L41" s="144" t="s">
        <v>161</v>
      </c>
      <c r="M41" s="144"/>
      <c r="N41" s="144"/>
      <c r="O41" s="144"/>
      <c r="P41" s="144"/>
      <c r="Q41" s="144"/>
      <c r="R41" s="144"/>
      <c r="S41" s="144"/>
      <c r="T41" s="144"/>
      <c r="U41" s="144" t="s">
        <v>163</v>
      </c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38">
        <v>15</v>
      </c>
      <c r="AH41" s="138"/>
      <c r="AI41" s="138"/>
      <c r="AJ41" s="138"/>
      <c r="AK41" s="138"/>
      <c r="AL41" s="138"/>
      <c r="AM41" s="138"/>
      <c r="AN41" s="138">
        <v>15</v>
      </c>
      <c r="AO41" s="138"/>
      <c r="AP41" s="138"/>
      <c r="AQ41" s="138"/>
      <c r="AR41" s="138"/>
      <c r="AS41" s="138"/>
      <c r="AT41" s="138"/>
      <c r="AU41" s="138">
        <v>15</v>
      </c>
      <c r="AV41" s="138"/>
      <c r="AW41" s="138"/>
      <c r="AX41" s="138"/>
      <c r="AY41" s="138"/>
      <c r="AZ41" s="138"/>
      <c r="BA41" s="138"/>
      <c r="BB41" s="145" t="s">
        <v>150</v>
      </c>
      <c r="BC41" s="146"/>
      <c r="BD41" s="146"/>
      <c r="BE41" s="146"/>
      <c r="BF41" s="146"/>
      <c r="BG41" s="146"/>
      <c r="BH41" s="146"/>
      <c r="BI41" s="24"/>
    </row>
    <row r="42" spans="2:61" s="25" customFormat="1" ht="16.5" customHeight="1">
      <c r="B42" s="17"/>
      <c r="C42" s="133" t="s">
        <v>151</v>
      </c>
      <c r="D42" s="133"/>
      <c r="E42" s="133"/>
      <c r="F42" s="133"/>
      <c r="G42" s="133"/>
      <c r="H42" s="133"/>
      <c r="I42" s="133"/>
      <c r="J42" s="133"/>
      <c r="K42" s="133"/>
      <c r="L42" s="133" t="s">
        <v>164</v>
      </c>
      <c r="M42" s="133"/>
      <c r="N42" s="133"/>
      <c r="O42" s="133"/>
      <c r="P42" s="133"/>
      <c r="Q42" s="133"/>
      <c r="R42" s="133"/>
      <c r="S42" s="133"/>
      <c r="T42" s="133"/>
      <c r="U42" s="133" t="s">
        <v>165</v>
      </c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4">
        <v>1</v>
      </c>
      <c r="AH42" s="134"/>
      <c r="AI42" s="134"/>
      <c r="AJ42" s="134"/>
      <c r="AK42" s="134"/>
      <c r="AL42" s="134"/>
      <c r="AM42" s="134"/>
      <c r="AN42" s="134">
        <v>1</v>
      </c>
      <c r="AO42" s="134"/>
      <c r="AP42" s="134"/>
      <c r="AQ42" s="134"/>
      <c r="AR42" s="134"/>
      <c r="AS42" s="134"/>
      <c r="AT42" s="134"/>
      <c r="AU42" s="134">
        <v>1</v>
      </c>
      <c r="AV42" s="134"/>
      <c r="AW42" s="134"/>
      <c r="AX42" s="134"/>
      <c r="AY42" s="134"/>
      <c r="AZ42" s="134"/>
      <c r="BA42" s="134"/>
      <c r="BB42" s="135" t="s">
        <v>150</v>
      </c>
      <c r="BC42" s="136"/>
      <c r="BD42" s="136"/>
      <c r="BE42" s="136"/>
      <c r="BF42" s="136"/>
      <c r="BG42" s="136"/>
      <c r="BH42" s="136"/>
      <c r="BI42" s="24"/>
    </row>
    <row r="43" spans="2:61" s="25" customFormat="1" ht="16.5" customHeight="1">
      <c r="B43" s="17"/>
      <c r="C43" s="41" t="s">
        <v>147</v>
      </c>
      <c r="D43" s="42"/>
      <c r="E43" s="42"/>
      <c r="F43" s="42"/>
      <c r="G43" s="42"/>
      <c r="H43" s="42"/>
      <c r="I43" s="42"/>
      <c r="J43" s="42"/>
      <c r="K43" s="43"/>
      <c r="L43" s="137" t="s">
        <v>161</v>
      </c>
      <c r="M43" s="137"/>
      <c r="N43" s="137"/>
      <c r="O43" s="137"/>
      <c r="P43" s="137"/>
      <c r="Q43" s="137"/>
      <c r="R43" s="137"/>
      <c r="S43" s="137"/>
      <c r="T43" s="137"/>
      <c r="U43" s="137" t="s">
        <v>166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47">
        <v>15</v>
      </c>
      <c r="AH43" s="147"/>
      <c r="AI43" s="147"/>
      <c r="AJ43" s="147"/>
      <c r="AK43" s="147"/>
      <c r="AL43" s="147"/>
      <c r="AM43" s="147"/>
      <c r="AN43" s="147">
        <v>15</v>
      </c>
      <c r="AO43" s="147"/>
      <c r="AP43" s="147"/>
      <c r="AQ43" s="147"/>
      <c r="AR43" s="147"/>
      <c r="AS43" s="147"/>
      <c r="AT43" s="147"/>
      <c r="AU43" s="147">
        <v>15</v>
      </c>
      <c r="AV43" s="147"/>
      <c r="AW43" s="147"/>
      <c r="AX43" s="147"/>
      <c r="AY43" s="147"/>
      <c r="AZ43" s="147"/>
      <c r="BA43" s="147"/>
      <c r="BB43" s="139" t="s">
        <v>150</v>
      </c>
      <c r="BC43" s="140"/>
      <c r="BD43" s="140"/>
      <c r="BE43" s="140"/>
      <c r="BF43" s="140"/>
      <c r="BG43" s="140"/>
      <c r="BH43" s="140"/>
      <c r="BI43" s="24"/>
    </row>
    <row r="44" spans="2:61" s="25" customFormat="1" ht="16.5" customHeight="1">
      <c r="B44" s="17"/>
      <c r="C44" s="133" t="s">
        <v>147</v>
      </c>
      <c r="D44" s="133"/>
      <c r="E44" s="133"/>
      <c r="F44" s="133"/>
      <c r="G44" s="133"/>
      <c r="H44" s="133"/>
      <c r="I44" s="133"/>
      <c r="J44" s="133"/>
      <c r="K44" s="133"/>
      <c r="L44" s="133" t="s">
        <v>167</v>
      </c>
      <c r="M44" s="133"/>
      <c r="N44" s="133"/>
      <c r="O44" s="133"/>
      <c r="P44" s="133"/>
      <c r="Q44" s="133"/>
      <c r="R44" s="133"/>
      <c r="S44" s="133"/>
      <c r="T44" s="133"/>
      <c r="U44" s="133" t="s">
        <v>168</v>
      </c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4">
        <v>15</v>
      </c>
      <c r="AH44" s="134"/>
      <c r="AI44" s="134"/>
      <c r="AJ44" s="134"/>
      <c r="AK44" s="134"/>
      <c r="AL44" s="134"/>
      <c r="AM44" s="134"/>
      <c r="AN44" s="134">
        <v>15</v>
      </c>
      <c r="AO44" s="134"/>
      <c r="AP44" s="134"/>
      <c r="AQ44" s="134"/>
      <c r="AR44" s="134"/>
      <c r="AS44" s="134"/>
      <c r="AT44" s="134"/>
      <c r="AU44" s="134">
        <v>15</v>
      </c>
      <c r="AV44" s="134"/>
      <c r="AW44" s="134"/>
      <c r="AX44" s="134"/>
      <c r="AY44" s="134"/>
      <c r="AZ44" s="134"/>
      <c r="BA44" s="134"/>
      <c r="BB44" s="135" t="s">
        <v>150</v>
      </c>
      <c r="BC44" s="136"/>
      <c r="BD44" s="136"/>
      <c r="BE44" s="136"/>
      <c r="BF44" s="136"/>
      <c r="BG44" s="136"/>
      <c r="BH44" s="136"/>
      <c r="BI44" s="24"/>
    </row>
    <row r="45" spans="2:61" s="25" customFormat="1" ht="16.5" customHeight="1">
      <c r="B45" s="17"/>
      <c r="C45" s="144" t="s">
        <v>147</v>
      </c>
      <c r="D45" s="144"/>
      <c r="E45" s="144"/>
      <c r="F45" s="144"/>
      <c r="G45" s="144"/>
      <c r="H45" s="144"/>
      <c r="I45" s="144"/>
      <c r="J45" s="144"/>
      <c r="K45" s="144"/>
      <c r="L45" s="144" t="s">
        <v>167</v>
      </c>
      <c r="M45" s="144"/>
      <c r="N45" s="144"/>
      <c r="O45" s="144"/>
      <c r="P45" s="144"/>
      <c r="Q45" s="144"/>
      <c r="R45" s="144"/>
      <c r="S45" s="144"/>
      <c r="T45" s="144"/>
      <c r="U45" s="144" t="s">
        <v>169</v>
      </c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38">
        <v>15</v>
      </c>
      <c r="AH45" s="138"/>
      <c r="AI45" s="138"/>
      <c r="AJ45" s="138"/>
      <c r="AK45" s="138"/>
      <c r="AL45" s="138"/>
      <c r="AM45" s="138"/>
      <c r="AN45" s="138">
        <v>15</v>
      </c>
      <c r="AO45" s="138"/>
      <c r="AP45" s="138"/>
      <c r="AQ45" s="138"/>
      <c r="AR45" s="138"/>
      <c r="AS45" s="138"/>
      <c r="AT45" s="138"/>
      <c r="AU45" s="138">
        <v>15</v>
      </c>
      <c r="AV45" s="138"/>
      <c r="AW45" s="138"/>
      <c r="AX45" s="138"/>
      <c r="AY45" s="138"/>
      <c r="AZ45" s="138"/>
      <c r="BA45" s="138"/>
      <c r="BB45" s="145" t="s">
        <v>150</v>
      </c>
      <c r="BC45" s="146"/>
      <c r="BD45" s="146"/>
      <c r="BE45" s="146"/>
      <c r="BF45" s="146"/>
      <c r="BG45" s="146"/>
      <c r="BH45" s="146"/>
      <c r="BI45" s="24"/>
    </row>
    <row r="46" spans="2:61" s="25" customFormat="1" ht="16.5" customHeight="1">
      <c r="B46" s="17"/>
      <c r="C46" s="133" t="s">
        <v>147</v>
      </c>
      <c r="D46" s="133"/>
      <c r="E46" s="133"/>
      <c r="F46" s="133"/>
      <c r="G46" s="133"/>
      <c r="H46" s="133"/>
      <c r="I46" s="133"/>
      <c r="J46" s="133"/>
      <c r="K46" s="133"/>
      <c r="L46" s="133" t="s">
        <v>167</v>
      </c>
      <c r="M46" s="133"/>
      <c r="N46" s="133"/>
      <c r="O46" s="133"/>
      <c r="P46" s="133"/>
      <c r="Q46" s="133"/>
      <c r="R46" s="133"/>
      <c r="S46" s="133"/>
      <c r="T46" s="133"/>
      <c r="U46" s="133" t="s">
        <v>170</v>
      </c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4">
        <v>15</v>
      </c>
      <c r="AH46" s="134"/>
      <c r="AI46" s="134"/>
      <c r="AJ46" s="134"/>
      <c r="AK46" s="134"/>
      <c r="AL46" s="134"/>
      <c r="AM46" s="134"/>
      <c r="AN46" s="134">
        <v>15</v>
      </c>
      <c r="AO46" s="134"/>
      <c r="AP46" s="134"/>
      <c r="AQ46" s="134"/>
      <c r="AR46" s="134"/>
      <c r="AS46" s="134"/>
      <c r="AT46" s="134"/>
      <c r="AU46" s="134">
        <v>15</v>
      </c>
      <c r="AV46" s="134"/>
      <c r="AW46" s="134"/>
      <c r="AX46" s="134"/>
      <c r="AY46" s="134"/>
      <c r="AZ46" s="134"/>
      <c r="BA46" s="134"/>
      <c r="BB46" s="135" t="s">
        <v>150</v>
      </c>
      <c r="BC46" s="136"/>
      <c r="BD46" s="136"/>
      <c r="BE46" s="136"/>
      <c r="BF46" s="136"/>
      <c r="BG46" s="136"/>
      <c r="BH46" s="136"/>
      <c r="BI46" s="24"/>
    </row>
    <row r="47" spans="2:61" s="25" customFormat="1" ht="16.5" customHeight="1">
      <c r="B47" s="17"/>
      <c r="C47" s="144" t="s">
        <v>147</v>
      </c>
      <c r="D47" s="144"/>
      <c r="E47" s="144"/>
      <c r="F47" s="144"/>
      <c r="G47" s="144"/>
      <c r="H47" s="144"/>
      <c r="I47" s="144"/>
      <c r="J47" s="144"/>
      <c r="K47" s="144"/>
      <c r="L47" s="144" t="s">
        <v>167</v>
      </c>
      <c r="M47" s="144"/>
      <c r="N47" s="144"/>
      <c r="O47" s="144"/>
      <c r="P47" s="144"/>
      <c r="Q47" s="144"/>
      <c r="R47" s="144"/>
      <c r="S47" s="144"/>
      <c r="T47" s="144"/>
      <c r="U47" s="144" t="s">
        <v>165</v>
      </c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38">
        <v>15</v>
      </c>
      <c r="AH47" s="138"/>
      <c r="AI47" s="138"/>
      <c r="AJ47" s="138"/>
      <c r="AK47" s="138"/>
      <c r="AL47" s="138"/>
      <c r="AM47" s="138"/>
      <c r="AN47" s="138">
        <v>15</v>
      </c>
      <c r="AO47" s="138"/>
      <c r="AP47" s="138"/>
      <c r="AQ47" s="138"/>
      <c r="AR47" s="138"/>
      <c r="AS47" s="138"/>
      <c r="AT47" s="138"/>
      <c r="AU47" s="138">
        <v>15</v>
      </c>
      <c r="AV47" s="138"/>
      <c r="AW47" s="138"/>
      <c r="AX47" s="138"/>
      <c r="AY47" s="138"/>
      <c r="AZ47" s="138"/>
      <c r="BA47" s="138"/>
      <c r="BB47" s="145" t="s">
        <v>150</v>
      </c>
      <c r="BC47" s="146"/>
      <c r="BD47" s="146"/>
      <c r="BE47" s="146"/>
      <c r="BF47" s="146"/>
      <c r="BG47" s="146"/>
      <c r="BH47" s="146"/>
      <c r="BI47" s="24"/>
    </row>
    <row r="48" spans="2:61" s="25" customFormat="1" ht="16.5" customHeight="1">
      <c r="B48" s="17"/>
      <c r="C48" s="148" t="s">
        <v>171</v>
      </c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24"/>
    </row>
    <row r="49" spans="2:61" s="25" customFormat="1" ht="16.5" customHeight="1">
      <c r="B49" s="17"/>
      <c r="C49" s="124" t="s">
        <v>138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5" t="s">
        <v>172</v>
      </c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24"/>
    </row>
    <row r="50" spans="2:61" s="25" customFormat="1" ht="16.5" customHeight="1">
      <c r="B50" s="17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24"/>
    </row>
    <row r="51" spans="2:61" s="25" customFormat="1" ht="16.5" customHeight="1">
      <c r="B51" s="17"/>
      <c r="C51" s="133" t="s">
        <v>151</v>
      </c>
      <c r="D51" s="133"/>
      <c r="E51" s="133"/>
      <c r="F51" s="133"/>
      <c r="G51" s="133"/>
      <c r="H51" s="133"/>
      <c r="I51" s="133"/>
      <c r="J51" s="133"/>
      <c r="K51" s="133"/>
      <c r="L51" s="133" t="s">
        <v>173</v>
      </c>
      <c r="M51" s="133"/>
      <c r="N51" s="133"/>
      <c r="O51" s="133"/>
      <c r="P51" s="133"/>
      <c r="Q51" s="133"/>
      <c r="R51" s="133"/>
      <c r="S51" s="133"/>
      <c r="T51" s="133"/>
      <c r="U51" s="133" t="s">
        <v>160</v>
      </c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4">
        <v>30</v>
      </c>
      <c r="AH51" s="134"/>
      <c r="AI51" s="134"/>
      <c r="AJ51" s="134"/>
      <c r="AK51" s="134"/>
      <c r="AL51" s="134"/>
      <c r="AM51" s="134"/>
      <c r="AN51" s="134">
        <v>10</v>
      </c>
      <c r="AO51" s="134"/>
      <c r="AP51" s="134"/>
      <c r="AQ51" s="134"/>
      <c r="AR51" s="134"/>
      <c r="AS51" s="134"/>
      <c r="AT51" s="134"/>
      <c r="AU51" s="134">
        <v>10</v>
      </c>
      <c r="AV51" s="134"/>
      <c r="AW51" s="134"/>
      <c r="AX51" s="134"/>
      <c r="AY51" s="134"/>
      <c r="AZ51" s="134"/>
      <c r="BA51" s="134"/>
      <c r="BB51" s="135" t="s">
        <v>150</v>
      </c>
      <c r="BC51" s="136"/>
      <c r="BD51" s="136"/>
      <c r="BE51" s="136"/>
      <c r="BF51" s="136"/>
      <c r="BG51" s="136"/>
      <c r="BH51" s="136"/>
      <c r="BI51" s="24"/>
    </row>
    <row r="52" spans="2:61" s="25" customFormat="1" ht="16.5" customHeight="1">
      <c r="B52" s="17"/>
      <c r="C52" s="137" t="s">
        <v>174</v>
      </c>
      <c r="D52" s="137"/>
      <c r="E52" s="137"/>
      <c r="F52" s="137"/>
      <c r="G52" s="137"/>
      <c r="H52" s="137"/>
      <c r="I52" s="137"/>
      <c r="J52" s="137"/>
      <c r="K52" s="137"/>
      <c r="L52" s="137" t="s">
        <v>173</v>
      </c>
      <c r="M52" s="137"/>
      <c r="N52" s="137"/>
      <c r="O52" s="137"/>
      <c r="P52" s="137"/>
      <c r="Q52" s="137"/>
      <c r="R52" s="137"/>
      <c r="S52" s="137"/>
      <c r="T52" s="137"/>
      <c r="U52" s="137" t="s">
        <v>175</v>
      </c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8">
        <v>200</v>
      </c>
      <c r="AH52" s="138"/>
      <c r="AI52" s="138"/>
      <c r="AJ52" s="138"/>
      <c r="AK52" s="138"/>
      <c r="AL52" s="138"/>
      <c r="AM52" s="138"/>
      <c r="AN52" s="138">
        <v>200</v>
      </c>
      <c r="AO52" s="138"/>
      <c r="AP52" s="138"/>
      <c r="AQ52" s="138"/>
      <c r="AR52" s="138"/>
      <c r="AS52" s="138"/>
      <c r="AT52" s="138"/>
      <c r="AU52" s="138">
        <v>200</v>
      </c>
      <c r="AV52" s="138"/>
      <c r="AW52" s="138"/>
      <c r="AX52" s="138"/>
      <c r="AY52" s="138"/>
      <c r="AZ52" s="138"/>
      <c r="BA52" s="138"/>
      <c r="BB52" s="139" t="s">
        <v>150</v>
      </c>
      <c r="BC52" s="140"/>
      <c r="BD52" s="140"/>
      <c r="BE52" s="140"/>
      <c r="BF52" s="140"/>
      <c r="BG52" s="140"/>
      <c r="BH52" s="140"/>
      <c r="BI52" s="24"/>
    </row>
    <row r="53" spans="2:61" s="25" customFormat="1" ht="16.5" customHeight="1">
      <c r="B53" s="17"/>
      <c r="C53" s="133" t="s">
        <v>174</v>
      </c>
      <c r="D53" s="133"/>
      <c r="E53" s="133"/>
      <c r="F53" s="133"/>
      <c r="G53" s="133"/>
      <c r="H53" s="133"/>
      <c r="I53" s="133"/>
      <c r="J53" s="133"/>
      <c r="K53" s="133"/>
      <c r="L53" s="133" t="s">
        <v>173</v>
      </c>
      <c r="M53" s="133"/>
      <c r="N53" s="133"/>
      <c r="O53" s="133"/>
      <c r="P53" s="133"/>
      <c r="Q53" s="133"/>
      <c r="R53" s="133"/>
      <c r="S53" s="133"/>
      <c r="T53" s="133"/>
      <c r="U53" s="133" t="s">
        <v>176</v>
      </c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4">
        <v>200</v>
      </c>
      <c r="AH53" s="134"/>
      <c r="AI53" s="134"/>
      <c r="AJ53" s="134"/>
      <c r="AK53" s="134"/>
      <c r="AL53" s="134"/>
      <c r="AM53" s="134"/>
      <c r="AN53" s="134">
        <v>200</v>
      </c>
      <c r="AO53" s="134"/>
      <c r="AP53" s="134"/>
      <c r="AQ53" s="134"/>
      <c r="AR53" s="134"/>
      <c r="AS53" s="134"/>
      <c r="AT53" s="134"/>
      <c r="AU53" s="134">
        <v>200</v>
      </c>
      <c r="AV53" s="134"/>
      <c r="AW53" s="134"/>
      <c r="AX53" s="134"/>
      <c r="AY53" s="134"/>
      <c r="AZ53" s="134"/>
      <c r="BA53" s="134"/>
      <c r="BB53" s="135" t="s">
        <v>150</v>
      </c>
      <c r="BC53" s="136"/>
      <c r="BD53" s="136"/>
      <c r="BE53" s="136"/>
      <c r="BF53" s="136"/>
      <c r="BG53" s="136"/>
      <c r="BH53" s="136"/>
      <c r="BI53" s="24"/>
    </row>
    <row r="54" spans="2:61" s="25" customFormat="1" ht="16.5" customHeight="1">
      <c r="B54" s="17"/>
      <c r="C54" s="137" t="s">
        <v>174</v>
      </c>
      <c r="D54" s="137"/>
      <c r="E54" s="137"/>
      <c r="F54" s="137"/>
      <c r="G54" s="137"/>
      <c r="H54" s="137"/>
      <c r="I54" s="137"/>
      <c r="J54" s="137"/>
      <c r="K54" s="137"/>
      <c r="L54" s="137" t="s">
        <v>173</v>
      </c>
      <c r="M54" s="137"/>
      <c r="N54" s="137"/>
      <c r="O54" s="137"/>
      <c r="P54" s="137"/>
      <c r="Q54" s="137"/>
      <c r="R54" s="137"/>
      <c r="S54" s="137"/>
      <c r="T54" s="137"/>
      <c r="U54" s="137" t="s">
        <v>177</v>
      </c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8">
        <v>200</v>
      </c>
      <c r="AH54" s="138"/>
      <c r="AI54" s="138"/>
      <c r="AJ54" s="138"/>
      <c r="AK54" s="138"/>
      <c r="AL54" s="138"/>
      <c r="AM54" s="138"/>
      <c r="AN54" s="138">
        <v>200</v>
      </c>
      <c r="AO54" s="138"/>
      <c r="AP54" s="138"/>
      <c r="AQ54" s="138"/>
      <c r="AR54" s="138"/>
      <c r="AS54" s="138"/>
      <c r="AT54" s="138"/>
      <c r="AU54" s="138">
        <v>200</v>
      </c>
      <c r="AV54" s="138"/>
      <c r="AW54" s="138"/>
      <c r="AX54" s="138"/>
      <c r="AY54" s="138"/>
      <c r="AZ54" s="138"/>
      <c r="BA54" s="138"/>
      <c r="BB54" s="139" t="s">
        <v>150</v>
      </c>
      <c r="BC54" s="140"/>
      <c r="BD54" s="140"/>
      <c r="BE54" s="140"/>
      <c r="BF54" s="140"/>
      <c r="BG54" s="140"/>
      <c r="BH54" s="140"/>
      <c r="BI54" s="24"/>
    </row>
    <row r="55" spans="2:61" s="25" customFormat="1" ht="16.5" customHeight="1">
      <c r="B55" s="17"/>
      <c r="C55" s="148" t="s">
        <v>171</v>
      </c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24"/>
    </row>
    <row r="56" spans="2:61" s="25" customFormat="1" ht="16.5" customHeight="1">
      <c r="B56" s="17"/>
      <c r="C56" s="124" t="s">
        <v>178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5" t="s">
        <v>172</v>
      </c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24"/>
    </row>
    <row r="57" spans="2:61" s="25" customFormat="1" ht="16.5" customHeight="1">
      <c r="B57" s="17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24"/>
    </row>
    <row r="58" spans="2:61" s="25" customFormat="1" ht="16.5" customHeight="1">
      <c r="B58" s="17"/>
      <c r="C58" s="137" t="s">
        <v>179</v>
      </c>
      <c r="D58" s="137"/>
      <c r="E58" s="137"/>
      <c r="F58" s="137"/>
      <c r="G58" s="137"/>
      <c r="H58" s="137"/>
      <c r="I58" s="137"/>
      <c r="J58" s="137"/>
      <c r="K58" s="137"/>
      <c r="L58" s="137" t="s">
        <v>178</v>
      </c>
      <c r="M58" s="137"/>
      <c r="N58" s="137"/>
      <c r="O58" s="137"/>
      <c r="P58" s="137"/>
      <c r="Q58" s="137"/>
      <c r="R58" s="137"/>
      <c r="S58" s="137"/>
      <c r="T58" s="137"/>
      <c r="U58" s="137" t="s">
        <v>180</v>
      </c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8">
        <v>450</v>
      </c>
      <c r="AH58" s="138"/>
      <c r="AI58" s="138"/>
      <c r="AJ58" s="138"/>
      <c r="AK58" s="138"/>
      <c r="AL58" s="138"/>
      <c r="AM58" s="138"/>
      <c r="AN58" s="138">
        <v>450</v>
      </c>
      <c r="AO58" s="138"/>
      <c r="AP58" s="138"/>
      <c r="AQ58" s="138"/>
      <c r="AR58" s="138"/>
      <c r="AS58" s="138"/>
      <c r="AT58" s="138"/>
      <c r="AU58" s="138">
        <v>450</v>
      </c>
      <c r="AV58" s="138"/>
      <c r="AW58" s="138"/>
      <c r="AX58" s="138"/>
      <c r="AY58" s="138"/>
      <c r="AZ58" s="138"/>
      <c r="BA58" s="138"/>
      <c r="BB58" s="139" t="s">
        <v>181</v>
      </c>
      <c r="BC58" s="140"/>
      <c r="BD58" s="140"/>
      <c r="BE58" s="140"/>
      <c r="BF58" s="140"/>
      <c r="BG58" s="140"/>
      <c r="BH58" s="140"/>
      <c r="BI58" s="24"/>
    </row>
    <row r="59" spans="2:61" s="25" customFormat="1" ht="16.5" customHeight="1">
      <c r="B59" s="17"/>
      <c r="C59" s="133" t="s">
        <v>179</v>
      </c>
      <c r="D59" s="133"/>
      <c r="E59" s="133"/>
      <c r="F59" s="133"/>
      <c r="G59" s="133"/>
      <c r="H59" s="133"/>
      <c r="I59" s="133"/>
      <c r="J59" s="133"/>
      <c r="K59" s="133"/>
      <c r="L59" s="133" t="s">
        <v>178</v>
      </c>
      <c r="M59" s="133"/>
      <c r="N59" s="133"/>
      <c r="O59" s="133"/>
      <c r="P59" s="133"/>
      <c r="Q59" s="133"/>
      <c r="R59" s="133"/>
      <c r="S59" s="133"/>
      <c r="T59" s="133"/>
      <c r="U59" s="133" t="s">
        <v>182</v>
      </c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4">
        <v>450</v>
      </c>
      <c r="AH59" s="134"/>
      <c r="AI59" s="134"/>
      <c r="AJ59" s="134"/>
      <c r="AK59" s="134"/>
      <c r="AL59" s="134"/>
      <c r="AM59" s="134"/>
      <c r="AN59" s="134">
        <v>450</v>
      </c>
      <c r="AO59" s="134"/>
      <c r="AP59" s="134"/>
      <c r="AQ59" s="134"/>
      <c r="AR59" s="134"/>
      <c r="AS59" s="134"/>
      <c r="AT59" s="134"/>
      <c r="AU59" s="134">
        <v>450</v>
      </c>
      <c r="AV59" s="134"/>
      <c r="AW59" s="134"/>
      <c r="AX59" s="134"/>
      <c r="AY59" s="134"/>
      <c r="AZ59" s="134"/>
      <c r="BA59" s="134"/>
      <c r="BB59" s="135" t="s">
        <v>181</v>
      </c>
      <c r="BC59" s="136"/>
      <c r="BD59" s="136"/>
      <c r="BE59" s="136"/>
      <c r="BF59" s="136"/>
      <c r="BG59" s="136"/>
      <c r="BH59" s="136"/>
      <c r="BI59" s="24"/>
    </row>
    <row r="60" spans="2:61" s="25" customFormat="1" ht="16.5" customHeight="1">
      <c r="B60" s="17"/>
      <c r="C60" s="137" t="s">
        <v>179</v>
      </c>
      <c r="D60" s="137"/>
      <c r="E60" s="137"/>
      <c r="F60" s="137"/>
      <c r="G60" s="137"/>
      <c r="H60" s="137"/>
      <c r="I60" s="137"/>
      <c r="J60" s="137"/>
      <c r="K60" s="137"/>
      <c r="L60" s="137" t="s">
        <v>178</v>
      </c>
      <c r="M60" s="137"/>
      <c r="N60" s="137"/>
      <c r="O60" s="137"/>
      <c r="P60" s="137"/>
      <c r="Q60" s="137"/>
      <c r="R60" s="137"/>
      <c r="S60" s="137"/>
      <c r="T60" s="137"/>
      <c r="U60" s="137" t="s">
        <v>183</v>
      </c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8">
        <v>450</v>
      </c>
      <c r="AH60" s="138"/>
      <c r="AI60" s="138"/>
      <c r="AJ60" s="138"/>
      <c r="AK60" s="138"/>
      <c r="AL60" s="138"/>
      <c r="AM60" s="138"/>
      <c r="AN60" s="138">
        <v>450</v>
      </c>
      <c r="AO60" s="138"/>
      <c r="AP60" s="138"/>
      <c r="AQ60" s="138"/>
      <c r="AR60" s="138"/>
      <c r="AS60" s="138"/>
      <c r="AT60" s="138"/>
      <c r="AU60" s="138">
        <v>450</v>
      </c>
      <c r="AV60" s="138"/>
      <c r="AW60" s="138"/>
      <c r="AX60" s="138"/>
      <c r="AY60" s="138"/>
      <c r="AZ60" s="138"/>
      <c r="BA60" s="138"/>
      <c r="BB60" s="139" t="s">
        <v>181</v>
      </c>
      <c r="BC60" s="140"/>
      <c r="BD60" s="140"/>
      <c r="BE60" s="140"/>
      <c r="BF60" s="140"/>
      <c r="BG60" s="140"/>
      <c r="BH60" s="140"/>
      <c r="BI60" s="24"/>
    </row>
    <row r="61" spans="2:61" s="25" customFormat="1" ht="16.5" customHeight="1">
      <c r="B61" s="17"/>
      <c r="C61" s="133" t="s">
        <v>179</v>
      </c>
      <c r="D61" s="133"/>
      <c r="E61" s="133"/>
      <c r="F61" s="133"/>
      <c r="G61" s="133"/>
      <c r="H61" s="133"/>
      <c r="I61" s="133"/>
      <c r="J61" s="133"/>
      <c r="K61" s="133"/>
      <c r="L61" s="133" t="s">
        <v>178</v>
      </c>
      <c r="M61" s="133"/>
      <c r="N61" s="133"/>
      <c r="O61" s="133"/>
      <c r="P61" s="133"/>
      <c r="Q61" s="133"/>
      <c r="R61" s="133"/>
      <c r="S61" s="133"/>
      <c r="T61" s="133"/>
      <c r="U61" s="133" t="s">
        <v>184</v>
      </c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4">
        <v>450</v>
      </c>
      <c r="AH61" s="134"/>
      <c r="AI61" s="134"/>
      <c r="AJ61" s="134"/>
      <c r="AK61" s="134"/>
      <c r="AL61" s="134"/>
      <c r="AM61" s="134"/>
      <c r="AN61" s="134">
        <v>450</v>
      </c>
      <c r="AO61" s="134"/>
      <c r="AP61" s="134"/>
      <c r="AQ61" s="134"/>
      <c r="AR61" s="134"/>
      <c r="AS61" s="134"/>
      <c r="AT61" s="134"/>
      <c r="AU61" s="134">
        <v>450</v>
      </c>
      <c r="AV61" s="134"/>
      <c r="AW61" s="134"/>
      <c r="AX61" s="134"/>
      <c r="AY61" s="134"/>
      <c r="AZ61" s="134"/>
      <c r="BA61" s="134"/>
      <c r="BB61" s="135" t="s">
        <v>181</v>
      </c>
      <c r="BC61" s="136"/>
      <c r="BD61" s="136"/>
      <c r="BE61" s="136"/>
      <c r="BF61" s="136"/>
      <c r="BG61" s="136"/>
      <c r="BH61" s="136"/>
      <c r="BI61" s="24"/>
    </row>
    <row r="62" spans="2:61" s="25" customFormat="1" ht="16.5" customHeight="1">
      <c r="B62" s="17"/>
      <c r="C62" s="137" t="s">
        <v>179</v>
      </c>
      <c r="D62" s="137"/>
      <c r="E62" s="137"/>
      <c r="F62" s="137"/>
      <c r="G62" s="137"/>
      <c r="H62" s="137"/>
      <c r="I62" s="137"/>
      <c r="J62" s="137"/>
      <c r="K62" s="137"/>
      <c r="L62" s="137" t="s">
        <v>178</v>
      </c>
      <c r="M62" s="137"/>
      <c r="N62" s="137"/>
      <c r="O62" s="137"/>
      <c r="P62" s="137"/>
      <c r="Q62" s="137"/>
      <c r="R62" s="137"/>
      <c r="S62" s="137"/>
      <c r="T62" s="137"/>
      <c r="U62" s="137" t="s">
        <v>185</v>
      </c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47">
        <v>450</v>
      </c>
      <c r="AH62" s="147"/>
      <c r="AI62" s="147"/>
      <c r="AJ62" s="147"/>
      <c r="AK62" s="147"/>
      <c r="AL62" s="147"/>
      <c r="AM62" s="147"/>
      <c r="AN62" s="147">
        <v>450</v>
      </c>
      <c r="AO62" s="147"/>
      <c r="AP62" s="147"/>
      <c r="AQ62" s="147"/>
      <c r="AR62" s="147"/>
      <c r="AS62" s="147"/>
      <c r="AT62" s="147"/>
      <c r="AU62" s="147">
        <v>450</v>
      </c>
      <c r="AV62" s="147"/>
      <c r="AW62" s="147"/>
      <c r="AX62" s="147"/>
      <c r="AY62" s="147"/>
      <c r="AZ62" s="147"/>
      <c r="BA62" s="147"/>
      <c r="BB62" s="139" t="s">
        <v>181</v>
      </c>
      <c r="BC62" s="140"/>
      <c r="BD62" s="140"/>
      <c r="BE62" s="140"/>
      <c r="BF62" s="140"/>
      <c r="BG62" s="140"/>
      <c r="BH62" s="140"/>
      <c r="BI62" s="24"/>
    </row>
    <row r="63" spans="2:61" s="25" customFormat="1" ht="16.5" customHeight="1">
      <c r="B63" s="17"/>
      <c r="C63" s="133" t="s">
        <v>179</v>
      </c>
      <c r="D63" s="133"/>
      <c r="E63" s="133"/>
      <c r="F63" s="133"/>
      <c r="G63" s="133"/>
      <c r="H63" s="133"/>
      <c r="I63" s="133"/>
      <c r="J63" s="133"/>
      <c r="K63" s="133"/>
      <c r="L63" s="133" t="s">
        <v>178</v>
      </c>
      <c r="M63" s="133"/>
      <c r="N63" s="133"/>
      <c r="O63" s="133"/>
      <c r="P63" s="133"/>
      <c r="Q63" s="133"/>
      <c r="R63" s="133"/>
      <c r="S63" s="133"/>
      <c r="T63" s="133"/>
      <c r="U63" s="133" t="s">
        <v>186</v>
      </c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4">
        <v>550</v>
      </c>
      <c r="AH63" s="134"/>
      <c r="AI63" s="134"/>
      <c r="AJ63" s="134"/>
      <c r="AK63" s="134"/>
      <c r="AL63" s="134"/>
      <c r="AM63" s="134"/>
      <c r="AN63" s="134">
        <v>550</v>
      </c>
      <c r="AO63" s="134"/>
      <c r="AP63" s="134"/>
      <c r="AQ63" s="134"/>
      <c r="AR63" s="134"/>
      <c r="AS63" s="134"/>
      <c r="AT63" s="134"/>
      <c r="AU63" s="134">
        <v>550</v>
      </c>
      <c r="AV63" s="134"/>
      <c r="AW63" s="134"/>
      <c r="AX63" s="134"/>
      <c r="AY63" s="134"/>
      <c r="AZ63" s="134"/>
      <c r="BA63" s="134"/>
      <c r="BB63" s="135" t="s">
        <v>181</v>
      </c>
      <c r="BC63" s="136"/>
      <c r="BD63" s="136"/>
      <c r="BE63" s="136"/>
      <c r="BF63" s="136"/>
      <c r="BG63" s="136"/>
      <c r="BH63" s="136"/>
      <c r="BI63" s="24"/>
    </row>
    <row r="64" spans="2:61" s="25" customFormat="1" ht="16.5" customHeight="1">
      <c r="B64" s="17"/>
      <c r="C64" s="137" t="s">
        <v>179</v>
      </c>
      <c r="D64" s="137"/>
      <c r="E64" s="137"/>
      <c r="F64" s="137"/>
      <c r="G64" s="137"/>
      <c r="H64" s="137"/>
      <c r="I64" s="137"/>
      <c r="J64" s="137"/>
      <c r="K64" s="137"/>
      <c r="L64" s="137" t="s">
        <v>187</v>
      </c>
      <c r="M64" s="137"/>
      <c r="N64" s="137"/>
      <c r="O64" s="137"/>
      <c r="P64" s="137"/>
      <c r="Q64" s="137"/>
      <c r="R64" s="137"/>
      <c r="S64" s="137"/>
      <c r="T64" s="137"/>
      <c r="U64" s="137" t="s">
        <v>188</v>
      </c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8">
        <v>800</v>
      </c>
      <c r="AH64" s="138"/>
      <c r="AI64" s="138"/>
      <c r="AJ64" s="138"/>
      <c r="AK64" s="138"/>
      <c r="AL64" s="138"/>
      <c r="AM64" s="138"/>
      <c r="AN64" s="138">
        <v>1200</v>
      </c>
      <c r="AO64" s="138"/>
      <c r="AP64" s="138"/>
      <c r="AQ64" s="138"/>
      <c r="AR64" s="138"/>
      <c r="AS64" s="138"/>
      <c r="AT64" s="138"/>
      <c r="AU64" s="138">
        <v>1200</v>
      </c>
      <c r="AV64" s="138"/>
      <c r="AW64" s="138"/>
      <c r="AX64" s="138"/>
      <c r="AY64" s="138"/>
      <c r="AZ64" s="138"/>
      <c r="BA64" s="138"/>
      <c r="BB64" s="139" t="s">
        <v>181</v>
      </c>
      <c r="BC64" s="140"/>
      <c r="BD64" s="140"/>
      <c r="BE64" s="140"/>
      <c r="BF64" s="140"/>
      <c r="BG64" s="140"/>
      <c r="BH64" s="140"/>
      <c r="BI64" s="24"/>
    </row>
    <row r="65" spans="2:61" s="25" customFormat="1" ht="16.5" customHeight="1">
      <c r="B65" s="17"/>
      <c r="C65" s="133" t="s">
        <v>179</v>
      </c>
      <c r="D65" s="133"/>
      <c r="E65" s="133"/>
      <c r="F65" s="133"/>
      <c r="G65" s="133"/>
      <c r="H65" s="133"/>
      <c r="I65" s="133"/>
      <c r="J65" s="133"/>
      <c r="K65" s="133"/>
      <c r="L65" s="133" t="s">
        <v>187</v>
      </c>
      <c r="M65" s="133"/>
      <c r="N65" s="133"/>
      <c r="O65" s="133"/>
      <c r="P65" s="133"/>
      <c r="Q65" s="133"/>
      <c r="R65" s="133"/>
      <c r="S65" s="133"/>
      <c r="T65" s="133"/>
      <c r="U65" s="133" t="s">
        <v>189</v>
      </c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4">
        <v>850</v>
      </c>
      <c r="AH65" s="134"/>
      <c r="AI65" s="134"/>
      <c r="AJ65" s="134"/>
      <c r="AK65" s="134"/>
      <c r="AL65" s="134"/>
      <c r="AM65" s="134"/>
      <c r="AN65" s="134">
        <v>1150</v>
      </c>
      <c r="AO65" s="134"/>
      <c r="AP65" s="134"/>
      <c r="AQ65" s="134"/>
      <c r="AR65" s="134"/>
      <c r="AS65" s="134"/>
      <c r="AT65" s="134"/>
      <c r="AU65" s="134">
        <v>1150</v>
      </c>
      <c r="AV65" s="134"/>
      <c r="AW65" s="134"/>
      <c r="AX65" s="134"/>
      <c r="AY65" s="134"/>
      <c r="AZ65" s="134"/>
      <c r="BA65" s="134"/>
      <c r="BB65" s="135" t="s">
        <v>181</v>
      </c>
      <c r="BC65" s="136"/>
      <c r="BD65" s="136"/>
      <c r="BE65" s="136"/>
      <c r="BF65" s="136"/>
      <c r="BG65" s="136"/>
      <c r="BH65" s="136"/>
      <c r="BI65" s="24"/>
    </row>
    <row r="66" spans="2:61" s="25" customFormat="1" ht="16.5" customHeight="1">
      <c r="B66" s="17"/>
      <c r="C66" s="137" t="s">
        <v>179</v>
      </c>
      <c r="D66" s="137"/>
      <c r="E66" s="137"/>
      <c r="F66" s="137"/>
      <c r="G66" s="137"/>
      <c r="H66" s="137"/>
      <c r="I66" s="137"/>
      <c r="J66" s="137"/>
      <c r="K66" s="137"/>
      <c r="L66" s="137" t="s">
        <v>187</v>
      </c>
      <c r="M66" s="137"/>
      <c r="N66" s="137"/>
      <c r="O66" s="137"/>
      <c r="P66" s="137"/>
      <c r="Q66" s="137"/>
      <c r="R66" s="137"/>
      <c r="S66" s="137"/>
      <c r="T66" s="137"/>
      <c r="U66" s="137" t="s">
        <v>190</v>
      </c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8">
        <v>750</v>
      </c>
      <c r="AH66" s="138"/>
      <c r="AI66" s="138"/>
      <c r="AJ66" s="138"/>
      <c r="AK66" s="138"/>
      <c r="AL66" s="138"/>
      <c r="AM66" s="138"/>
      <c r="AN66" s="138">
        <v>750</v>
      </c>
      <c r="AO66" s="138"/>
      <c r="AP66" s="138"/>
      <c r="AQ66" s="138"/>
      <c r="AR66" s="138"/>
      <c r="AS66" s="138"/>
      <c r="AT66" s="138"/>
      <c r="AU66" s="138">
        <v>750</v>
      </c>
      <c r="AV66" s="138"/>
      <c r="AW66" s="138"/>
      <c r="AX66" s="138"/>
      <c r="AY66" s="138"/>
      <c r="AZ66" s="138"/>
      <c r="BA66" s="138"/>
      <c r="BB66" s="139" t="s">
        <v>181</v>
      </c>
      <c r="BC66" s="140"/>
      <c r="BD66" s="140"/>
      <c r="BE66" s="140"/>
      <c r="BF66" s="140"/>
      <c r="BG66" s="140"/>
      <c r="BH66" s="140"/>
      <c r="BI66" s="24"/>
    </row>
    <row r="67" spans="2:61" s="25" customFormat="1" ht="16.5" customHeight="1">
      <c r="B67" s="17"/>
      <c r="C67" s="133" t="s">
        <v>179</v>
      </c>
      <c r="D67" s="133"/>
      <c r="E67" s="133"/>
      <c r="F67" s="133"/>
      <c r="G67" s="133"/>
      <c r="H67" s="133"/>
      <c r="I67" s="133"/>
      <c r="J67" s="133"/>
      <c r="K67" s="133"/>
      <c r="L67" s="133" t="s">
        <v>187</v>
      </c>
      <c r="M67" s="133"/>
      <c r="N67" s="133"/>
      <c r="O67" s="133"/>
      <c r="P67" s="133"/>
      <c r="Q67" s="133"/>
      <c r="R67" s="133"/>
      <c r="S67" s="133"/>
      <c r="T67" s="133"/>
      <c r="U67" s="133" t="s">
        <v>191</v>
      </c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4">
        <v>600</v>
      </c>
      <c r="AH67" s="134"/>
      <c r="AI67" s="134"/>
      <c r="AJ67" s="134"/>
      <c r="AK67" s="134"/>
      <c r="AL67" s="134"/>
      <c r="AM67" s="134"/>
      <c r="AN67" s="134">
        <v>800</v>
      </c>
      <c r="AO67" s="134"/>
      <c r="AP67" s="134"/>
      <c r="AQ67" s="134"/>
      <c r="AR67" s="134"/>
      <c r="AS67" s="134"/>
      <c r="AT67" s="134"/>
      <c r="AU67" s="134">
        <v>800</v>
      </c>
      <c r="AV67" s="134"/>
      <c r="AW67" s="134"/>
      <c r="AX67" s="134"/>
      <c r="AY67" s="134"/>
      <c r="AZ67" s="134"/>
      <c r="BA67" s="134"/>
      <c r="BB67" s="135" t="s">
        <v>181</v>
      </c>
      <c r="BC67" s="136"/>
      <c r="BD67" s="136"/>
      <c r="BE67" s="136"/>
      <c r="BF67" s="136"/>
      <c r="BG67" s="136"/>
      <c r="BH67" s="136"/>
      <c r="BI67" s="24"/>
    </row>
    <row r="68" spans="2:61" s="25" customFormat="1" ht="16.5" customHeight="1">
      <c r="B68" s="17"/>
      <c r="C68" s="137" t="s">
        <v>179</v>
      </c>
      <c r="D68" s="137"/>
      <c r="E68" s="137"/>
      <c r="F68" s="137"/>
      <c r="G68" s="137"/>
      <c r="H68" s="137"/>
      <c r="I68" s="137"/>
      <c r="J68" s="137"/>
      <c r="K68" s="137"/>
      <c r="L68" s="137" t="s">
        <v>187</v>
      </c>
      <c r="M68" s="137"/>
      <c r="N68" s="137"/>
      <c r="O68" s="137"/>
      <c r="P68" s="137"/>
      <c r="Q68" s="137"/>
      <c r="R68" s="137"/>
      <c r="S68" s="137"/>
      <c r="T68" s="137"/>
      <c r="U68" s="137" t="s">
        <v>192</v>
      </c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8">
        <v>600</v>
      </c>
      <c r="AH68" s="138"/>
      <c r="AI68" s="138"/>
      <c r="AJ68" s="138"/>
      <c r="AK68" s="138"/>
      <c r="AL68" s="138"/>
      <c r="AM68" s="138"/>
      <c r="AN68" s="138">
        <v>700</v>
      </c>
      <c r="AO68" s="138"/>
      <c r="AP68" s="138"/>
      <c r="AQ68" s="138"/>
      <c r="AR68" s="138"/>
      <c r="AS68" s="138"/>
      <c r="AT68" s="138"/>
      <c r="AU68" s="138">
        <v>700</v>
      </c>
      <c r="AV68" s="138"/>
      <c r="AW68" s="138"/>
      <c r="AX68" s="138"/>
      <c r="AY68" s="138"/>
      <c r="AZ68" s="138"/>
      <c r="BA68" s="138"/>
      <c r="BB68" s="139" t="s">
        <v>181</v>
      </c>
      <c r="BC68" s="140"/>
      <c r="BD68" s="140"/>
      <c r="BE68" s="140"/>
      <c r="BF68" s="140"/>
      <c r="BG68" s="140"/>
      <c r="BH68" s="140"/>
      <c r="BI68" s="24"/>
    </row>
    <row r="69" spans="2:61" s="25" customFormat="1" ht="16.5" customHeight="1">
      <c r="B69" s="17"/>
      <c r="C69" s="148" t="s">
        <v>171</v>
      </c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24"/>
    </row>
    <row r="70" spans="2:61" s="25" customFormat="1" ht="16.5" customHeight="1">
      <c r="B70" s="17"/>
      <c r="C70" s="149" t="s">
        <v>193</v>
      </c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24"/>
    </row>
    <row r="71" spans="2:61" s="25" customFormat="1" ht="16.5" customHeight="1">
      <c r="B71" s="17"/>
      <c r="C71" s="124" t="s">
        <v>194</v>
      </c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50" t="s">
        <v>195</v>
      </c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152"/>
      <c r="BI71" s="24"/>
    </row>
    <row r="72" spans="2:61" s="25" customFormat="1" ht="16.5" customHeight="1">
      <c r="B72" s="17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53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5"/>
      <c r="BI72" s="24"/>
    </row>
    <row r="73" spans="2:61" s="25" customFormat="1" ht="16.5" customHeight="1">
      <c r="B73" s="17"/>
      <c r="C73" s="137" t="s">
        <v>153</v>
      </c>
      <c r="D73" s="137"/>
      <c r="E73" s="137"/>
      <c r="F73" s="137"/>
      <c r="G73" s="137"/>
      <c r="H73" s="137"/>
      <c r="I73" s="137"/>
      <c r="J73" s="137"/>
      <c r="K73" s="137"/>
      <c r="L73" s="137" t="s">
        <v>196</v>
      </c>
      <c r="M73" s="137"/>
      <c r="N73" s="137"/>
      <c r="O73" s="137"/>
      <c r="P73" s="137"/>
      <c r="Q73" s="137"/>
      <c r="R73" s="137"/>
      <c r="S73" s="137"/>
      <c r="T73" s="137"/>
      <c r="U73" s="137" t="s">
        <v>197</v>
      </c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8">
        <v>100</v>
      </c>
      <c r="AH73" s="138"/>
      <c r="AI73" s="138"/>
      <c r="AJ73" s="138"/>
      <c r="AK73" s="138"/>
      <c r="AL73" s="138"/>
      <c r="AM73" s="138"/>
      <c r="AN73" s="138">
        <v>150</v>
      </c>
      <c r="AO73" s="138"/>
      <c r="AP73" s="138"/>
      <c r="AQ73" s="138"/>
      <c r="AR73" s="138"/>
      <c r="AS73" s="138"/>
      <c r="AT73" s="138"/>
      <c r="AU73" s="138">
        <v>150</v>
      </c>
      <c r="AV73" s="138"/>
      <c r="AW73" s="138"/>
      <c r="AX73" s="138"/>
      <c r="AY73" s="138"/>
      <c r="AZ73" s="138"/>
      <c r="BA73" s="138"/>
      <c r="BB73" s="139" t="s">
        <v>150</v>
      </c>
      <c r="BC73" s="140"/>
      <c r="BD73" s="140"/>
      <c r="BE73" s="140"/>
      <c r="BF73" s="140"/>
      <c r="BG73" s="140"/>
      <c r="BH73" s="140"/>
      <c r="BI73" s="24"/>
    </row>
    <row r="74" spans="2:61" s="25" customFormat="1" ht="16.5" customHeight="1">
      <c r="B74" s="17"/>
      <c r="C74" s="133" t="s">
        <v>179</v>
      </c>
      <c r="D74" s="133"/>
      <c r="E74" s="133"/>
      <c r="F74" s="133"/>
      <c r="G74" s="133"/>
      <c r="H74" s="133"/>
      <c r="I74" s="133"/>
      <c r="J74" s="133"/>
      <c r="K74" s="133"/>
      <c r="L74" s="133" t="s">
        <v>196</v>
      </c>
      <c r="M74" s="133"/>
      <c r="N74" s="133"/>
      <c r="O74" s="133"/>
      <c r="P74" s="133"/>
      <c r="Q74" s="133"/>
      <c r="R74" s="133"/>
      <c r="S74" s="133"/>
      <c r="T74" s="133"/>
      <c r="U74" s="133" t="s">
        <v>198</v>
      </c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4">
        <v>100</v>
      </c>
      <c r="AH74" s="134"/>
      <c r="AI74" s="134"/>
      <c r="AJ74" s="134"/>
      <c r="AK74" s="134"/>
      <c r="AL74" s="134"/>
      <c r="AM74" s="134"/>
      <c r="AN74" s="134">
        <v>150</v>
      </c>
      <c r="AO74" s="134"/>
      <c r="AP74" s="134"/>
      <c r="AQ74" s="134"/>
      <c r="AR74" s="134"/>
      <c r="AS74" s="134"/>
      <c r="AT74" s="134"/>
      <c r="AU74" s="134">
        <v>150</v>
      </c>
      <c r="AV74" s="134"/>
      <c r="AW74" s="134"/>
      <c r="AX74" s="134"/>
      <c r="AY74" s="134"/>
      <c r="AZ74" s="134"/>
      <c r="BA74" s="134"/>
      <c r="BB74" s="135" t="s">
        <v>150</v>
      </c>
      <c r="BC74" s="136"/>
      <c r="BD74" s="136"/>
      <c r="BE74" s="136"/>
      <c r="BF74" s="136"/>
      <c r="BG74" s="136"/>
      <c r="BH74" s="136"/>
      <c r="BI74" s="24"/>
    </row>
    <row r="75" spans="2:61" s="25" customFormat="1" ht="16.5" customHeight="1">
      <c r="B75" s="17"/>
      <c r="C75" s="137" t="s">
        <v>153</v>
      </c>
      <c r="D75" s="137"/>
      <c r="E75" s="137"/>
      <c r="F75" s="137"/>
      <c r="G75" s="137"/>
      <c r="H75" s="137"/>
      <c r="I75" s="137"/>
      <c r="J75" s="137"/>
      <c r="K75" s="137"/>
      <c r="L75" s="137" t="s">
        <v>196</v>
      </c>
      <c r="M75" s="137"/>
      <c r="N75" s="137"/>
      <c r="O75" s="137"/>
      <c r="P75" s="137"/>
      <c r="Q75" s="137"/>
      <c r="R75" s="137"/>
      <c r="S75" s="137"/>
      <c r="T75" s="137"/>
      <c r="U75" s="137" t="s">
        <v>199</v>
      </c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8">
        <v>310</v>
      </c>
      <c r="AH75" s="138"/>
      <c r="AI75" s="138"/>
      <c r="AJ75" s="138"/>
      <c r="AK75" s="138"/>
      <c r="AL75" s="138"/>
      <c r="AM75" s="138"/>
      <c r="AN75" s="138">
        <v>460</v>
      </c>
      <c r="AO75" s="138"/>
      <c r="AP75" s="138"/>
      <c r="AQ75" s="138"/>
      <c r="AR75" s="138"/>
      <c r="AS75" s="138"/>
      <c r="AT75" s="138"/>
      <c r="AU75" s="138">
        <v>460</v>
      </c>
      <c r="AV75" s="138"/>
      <c r="AW75" s="138"/>
      <c r="AX75" s="138"/>
      <c r="AY75" s="138"/>
      <c r="AZ75" s="138"/>
      <c r="BA75" s="138"/>
      <c r="BB75" s="139" t="s">
        <v>150</v>
      </c>
      <c r="BC75" s="140"/>
      <c r="BD75" s="140"/>
      <c r="BE75" s="140"/>
      <c r="BF75" s="140"/>
      <c r="BG75" s="140"/>
      <c r="BH75" s="140"/>
      <c r="BI75" s="24"/>
    </row>
    <row r="76" spans="2:61" s="25" customFormat="1" ht="16.5" customHeight="1">
      <c r="B76" s="17"/>
      <c r="C76" s="133" t="s">
        <v>179</v>
      </c>
      <c r="D76" s="133"/>
      <c r="E76" s="133"/>
      <c r="F76" s="133"/>
      <c r="G76" s="133"/>
      <c r="H76" s="133"/>
      <c r="I76" s="133"/>
      <c r="J76" s="133"/>
      <c r="K76" s="133"/>
      <c r="L76" s="133" t="s">
        <v>154</v>
      </c>
      <c r="M76" s="133"/>
      <c r="N76" s="133"/>
      <c r="O76" s="133"/>
      <c r="P76" s="133"/>
      <c r="Q76" s="133"/>
      <c r="R76" s="133"/>
      <c r="S76" s="133"/>
      <c r="T76" s="133"/>
      <c r="U76" s="133" t="s">
        <v>200</v>
      </c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4">
        <v>250</v>
      </c>
      <c r="AH76" s="134"/>
      <c r="AI76" s="134"/>
      <c r="AJ76" s="134"/>
      <c r="AK76" s="134"/>
      <c r="AL76" s="134"/>
      <c r="AM76" s="134"/>
      <c r="AN76" s="134">
        <v>375</v>
      </c>
      <c r="AO76" s="134"/>
      <c r="AP76" s="134"/>
      <c r="AQ76" s="134"/>
      <c r="AR76" s="134"/>
      <c r="AS76" s="134"/>
      <c r="AT76" s="134"/>
      <c r="AU76" s="134">
        <v>375</v>
      </c>
      <c r="AV76" s="134"/>
      <c r="AW76" s="134"/>
      <c r="AX76" s="134"/>
      <c r="AY76" s="134"/>
      <c r="AZ76" s="134"/>
      <c r="BA76" s="134"/>
      <c r="BB76" s="135" t="s">
        <v>150</v>
      </c>
      <c r="BC76" s="136"/>
      <c r="BD76" s="136"/>
      <c r="BE76" s="136"/>
      <c r="BF76" s="136"/>
      <c r="BG76" s="136"/>
      <c r="BH76" s="136"/>
      <c r="BI76" s="24"/>
    </row>
    <row r="77" spans="2:61" s="25" customFormat="1" ht="16.5" customHeight="1">
      <c r="B77" s="17"/>
      <c r="C77" s="137" t="s">
        <v>153</v>
      </c>
      <c r="D77" s="137"/>
      <c r="E77" s="137"/>
      <c r="F77" s="137"/>
      <c r="G77" s="137"/>
      <c r="H77" s="137"/>
      <c r="I77" s="137"/>
      <c r="J77" s="137"/>
      <c r="K77" s="137"/>
      <c r="L77" s="137" t="s">
        <v>196</v>
      </c>
      <c r="M77" s="137"/>
      <c r="N77" s="137"/>
      <c r="O77" s="137"/>
      <c r="P77" s="137"/>
      <c r="Q77" s="137"/>
      <c r="R77" s="137"/>
      <c r="S77" s="137"/>
      <c r="T77" s="137"/>
      <c r="U77" s="137" t="s">
        <v>201</v>
      </c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8">
        <v>450</v>
      </c>
      <c r="AH77" s="138"/>
      <c r="AI77" s="138"/>
      <c r="AJ77" s="138"/>
      <c r="AK77" s="138"/>
      <c r="AL77" s="138"/>
      <c r="AM77" s="138"/>
      <c r="AN77" s="138">
        <v>625</v>
      </c>
      <c r="AO77" s="138"/>
      <c r="AP77" s="138"/>
      <c r="AQ77" s="138"/>
      <c r="AR77" s="138"/>
      <c r="AS77" s="138"/>
      <c r="AT77" s="138"/>
      <c r="AU77" s="138">
        <v>625</v>
      </c>
      <c r="AV77" s="138"/>
      <c r="AW77" s="138"/>
      <c r="AX77" s="138"/>
      <c r="AY77" s="138"/>
      <c r="AZ77" s="138"/>
      <c r="BA77" s="138"/>
      <c r="BB77" s="139" t="s">
        <v>150</v>
      </c>
      <c r="BC77" s="140"/>
      <c r="BD77" s="140"/>
      <c r="BE77" s="140"/>
      <c r="BF77" s="140"/>
      <c r="BG77" s="140"/>
      <c r="BH77" s="140"/>
      <c r="BI77" s="24"/>
    </row>
    <row r="78" spans="2:61" s="25" customFormat="1" ht="16.5" customHeight="1">
      <c r="B78" s="17"/>
      <c r="C78" s="133" t="s">
        <v>179</v>
      </c>
      <c r="D78" s="133"/>
      <c r="E78" s="133"/>
      <c r="F78" s="133"/>
      <c r="G78" s="133"/>
      <c r="H78" s="133"/>
      <c r="I78" s="133"/>
      <c r="J78" s="133"/>
      <c r="K78" s="133"/>
      <c r="L78" s="133" t="s">
        <v>196</v>
      </c>
      <c r="M78" s="133"/>
      <c r="N78" s="133"/>
      <c r="O78" s="133"/>
      <c r="P78" s="133"/>
      <c r="Q78" s="133"/>
      <c r="R78" s="133"/>
      <c r="S78" s="133"/>
      <c r="T78" s="133"/>
      <c r="U78" s="133" t="s">
        <v>202</v>
      </c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4">
        <v>450</v>
      </c>
      <c r="AH78" s="134"/>
      <c r="AI78" s="134"/>
      <c r="AJ78" s="134"/>
      <c r="AK78" s="134"/>
      <c r="AL78" s="134"/>
      <c r="AM78" s="134"/>
      <c r="AN78" s="134">
        <v>625</v>
      </c>
      <c r="AO78" s="134"/>
      <c r="AP78" s="134"/>
      <c r="AQ78" s="134"/>
      <c r="AR78" s="134"/>
      <c r="AS78" s="134"/>
      <c r="AT78" s="134"/>
      <c r="AU78" s="134">
        <v>625</v>
      </c>
      <c r="AV78" s="134"/>
      <c r="AW78" s="134"/>
      <c r="AX78" s="134"/>
      <c r="AY78" s="134"/>
      <c r="AZ78" s="134"/>
      <c r="BA78" s="134"/>
      <c r="BB78" s="135" t="s">
        <v>150</v>
      </c>
      <c r="BC78" s="136"/>
      <c r="BD78" s="136"/>
      <c r="BE78" s="136"/>
      <c r="BF78" s="136"/>
      <c r="BG78" s="136"/>
      <c r="BH78" s="136"/>
      <c r="BI78" s="24"/>
    </row>
    <row r="79" spans="2:61" s="25" customFormat="1" ht="16.5" customHeight="1">
      <c r="B79" s="17"/>
      <c r="C79" s="137" t="s">
        <v>153</v>
      </c>
      <c r="D79" s="137"/>
      <c r="E79" s="137"/>
      <c r="F79" s="137"/>
      <c r="G79" s="137"/>
      <c r="H79" s="137"/>
      <c r="I79" s="137"/>
      <c r="J79" s="137"/>
      <c r="K79" s="137"/>
      <c r="L79" s="137" t="s">
        <v>154</v>
      </c>
      <c r="M79" s="137"/>
      <c r="N79" s="137"/>
      <c r="O79" s="137"/>
      <c r="P79" s="137"/>
      <c r="Q79" s="137"/>
      <c r="R79" s="137"/>
      <c r="S79" s="137"/>
      <c r="T79" s="137"/>
      <c r="U79" s="137" t="s">
        <v>203</v>
      </c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8">
        <v>250</v>
      </c>
      <c r="AH79" s="138"/>
      <c r="AI79" s="138"/>
      <c r="AJ79" s="138"/>
      <c r="AK79" s="138"/>
      <c r="AL79" s="138"/>
      <c r="AM79" s="138"/>
      <c r="AN79" s="138">
        <v>375</v>
      </c>
      <c r="AO79" s="138"/>
      <c r="AP79" s="138"/>
      <c r="AQ79" s="138"/>
      <c r="AR79" s="138"/>
      <c r="AS79" s="138"/>
      <c r="AT79" s="138"/>
      <c r="AU79" s="138">
        <v>375</v>
      </c>
      <c r="AV79" s="138"/>
      <c r="AW79" s="138"/>
      <c r="AX79" s="138"/>
      <c r="AY79" s="138"/>
      <c r="AZ79" s="138"/>
      <c r="BA79" s="138"/>
      <c r="BB79" s="139" t="s">
        <v>150</v>
      </c>
      <c r="BC79" s="140"/>
      <c r="BD79" s="140"/>
      <c r="BE79" s="140"/>
      <c r="BF79" s="140"/>
      <c r="BG79" s="140"/>
      <c r="BH79" s="140"/>
      <c r="BI79" s="24"/>
    </row>
    <row r="80" spans="2:61" s="25" customFormat="1" ht="16.5" customHeight="1">
      <c r="B80" s="17"/>
      <c r="C80" s="133" t="s">
        <v>179</v>
      </c>
      <c r="D80" s="133"/>
      <c r="E80" s="133"/>
      <c r="F80" s="133"/>
      <c r="G80" s="133"/>
      <c r="H80" s="133"/>
      <c r="I80" s="133"/>
      <c r="J80" s="133"/>
      <c r="K80" s="133"/>
      <c r="L80" s="133" t="s">
        <v>196</v>
      </c>
      <c r="M80" s="133"/>
      <c r="N80" s="133"/>
      <c r="O80" s="133"/>
      <c r="P80" s="133"/>
      <c r="Q80" s="133"/>
      <c r="R80" s="133"/>
      <c r="S80" s="133"/>
      <c r="T80" s="133"/>
      <c r="U80" s="133" t="s">
        <v>204</v>
      </c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4">
        <v>450</v>
      </c>
      <c r="AH80" s="134"/>
      <c r="AI80" s="134"/>
      <c r="AJ80" s="134"/>
      <c r="AK80" s="134"/>
      <c r="AL80" s="134"/>
      <c r="AM80" s="134"/>
      <c r="AN80" s="134">
        <v>625</v>
      </c>
      <c r="AO80" s="134"/>
      <c r="AP80" s="134"/>
      <c r="AQ80" s="134"/>
      <c r="AR80" s="134"/>
      <c r="AS80" s="134"/>
      <c r="AT80" s="134"/>
      <c r="AU80" s="134">
        <v>625</v>
      </c>
      <c r="AV80" s="134"/>
      <c r="AW80" s="134"/>
      <c r="AX80" s="134"/>
      <c r="AY80" s="134"/>
      <c r="AZ80" s="134"/>
      <c r="BA80" s="134"/>
      <c r="BB80" s="135" t="s">
        <v>150</v>
      </c>
      <c r="BC80" s="136"/>
      <c r="BD80" s="136"/>
      <c r="BE80" s="136"/>
      <c r="BF80" s="136"/>
      <c r="BG80" s="136"/>
      <c r="BH80" s="136"/>
      <c r="BI80" s="24"/>
    </row>
    <row r="81" spans="2:61" s="25" customFormat="1" ht="16.5" customHeight="1">
      <c r="B81" s="17"/>
      <c r="C81" s="144" t="s">
        <v>179</v>
      </c>
      <c r="D81" s="144"/>
      <c r="E81" s="144"/>
      <c r="F81" s="144"/>
      <c r="G81" s="144"/>
      <c r="H81" s="144"/>
      <c r="I81" s="144"/>
      <c r="J81" s="144"/>
      <c r="K81" s="144"/>
      <c r="L81" s="144" t="s">
        <v>154</v>
      </c>
      <c r="M81" s="144"/>
      <c r="N81" s="144"/>
      <c r="O81" s="144"/>
      <c r="P81" s="144"/>
      <c r="Q81" s="144"/>
      <c r="R81" s="144"/>
      <c r="S81" s="144"/>
      <c r="T81" s="144"/>
      <c r="U81" s="144" t="s">
        <v>205</v>
      </c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38">
        <v>250</v>
      </c>
      <c r="AH81" s="138"/>
      <c r="AI81" s="138"/>
      <c r="AJ81" s="138"/>
      <c r="AK81" s="138"/>
      <c r="AL81" s="138"/>
      <c r="AM81" s="138"/>
      <c r="AN81" s="138">
        <v>375</v>
      </c>
      <c r="AO81" s="138"/>
      <c r="AP81" s="138"/>
      <c r="AQ81" s="138"/>
      <c r="AR81" s="138"/>
      <c r="AS81" s="138"/>
      <c r="AT81" s="138"/>
      <c r="AU81" s="138">
        <v>375</v>
      </c>
      <c r="AV81" s="138"/>
      <c r="AW81" s="138"/>
      <c r="AX81" s="138"/>
      <c r="AY81" s="138"/>
      <c r="AZ81" s="138"/>
      <c r="BA81" s="138"/>
      <c r="BB81" s="145" t="s">
        <v>150</v>
      </c>
      <c r="BC81" s="146"/>
      <c r="BD81" s="146"/>
      <c r="BE81" s="146"/>
      <c r="BF81" s="146"/>
      <c r="BG81" s="146"/>
      <c r="BH81" s="146"/>
      <c r="BI81" s="24"/>
    </row>
    <row r="82" spans="2:61" s="25" customFormat="1" ht="16.5" customHeight="1">
      <c r="B82" s="17"/>
      <c r="C82" s="133" t="s">
        <v>151</v>
      </c>
      <c r="D82" s="133"/>
      <c r="E82" s="133"/>
      <c r="F82" s="133"/>
      <c r="G82" s="133"/>
      <c r="H82" s="133"/>
      <c r="I82" s="133"/>
      <c r="J82" s="133"/>
      <c r="K82" s="133"/>
      <c r="L82" s="133" t="s">
        <v>206</v>
      </c>
      <c r="M82" s="133"/>
      <c r="N82" s="133"/>
      <c r="O82" s="133"/>
      <c r="P82" s="133"/>
      <c r="Q82" s="133"/>
      <c r="R82" s="133"/>
      <c r="S82" s="133"/>
      <c r="T82" s="133"/>
      <c r="U82" s="133" t="s">
        <v>207</v>
      </c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4">
        <v>450</v>
      </c>
      <c r="AH82" s="134"/>
      <c r="AI82" s="134"/>
      <c r="AJ82" s="134"/>
      <c r="AK82" s="134"/>
      <c r="AL82" s="134"/>
      <c r="AM82" s="134"/>
      <c r="AN82" s="134">
        <v>625</v>
      </c>
      <c r="AO82" s="134"/>
      <c r="AP82" s="134"/>
      <c r="AQ82" s="134"/>
      <c r="AR82" s="134"/>
      <c r="AS82" s="134"/>
      <c r="AT82" s="134"/>
      <c r="AU82" s="134">
        <v>625</v>
      </c>
      <c r="AV82" s="134"/>
      <c r="AW82" s="134"/>
      <c r="AX82" s="134"/>
      <c r="AY82" s="134"/>
      <c r="AZ82" s="134"/>
      <c r="BA82" s="134"/>
      <c r="BB82" s="135" t="s">
        <v>150</v>
      </c>
      <c r="BC82" s="136"/>
      <c r="BD82" s="136"/>
      <c r="BE82" s="136"/>
      <c r="BF82" s="136"/>
      <c r="BG82" s="136"/>
      <c r="BH82" s="136"/>
      <c r="BI82" s="24"/>
    </row>
    <row r="83" spans="2:61" s="25" customFormat="1" ht="16.5" customHeight="1">
      <c r="B83" s="17"/>
      <c r="C83" s="144" t="s">
        <v>179</v>
      </c>
      <c r="D83" s="144"/>
      <c r="E83" s="144"/>
      <c r="F83" s="144"/>
      <c r="G83" s="144"/>
      <c r="H83" s="144"/>
      <c r="I83" s="144"/>
      <c r="J83" s="144"/>
      <c r="K83" s="144"/>
      <c r="L83" s="137" t="s">
        <v>196</v>
      </c>
      <c r="M83" s="137"/>
      <c r="N83" s="137"/>
      <c r="O83" s="137"/>
      <c r="P83" s="137"/>
      <c r="Q83" s="137"/>
      <c r="R83" s="137"/>
      <c r="S83" s="137"/>
      <c r="T83" s="137"/>
      <c r="U83" s="137" t="s">
        <v>208</v>
      </c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8">
        <v>400</v>
      </c>
      <c r="AH83" s="138"/>
      <c r="AI83" s="138"/>
      <c r="AJ83" s="138"/>
      <c r="AK83" s="138"/>
      <c r="AL83" s="138"/>
      <c r="AM83" s="138"/>
      <c r="AN83" s="138">
        <v>800</v>
      </c>
      <c r="AO83" s="138"/>
      <c r="AP83" s="138"/>
      <c r="AQ83" s="138"/>
      <c r="AR83" s="138"/>
      <c r="AS83" s="138"/>
      <c r="AT83" s="138"/>
      <c r="AU83" s="138">
        <v>800</v>
      </c>
      <c r="AV83" s="138"/>
      <c r="AW83" s="138"/>
      <c r="AX83" s="138"/>
      <c r="AY83" s="138"/>
      <c r="AZ83" s="138"/>
      <c r="BA83" s="138"/>
      <c r="BB83" s="139" t="s">
        <v>150</v>
      </c>
      <c r="BC83" s="140"/>
      <c r="BD83" s="140"/>
      <c r="BE83" s="140"/>
      <c r="BF83" s="140"/>
      <c r="BG83" s="140"/>
      <c r="BH83" s="140"/>
      <c r="BI83" s="24"/>
    </row>
    <row r="84" spans="2:61" s="25" customFormat="1" ht="16.5" customHeight="1">
      <c r="B84" s="17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8"/>
      <c r="BC84" s="159"/>
      <c r="BD84" s="159"/>
      <c r="BE84" s="159"/>
      <c r="BF84" s="159"/>
      <c r="BG84" s="159"/>
      <c r="BH84" s="159"/>
      <c r="BI84" s="24"/>
    </row>
    <row r="85" spans="2:61" s="25" customFormat="1" ht="16.5" customHeight="1">
      <c r="B85" s="17"/>
      <c r="C85" s="124" t="s">
        <v>194</v>
      </c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50" t="s">
        <v>195</v>
      </c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1"/>
      <c r="BA85" s="151"/>
      <c r="BB85" s="151"/>
      <c r="BC85" s="151"/>
      <c r="BD85" s="151"/>
      <c r="BE85" s="151"/>
      <c r="BF85" s="151"/>
      <c r="BG85" s="151"/>
      <c r="BH85" s="152"/>
      <c r="BI85" s="24"/>
    </row>
    <row r="86" spans="2:61" s="25" customFormat="1" ht="16.5" customHeight="1">
      <c r="B86" s="17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53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5"/>
      <c r="BI86" s="24"/>
    </row>
    <row r="87" spans="2:61" s="25" customFormat="1" ht="16.5" customHeight="1">
      <c r="B87" s="17"/>
      <c r="C87" s="137" t="s">
        <v>153</v>
      </c>
      <c r="D87" s="137"/>
      <c r="E87" s="137"/>
      <c r="F87" s="137"/>
      <c r="G87" s="137"/>
      <c r="H87" s="137"/>
      <c r="I87" s="137"/>
      <c r="J87" s="137"/>
      <c r="K87" s="137"/>
      <c r="L87" s="137" t="s">
        <v>209</v>
      </c>
      <c r="M87" s="137"/>
      <c r="N87" s="137"/>
      <c r="O87" s="137"/>
      <c r="P87" s="137"/>
      <c r="Q87" s="137"/>
      <c r="R87" s="137"/>
      <c r="S87" s="137"/>
      <c r="T87" s="137"/>
      <c r="U87" s="137" t="s">
        <v>210</v>
      </c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47">
        <v>200</v>
      </c>
      <c r="AH87" s="147"/>
      <c r="AI87" s="147"/>
      <c r="AJ87" s="147"/>
      <c r="AK87" s="147"/>
      <c r="AL87" s="147"/>
      <c r="AM87" s="147"/>
      <c r="AN87" s="147">
        <v>200</v>
      </c>
      <c r="AO87" s="147"/>
      <c r="AP87" s="147"/>
      <c r="AQ87" s="147"/>
      <c r="AR87" s="147"/>
      <c r="AS87" s="147"/>
      <c r="AT87" s="147"/>
      <c r="AU87" s="147">
        <v>200</v>
      </c>
      <c r="AV87" s="147"/>
      <c r="AW87" s="147"/>
      <c r="AX87" s="147"/>
      <c r="AY87" s="147"/>
      <c r="AZ87" s="147"/>
      <c r="BA87" s="147"/>
      <c r="BB87" s="139" t="s">
        <v>150</v>
      </c>
      <c r="BC87" s="140"/>
      <c r="BD87" s="140"/>
      <c r="BE87" s="140"/>
      <c r="BF87" s="140"/>
      <c r="BG87" s="140"/>
      <c r="BH87" s="140"/>
      <c r="BI87" s="24"/>
    </row>
    <row r="88" spans="2:61" s="25" customFormat="1" ht="16.5" customHeight="1">
      <c r="B88" s="17"/>
      <c r="C88" s="133" t="s">
        <v>153</v>
      </c>
      <c r="D88" s="133"/>
      <c r="E88" s="133"/>
      <c r="F88" s="133"/>
      <c r="G88" s="133"/>
      <c r="H88" s="133"/>
      <c r="I88" s="133"/>
      <c r="J88" s="133"/>
      <c r="K88" s="133"/>
      <c r="L88" s="133" t="s">
        <v>211</v>
      </c>
      <c r="M88" s="133"/>
      <c r="N88" s="133"/>
      <c r="O88" s="133"/>
      <c r="P88" s="133"/>
      <c r="Q88" s="133"/>
      <c r="R88" s="133"/>
      <c r="S88" s="133"/>
      <c r="T88" s="133"/>
      <c r="U88" s="133" t="s">
        <v>212</v>
      </c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4">
        <v>260</v>
      </c>
      <c r="AH88" s="134"/>
      <c r="AI88" s="134"/>
      <c r="AJ88" s="134"/>
      <c r="AK88" s="134"/>
      <c r="AL88" s="134"/>
      <c r="AM88" s="134"/>
      <c r="AN88" s="134">
        <v>310</v>
      </c>
      <c r="AO88" s="134"/>
      <c r="AP88" s="134"/>
      <c r="AQ88" s="134"/>
      <c r="AR88" s="134"/>
      <c r="AS88" s="134"/>
      <c r="AT88" s="134"/>
      <c r="AU88" s="134">
        <v>310</v>
      </c>
      <c r="AV88" s="134"/>
      <c r="AW88" s="134"/>
      <c r="AX88" s="134"/>
      <c r="AY88" s="134"/>
      <c r="AZ88" s="134"/>
      <c r="BA88" s="134"/>
      <c r="BB88" s="135" t="s">
        <v>150</v>
      </c>
      <c r="BC88" s="136"/>
      <c r="BD88" s="136"/>
      <c r="BE88" s="136"/>
      <c r="BF88" s="136"/>
      <c r="BG88" s="136"/>
      <c r="BH88" s="136"/>
      <c r="BI88" s="24"/>
    </row>
    <row r="89" spans="2:61" s="25" customFormat="1" ht="16.5" customHeight="1">
      <c r="B89" s="17"/>
      <c r="C89" s="137" t="s">
        <v>153</v>
      </c>
      <c r="D89" s="137"/>
      <c r="E89" s="137"/>
      <c r="F89" s="137"/>
      <c r="G89" s="137"/>
      <c r="H89" s="137"/>
      <c r="I89" s="137"/>
      <c r="J89" s="137"/>
      <c r="K89" s="137"/>
      <c r="L89" s="137" t="s">
        <v>211</v>
      </c>
      <c r="M89" s="137"/>
      <c r="N89" s="137"/>
      <c r="O89" s="137"/>
      <c r="P89" s="137"/>
      <c r="Q89" s="137"/>
      <c r="R89" s="137"/>
      <c r="S89" s="137"/>
      <c r="T89" s="137"/>
      <c r="U89" s="137" t="s">
        <v>213</v>
      </c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47">
        <v>350</v>
      </c>
      <c r="AH89" s="147"/>
      <c r="AI89" s="147"/>
      <c r="AJ89" s="147"/>
      <c r="AK89" s="147"/>
      <c r="AL89" s="147"/>
      <c r="AM89" s="147"/>
      <c r="AN89" s="147">
        <v>400</v>
      </c>
      <c r="AO89" s="147"/>
      <c r="AP89" s="147"/>
      <c r="AQ89" s="147"/>
      <c r="AR89" s="147"/>
      <c r="AS89" s="147"/>
      <c r="AT89" s="147"/>
      <c r="AU89" s="147">
        <v>400</v>
      </c>
      <c r="AV89" s="147"/>
      <c r="AW89" s="147"/>
      <c r="AX89" s="147"/>
      <c r="AY89" s="147"/>
      <c r="AZ89" s="147"/>
      <c r="BA89" s="147"/>
      <c r="BB89" s="139" t="s">
        <v>150</v>
      </c>
      <c r="BC89" s="140"/>
      <c r="BD89" s="140"/>
      <c r="BE89" s="140"/>
      <c r="BF89" s="140"/>
      <c r="BG89" s="140"/>
      <c r="BH89" s="140"/>
      <c r="BI89" s="24"/>
    </row>
    <row r="90" spans="2:61" s="25" customFormat="1" ht="16.5" customHeight="1">
      <c r="B90" s="17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9"/>
      <c r="BC90" s="159"/>
      <c r="BD90" s="159"/>
      <c r="BE90" s="159"/>
      <c r="BF90" s="159"/>
      <c r="BG90" s="159"/>
      <c r="BH90" s="159"/>
      <c r="BI90" s="24"/>
    </row>
    <row r="91" spans="2:61" s="25" customFormat="1" ht="16.5" customHeight="1">
      <c r="B91" s="17"/>
      <c r="C91" s="160" t="s">
        <v>214</v>
      </c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1"/>
      <c r="R91" s="162" t="s">
        <v>215</v>
      </c>
      <c r="S91" s="161"/>
      <c r="T91" s="163" t="s">
        <v>216</v>
      </c>
      <c r="U91" s="164"/>
      <c r="V91" s="164"/>
      <c r="W91" s="165"/>
      <c r="X91" s="156"/>
      <c r="Y91" s="156"/>
      <c r="Z91" s="156"/>
      <c r="AA91" s="156"/>
      <c r="AB91" s="156"/>
      <c r="AC91" s="156"/>
      <c r="AD91" s="156"/>
      <c r="AE91" s="156"/>
      <c r="AF91" s="156"/>
      <c r="AG91" s="157"/>
      <c r="AH91" s="157"/>
      <c r="AI91" s="157"/>
      <c r="AJ91" s="157"/>
      <c r="AK91" s="157"/>
      <c r="AL91" s="160" t="s">
        <v>217</v>
      </c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1"/>
      <c r="BA91" s="162" t="s">
        <v>215</v>
      </c>
      <c r="BB91" s="161"/>
      <c r="BC91" s="163" t="s">
        <v>216</v>
      </c>
      <c r="BD91" s="164"/>
      <c r="BE91" s="164"/>
      <c r="BF91" s="165"/>
      <c r="BG91" s="159"/>
      <c r="BH91" s="159"/>
      <c r="BI91" s="24"/>
    </row>
    <row r="92" spans="2:61" s="25" customFormat="1" ht="16.5" customHeight="1">
      <c r="B92" s="17"/>
      <c r="C92" s="140" t="s">
        <v>218</v>
      </c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66" t="s">
        <v>219</v>
      </c>
      <c r="S92" s="166"/>
      <c r="T92" s="166" t="s">
        <v>220</v>
      </c>
      <c r="U92" s="166"/>
      <c r="V92" s="166"/>
      <c r="W92" s="166"/>
      <c r="X92" s="156"/>
      <c r="Y92" s="156"/>
      <c r="Z92" s="156"/>
      <c r="AA92" s="156"/>
      <c r="AB92" s="156"/>
      <c r="AC92" s="156"/>
      <c r="AD92" s="156"/>
      <c r="AE92" s="156"/>
      <c r="AF92" s="156"/>
      <c r="AG92" s="157"/>
      <c r="AH92" s="157"/>
      <c r="AI92" s="157"/>
      <c r="AJ92" s="157"/>
      <c r="AK92" s="157"/>
      <c r="AL92" s="140" t="s">
        <v>221</v>
      </c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67" t="s">
        <v>219</v>
      </c>
      <c r="BB92" s="167"/>
      <c r="BC92" s="167" t="s">
        <v>222</v>
      </c>
      <c r="BD92" s="167"/>
      <c r="BE92" s="167"/>
      <c r="BF92" s="167"/>
      <c r="BG92" s="159"/>
      <c r="BH92" s="159"/>
      <c r="BI92" s="24"/>
    </row>
    <row r="93" spans="2:61" s="25" customFormat="1" ht="16.5" customHeight="1">
      <c r="B93" s="17"/>
      <c r="C93" s="140" t="s">
        <v>223</v>
      </c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68" t="s">
        <v>224</v>
      </c>
      <c r="S93" s="168"/>
      <c r="T93" s="166" t="s">
        <v>225</v>
      </c>
      <c r="U93" s="166"/>
      <c r="V93" s="166"/>
      <c r="W93" s="166"/>
      <c r="X93" s="156"/>
      <c r="Y93" s="156"/>
      <c r="Z93" s="156"/>
      <c r="AA93" s="156"/>
      <c r="AB93" s="156"/>
      <c r="AC93" s="156"/>
      <c r="AD93" s="156"/>
      <c r="AE93" s="156"/>
      <c r="AF93" s="156"/>
      <c r="AG93" s="157"/>
      <c r="AH93" s="157"/>
      <c r="AI93" s="157"/>
      <c r="AJ93" s="157"/>
      <c r="AK93" s="157"/>
      <c r="AL93" s="140" t="s">
        <v>226</v>
      </c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67" t="s">
        <v>219</v>
      </c>
      <c r="BB93" s="167"/>
      <c r="BC93" s="167" t="s">
        <v>222</v>
      </c>
      <c r="BD93" s="167"/>
      <c r="BE93" s="167"/>
      <c r="BF93" s="167"/>
      <c r="BG93" s="159"/>
      <c r="BH93" s="159"/>
      <c r="BI93" s="24"/>
    </row>
    <row r="94" spans="2:61" s="25" customFormat="1" ht="16.5" customHeight="1">
      <c r="B94" s="17"/>
      <c r="C94" s="140" t="s">
        <v>227</v>
      </c>
      <c r="D94" s="140"/>
      <c r="E94" s="140" t="s">
        <v>228</v>
      </c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68" t="s">
        <v>219</v>
      </c>
      <c r="S94" s="168"/>
      <c r="T94" s="166" t="s">
        <v>225</v>
      </c>
      <c r="U94" s="166"/>
      <c r="V94" s="166"/>
      <c r="W94" s="166"/>
      <c r="X94" s="156"/>
      <c r="Y94" s="156"/>
      <c r="Z94" s="156"/>
      <c r="AA94" s="156"/>
      <c r="AB94" s="156"/>
      <c r="AC94" s="156"/>
      <c r="AD94" s="156"/>
      <c r="AE94" s="156"/>
      <c r="AF94" s="156"/>
      <c r="AG94" s="157"/>
      <c r="AH94" s="157"/>
      <c r="AI94" s="157"/>
      <c r="AJ94" s="157"/>
      <c r="AK94" s="157"/>
      <c r="AL94" s="140" t="s">
        <v>229</v>
      </c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67" t="s">
        <v>219</v>
      </c>
      <c r="BB94" s="167"/>
      <c r="BC94" s="167" t="s">
        <v>230</v>
      </c>
      <c r="BD94" s="167"/>
      <c r="BE94" s="167"/>
      <c r="BF94" s="167"/>
      <c r="BG94" s="159"/>
      <c r="BH94" s="159"/>
      <c r="BI94" s="24"/>
    </row>
    <row r="95" spans="2:61" s="25" customFormat="1" ht="16.5" customHeight="1">
      <c r="B95" s="17"/>
      <c r="C95" s="140" t="s">
        <v>231</v>
      </c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66" t="s">
        <v>232</v>
      </c>
      <c r="S95" s="166"/>
      <c r="T95" s="166" t="s">
        <v>233</v>
      </c>
      <c r="U95" s="166"/>
      <c r="V95" s="166"/>
      <c r="W95" s="166"/>
      <c r="X95" s="156"/>
      <c r="Y95" s="156"/>
      <c r="Z95" s="156"/>
      <c r="AA95" s="156"/>
      <c r="AB95" s="156"/>
      <c r="AC95" s="156"/>
      <c r="AD95" s="156"/>
      <c r="AE95" s="156"/>
      <c r="AF95" s="156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9"/>
      <c r="BC95" s="159"/>
      <c r="BD95" s="159"/>
      <c r="BE95" s="159"/>
      <c r="BF95" s="159"/>
      <c r="BG95" s="159"/>
      <c r="BH95" s="159"/>
      <c r="BI95" s="24"/>
    </row>
    <row r="96" spans="2:61" s="25" customFormat="1" ht="16.5" customHeight="1">
      <c r="B96" s="17"/>
      <c r="C96" s="140" t="s">
        <v>234</v>
      </c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68" t="s">
        <v>232</v>
      </c>
      <c r="S96" s="168"/>
      <c r="T96" s="166" t="s">
        <v>235</v>
      </c>
      <c r="U96" s="166"/>
      <c r="V96" s="166"/>
      <c r="W96" s="166"/>
      <c r="X96" s="156"/>
      <c r="Y96" s="156"/>
      <c r="Z96" s="156"/>
      <c r="AA96" s="156"/>
      <c r="AB96" s="156"/>
      <c r="AC96" s="156"/>
      <c r="AD96" s="156"/>
      <c r="AE96" s="156"/>
      <c r="AF96" s="156"/>
      <c r="AG96" s="157"/>
      <c r="AH96" s="157"/>
      <c r="AI96" s="157"/>
      <c r="AJ96" s="157"/>
      <c r="AK96" s="157"/>
      <c r="AL96" s="160" t="s">
        <v>236</v>
      </c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 t="s">
        <v>215</v>
      </c>
      <c r="AZ96" s="160"/>
      <c r="BA96" s="160" t="s">
        <v>237</v>
      </c>
      <c r="BB96" s="160"/>
      <c r="BC96" s="160"/>
      <c r="BD96" s="160" t="s">
        <v>238</v>
      </c>
      <c r="BE96" s="160"/>
      <c r="BF96" s="160"/>
      <c r="BG96" s="159"/>
      <c r="BH96" s="159"/>
      <c r="BI96" s="24"/>
    </row>
    <row r="97" spans="2:61" s="25" customFormat="1" ht="16.5" customHeight="1">
      <c r="B97" s="17"/>
      <c r="C97" s="140" t="s">
        <v>239</v>
      </c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68" t="s">
        <v>219</v>
      </c>
      <c r="S97" s="168"/>
      <c r="T97" s="166" t="s">
        <v>240</v>
      </c>
      <c r="U97" s="166"/>
      <c r="V97" s="166"/>
      <c r="W97" s="166"/>
      <c r="X97" s="156"/>
      <c r="Y97" s="156"/>
      <c r="Z97" s="156"/>
      <c r="AA97" s="156"/>
      <c r="AB97" s="156"/>
      <c r="AC97" s="156"/>
      <c r="AD97" s="156"/>
      <c r="AE97" s="156"/>
      <c r="AF97" s="156"/>
      <c r="AG97" s="157"/>
      <c r="AH97" s="157"/>
      <c r="AI97" s="157"/>
      <c r="AJ97" s="157"/>
      <c r="AK97" s="157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59"/>
      <c r="BH97" s="159"/>
      <c r="BI97" s="24"/>
    </row>
    <row r="98" spans="2:61" s="25" customFormat="1" ht="16.5" customHeight="1">
      <c r="B98" s="17"/>
      <c r="C98" s="23"/>
      <c r="D98" s="23"/>
      <c r="E98" s="23"/>
      <c r="F98" s="23"/>
      <c r="G98" s="23"/>
      <c r="H98" s="23"/>
      <c r="I98" s="23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7"/>
      <c r="AH98" s="157"/>
      <c r="AI98" s="157"/>
      <c r="AJ98" s="157"/>
      <c r="AK98" s="157"/>
      <c r="AL98" s="169" t="s">
        <v>241</v>
      </c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1"/>
      <c r="AY98" s="169" t="s">
        <v>242</v>
      </c>
      <c r="AZ98" s="171"/>
      <c r="BA98" s="172">
        <v>1310</v>
      </c>
      <c r="BB98" s="173"/>
      <c r="BC98" s="173"/>
      <c r="BD98" s="173">
        <v>2045</v>
      </c>
      <c r="BE98" s="173"/>
      <c r="BF98" s="174"/>
      <c r="BG98" s="159"/>
      <c r="BH98" s="159"/>
      <c r="BI98" s="24"/>
    </row>
    <row r="99" spans="2:61" s="25" customFormat="1" ht="16.5" customHeight="1">
      <c r="B99" s="17"/>
      <c r="C99" s="160" t="s">
        <v>243</v>
      </c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1"/>
      <c r="R99" s="162" t="s">
        <v>215</v>
      </c>
      <c r="S99" s="161"/>
      <c r="T99" s="163" t="s">
        <v>216</v>
      </c>
      <c r="U99" s="164"/>
      <c r="V99" s="164"/>
      <c r="W99" s="165"/>
      <c r="X99" s="156"/>
      <c r="Y99" s="156"/>
      <c r="Z99" s="156"/>
      <c r="AA99" s="156"/>
      <c r="AB99" s="156"/>
      <c r="AC99" s="156"/>
      <c r="AD99" s="156"/>
      <c r="AE99" s="156"/>
      <c r="AF99" s="156"/>
      <c r="AG99" s="157"/>
      <c r="AH99" s="157"/>
      <c r="AI99" s="157"/>
      <c r="AJ99" s="157"/>
      <c r="AK99" s="157"/>
      <c r="AL99" s="169" t="s">
        <v>244</v>
      </c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1"/>
      <c r="AY99" s="169" t="s">
        <v>242</v>
      </c>
      <c r="AZ99" s="171"/>
      <c r="BA99" s="172">
        <v>690</v>
      </c>
      <c r="BB99" s="173"/>
      <c r="BC99" s="173"/>
      <c r="BD99" s="173">
        <v>1380</v>
      </c>
      <c r="BE99" s="173"/>
      <c r="BF99" s="174"/>
      <c r="BG99" s="159"/>
      <c r="BH99" s="159"/>
      <c r="BI99" s="24"/>
    </row>
    <row r="100" spans="2:61" s="25" customFormat="1" ht="16.5" customHeight="1">
      <c r="B100" s="17"/>
      <c r="C100" s="140" t="s">
        <v>245</v>
      </c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66" t="s">
        <v>232</v>
      </c>
      <c r="S100" s="166"/>
      <c r="T100" s="175" t="s">
        <v>246</v>
      </c>
      <c r="U100" s="175"/>
      <c r="V100" s="175"/>
      <c r="W100" s="175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7"/>
      <c r="AH100" s="157"/>
      <c r="AI100" s="157"/>
      <c r="AJ100" s="157"/>
      <c r="AK100" s="157"/>
      <c r="AL100" s="169" t="s">
        <v>247</v>
      </c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1"/>
      <c r="AY100" s="169" t="s">
        <v>242</v>
      </c>
      <c r="AZ100" s="171"/>
      <c r="BA100" s="172">
        <v>1110</v>
      </c>
      <c r="BB100" s="173"/>
      <c r="BC100" s="173"/>
      <c r="BD100" s="173">
        <v>1845</v>
      </c>
      <c r="BE100" s="173"/>
      <c r="BF100" s="174"/>
      <c r="BG100" s="159"/>
      <c r="BH100" s="159"/>
      <c r="BI100" s="24"/>
    </row>
    <row r="101" spans="2:61" s="25" customFormat="1" ht="16.5" customHeight="1">
      <c r="B101" s="17"/>
      <c r="C101" s="140" t="s">
        <v>248</v>
      </c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68" t="s">
        <v>232</v>
      </c>
      <c r="S101" s="168"/>
      <c r="T101" s="175" t="s">
        <v>249</v>
      </c>
      <c r="U101" s="175"/>
      <c r="V101" s="175"/>
      <c r="W101" s="175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 s="169" t="s">
        <v>250</v>
      </c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1"/>
      <c r="AY101" s="169" t="s">
        <v>242</v>
      </c>
      <c r="AZ101" s="171"/>
      <c r="BA101" s="172">
        <v>690</v>
      </c>
      <c r="BB101" s="173"/>
      <c r="BC101" s="173"/>
      <c r="BD101" s="173">
        <v>1380</v>
      </c>
      <c r="BE101" s="173"/>
      <c r="BF101" s="174"/>
      <c r="BG101"/>
      <c r="BH101"/>
      <c r="BI101" s="24"/>
    </row>
    <row r="102" spans="2:61" s="25" customFormat="1" ht="16.5" customHeight="1">
      <c r="B102" s="17"/>
      <c r="C102" s="140" t="s">
        <v>251</v>
      </c>
      <c r="D102" s="140"/>
      <c r="E102" s="140" t="s">
        <v>228</v>
      </c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68" t="s">
        <v>232</v>
      </c>
      <c r="S102" s="168"/>
      <c r="T102" s="175" t="s">
        <v>252</v>
      </c>
      <c r="U102" s="175"/>
      <c r="V102" s="175"/>
      <c r="W102" s="175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 s="176"/>
      <c r="AM102" s="177"/>
      <c r="AN102" s="177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177"/>
      <c r="AZ102" s="178"/>
      <c r="BA102"/>
      <c r="BB102"/>
      <c r="BC102"/>
      <c r="BD102"/>
      <c r="BE102"/>
      <c r="BF102"/>
      <c r="BG102"/>
      <c r="BH102"/>
      <c r="BI102" s="24"/>
    </row>
    <row r="103" spans="2:61" s="25" customFormat="1" ht="16.5" customHeight="1">
      <c r="B103" s="17"/>
      <c r="C103" s="23"/>
      <c r="D103" s="23"/>
      <c r="E103" s="23"/>
      <c r="F103" s="23"/>
      <c r="G103" s="23"/>
      <c r="H103" s="23"/>
      <c r="I103" s="23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 s="24"/>
    </row>
    <row r="104" spans="2:61" s="25" customFormat="1" ht="16.5" customHeight="1">
      <c r="B104" s="17"/>
      <c r="C104" s="15" t="s">
        <v>253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 s="24"/>
    </row>
    <row r="105" spans="2:61" s="25" customFormat="1" ht="16.5" customHeight="1">
      <c r="B105" s="17"/>
      <c r="C105" s="15" t="s">
        <v>254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 s="24"/>
    </row>
    <row r="106" spans="2:61" s="25" customFormat="1" ht="16.5" customHeight="1">
      <c r="B106" s="17"/>
      <c r="C106" s="15" t="s">
        <v>255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 s="24"/>
    </row>
    <row r="107" spans="2:61" s="25" customFormat="1" ht="16.5" customHeight="1">
      <c r="B107" s="17"/>
      <c r="C107" s="15" t="s">
        <v>256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 s="24"/>
    </row>
    <row r="108" spans="2:61" s="25" customFormat="1" ht="16.5" customHeight="1">
      <c r="B108" s="17"/>
      <c r="C108" s="15" t="s">
        <v>257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 s="24"/>
    </row>
    <row r="109" spans="2:61" s="25" customFormat="1" ht="16.5" customHeight="1">
      <c r="B109" s="17"/>
      <c r="C109" s="15" t="s">
        <v>258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 s="24"/>
    </row>
    <row r="110" spans="2:61" s="25" customFormat="1" ht="16.5" customHeight="1">
      <c r="B110" s="17"/>
      <c r="C110" s="15" t="s">
        <v>259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 s="24"/>
    </row>
    <row r="111" spans="2:61" s="25" customFormat="1" ht="16.5" customHeight="1">
      <c r="B111" s="17"/>
      <c r="C111" s="15" t="s">
        <v>260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2"/>
      <c r="AJ111" s="15"/>
      <c r="AK111" s="15"/>
      <c r="AL111" s="15"/>
      <c r="AM111" s="15"/>
      <c r="AN111" s="15"/>
      <c r="AO111" s="15"/>
      <c r="AP111" s="15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 s="24"/>
    </row>
    <row r="112" spans="2:61" s="25" customFormat="1" ht="16.5" customHeight="1">
      <c r="B112" s="17"/>
      <c r="C112" s="15" t="s">
        <v>261</v>
      </c>
      <c r="D112" s="15"/>
      <c r="E112" s="15"/>
      <c r="F112" s="15"/>
      <c r="G112" s="15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5"/>
      <c r="AJ112" s="15"/>
      <c r="AK112" s="15"/>
      <c r="AL112" s="15"/>
      <c r="AM112" s="15"/>
      <c r="AN112" s="15"/>
      <c r="AO112" s="15"/>
      <c r="AP112" s="15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 s="24"/>
    </row>
    <row r="113" spans="2:61" s="25" customFormat="1" ht="16.5" customHeight="1">
      <c r="B113" s="17"/>
      <c r="C113" s="15" t="s">
        <v>262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79" t="s">
        <v>263</v>
      </c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5"/>
      <c r="AJ113" s="15"/>
      <c r="AK113" s="15"/>
      <c r="AL113" s="15"/>
      <c r="AM113" s="15"/>
      <c r="AN113" s="15"/>
      <c r="AO113" s="15"/>
      <c r="AP113" s="15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 s="24"/>
    </row>
    <row r="114" spans="2:61" s="25" customFormat="1" ht="16.5" customHeight="1">
      <c r="B114" s="17"/>
      <c r="C114" s="15" t="s">
        <v>264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 s="24"/>
    </row>
    <row r="115" spans="2:61" s="25" customFormat="1" ht="16.5" customHeight="1">
      <c r="B115" s="17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 s="24"/>
    </row>
    <row r="116" spans="2:61" s="25" customFormat="1" ht="16.5" customHeight="1" thickBot="1">
      <c r="B116" s="63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5"/>
    </row>
  </sheetData>
  <mergeCells count="411">
    <mergeCell ref="BD101:BF101"/>
    <mergeCell ref="C102:Q102"/>
    <mergeCell ref="R102:S102"/>
    <mergeCell ref="T102:W102"/>
    <mergeCell ref="AL102:AZ102"/>
    <mergeCell ref="Q113:AH113"/>
    <mergeCell ref="C101:Q101"/>
    <mergeCell ref="R101:S101"/>
    <mergeCell ref="T101:W101"/>
    <mergeCell ref="AL101:AX101"/>
    <mergeCell ref="AY101:AZ101"/>
    <mergeCell ref="BA101:BC101"/>
    <mergeCell ref="BD99:BF99"/>
    <mergeCell ref="C100:Q100"/>
    <mergeCell ref="R100:S100"/>
    <mergeCell ref="T100:W100"/>
    <mergeCell ref="AL100:AX100"/>
    <mergeCell ref="AY100:AZ100"/>
    <mergeCell ref="BA100:BC100"/>
    <mergeCell ref="BD100:BF100"/>
    <mergeCell ref="AL98:AX98"/>
    <mergeCell ref="AY98:AZ98"/>
    <mergeCell ref="BA98:BC98"/>
    <mergeCell ref="BD98:BF98"/>
    <mergeCell ref="C99:Q99"/>
    <mergeCell ref="R99:S99"/>
    <mergeCell ref="T99:W99"/>
    <mergeCell ref="AL99:AX99"/>
    <mergeCell ref="AY99:AZ99"/>
    <mergeCell ref="BA99:BC99"/>
    <mergeCell ref="AL96:AX97"/>
    <mergeCell ref="AY96:AZ97"/>
    <mergeCell ref="BA96:BC97"/>
    <mergeCell ref="BD96:BF97"/>
    <mergeCell ref="C97:Q97"/>
    <mergeCell ref="R97:S97"/>
    <mergeCell ref="T97:W97"/>
    <mergeCell ref="C95:Q95"/>
    <mergeCell ref="R95:S95"/>
    <mergeCell ref="T95:W95"/>
    <mergeCell ref="C96:Q96"/>
    <mergeCell ref="R96:S96"/>
    <mergeCell ref="T96:W96"/>
    <mergeCell ref="C94:Q94"/>
    <mergeCell ref="R94:S94"/>
    <mergeCell ref="T94:W94"/>
    <mergeCell ref="AL94:AZ94"/>
    <mergeCell ref="BA94:BB94"/>
    <mergeCell ref="BC94:BF94"/>
    <mergeCell ref="C93:Q93"/>
    <mergeCell ref="R93:S93"/>
    <mergeCell ref="T93:W93"/>
    <mergeCell ref="AL93:AZ93"/>
    <mergeCell ref="BA93:BB93"/>
    <mergeCell ref="BC93:BF93"/>
    <mergeCell ref="C92:Q92"/>
    <mergeCell ref="R92:S92"/>
    <mergeCell ref="T92:W92"/>
    <mergeCell ref="AL92:AZ92"/>
    <mergeCell ref="BA92:BB92"/>
    <mergeCell ref="BC92:BF92"/>
    <mergeCell ref="C91:Q91"/>
    <mergeCell ref="R91:S91"/>
    <mergeCell ref="T91:W91"/>
    <mergeCell ref="AL91:AZ91"/>
    <mergeCell ref="BA91:BB91"/>
    <mergeCell ref="BC91:BF91"/>
    <mergeCell ref="BB88:BH88"/>
    <mergeCell ref="C89:K89"/>
    <mergeCell ref="L89:T89"/>
    <mergeCell ref="U89:AF89"/>
    <mergeCell ref="AG89:AM89"/>
    <mergeCell ref="AN89:AT89"/>
    <mergeCell ref="AU89:BA89"/>
    <mergeCell ref="BB89:BH89"/>
    <mergeCell ref="C88:K88"/>
    <mergeCell ref="L88:T88"/>
    <mergeCell ref="U88:AF88"/>
    <mergeCell ref="AG88:AM88"/>
    <mergeCell ref="AN88:AT88"/>
    <mergeCell ref="AU88:BA88"/>
    <mergeCell ref="BB83:BH83"/>
    <mergeCell ref="C85:T86"/>
    <mergeCell ref="U85:BH86"/>
    <mergeCell ref="C87:K87"/>
    <mergeCell ref="L87:T87"/>
    <mergeCell ref="U87:AF87"/>
    <mergeCell ref="AG87:AM87"/>
    <mergeCell ref="AN87:AT87"/>
    <mergeCell ref="AU87:BA87"/>
    <mergeCell ref="BB87:BH87"/>
    <mergeCell ref="C83:K83"/>
    <mergeCell ref="L83:T83"/>
    <mergeCell ref="U83:AF83"/>
    <mergeCell ref="AG83:AM83"/>
    <mergeCell ref="AN83:AT83"/>
    <mergeCell ref="AU83:BA83"/>
    <mergeCell ref="BB81:BH81"/>
    <mergeCell ref="C82:K82"/>
    <mergeCell ref="L82:T82"/>
    <mergeCell ref="U82:AF82"/>
    <mergeCell ref="AG82:AM82"/>
    <mergeCell ref="AN82:AT82"/>
    <mergeCell ref="AU82:BA82"/>
    <mergeCell ref="BB82:BH82"/>
    <mergeCell ref="C81:K81"/>
    <mergeCell ref="L81:T81"/>
    <mergeCell ref="U81:AF81"/>
    <mergeCell ref="AG81:AM81"/>
    <mergeCell ref="AN81:AT81"/>
    <mergeCell ref="AU81:BA81"/>
    <mergeCell ref="BB79:BH79"/>
    <mergeCell ref="C80:K80"/>
    <mergeCell ref="L80:T80"/>
    <mergeCell ref="U80:AF80"/>
    <mergeCell ref="AG80:AM80"/>
    <mergeCell ref="AN80:AT80"/>
    <mergeCell ref="AU80:BA80"/>
    <mergeCell ref="BB80:BH80"/>
    <mergeCell ref="C79:K79"/>
    <mergeCell ref="L79:T79"/>
    <mergeCell ref="U79:AF79"/>
    <mergeCell ref="AG79:AM79"/>
    <mergeCell ref="AN79:AT79"/>
    <mergeCell ref="AU79:BA79"/>
    <mergeCell ref="BB77:BH77"/>
    <mergeCell ref="C78:K78"/>
    <mergeCell ref="L78:T78"/>
    <mergeCell ref="U78:AF78"/>
    <mergeCell ref="AG78:AM78"/>
    <mergeCell ref="AN78:AT78"/>
    <mergeCell ref="AU78:BA78"/>
    <mergeCell ref="BB78:BH78"/>
    <mergeCell ref="C77:K77"/>
    <mergeCell ref="L77:T77"/>
    <mergeCell ref="U77:AF77"/>
    <mergeCell ref="AG77:AM77"/>
    <mergeCell ref="AN77:AT77"/>
    <mergeCell ref="AU77:BA77"/>
    <mergeCell ref="BB75:BH75"/>
    <mergeCell ref="C76:K76"/>
    <mergeCell ref="L76:T76"/>
    <mergeCell ref="U76:AF76"/>
    <mergeCell ref="AG76:AM76"/>
    <mergeCell ref="AN76:AT76"/>
    <mergeCell ref="AU76:BA76"/>
    <mergeCell ref="BB76:BH76"/>
    <mergeCell ref="C75:K75"/>
    <mergeCell ref="L75:T75"/>
    <mergeCell ref="U75:AF75"/>
    <mergeCell ref="AG75:AM75"/>
    <mergeCell ref="AN75:AT75"/>
    <mergeCell ref="AU75:BA75"/>
    <mergeCell ref="BB73:BH73"/>
    <mergeCell ref="C74:K74"/>
    <mergeCell ref="L74:T74"/>
    <mergeCell ref="U74:AF74"/>
    <mergeCell ref="AG74:AM74"/>
    <mergeCell ref="AN74:AT74"/>
    <mergeCell ref="AU74:BA74"/>
    <mergeCell ref="BB74:BH74"/>
    <mergeCell ref="C69:BH69"/>
    <mergeCell ref="C70:BH70"/>
    <mergeCell ref="C71:T72"/>
    <mergeCell ref="U71:BH72"/>
    <mergeCell ref="C73:K73"/>
    <mergeCell ref="L73:T73"/>
    <mergeCell ref="U73:AF73"/>
    <mergeCell ref="AG73:AM73"/>
    <mergeCell ref="AN73:AT73"/>
    <mergeCell ref="AU73:BA73"/>
    <mergeCell ref="BB67:BH67"/>
    <mergeCell ref="C68:K68"/>
    <mergeCell ref="L68:T68"/>
    <mergeCell ref="U68:AF68"/>
    <mergeCell ref="AG68:AM68"/>
    <mergeCell ref="AN68:AT68"/>
    <mergeCell ref="AU68:BA68"/>
    <mergeCell ref="BB68:BH68"/>
    <mergeCell ref="C67:K67"/>
    <mergeCell ref="L67:T67"/>
    <mergeCell ref="U67:AF67"/>
    <mergeCell ref="AG67:AM67"/>
    <mergeCell ref="AN67:AT67"/>
    <mergeCell ref="AU67:BA67"/>
    <mergeCell ref="BB65:BH65"/>
    <mergeCell ref="C66:K66"/>
    <mergeCell ref="L66:T66"/>
    <mergeCell ref="U66:AF66"/>
    <mergeCell ref="AG66:AM66"/>
    <mergeCell ref="AN66:AT66"/>
    <mergeCell ref="AU66:BA66"/>
    <mergeCell ref="BB66:BH66"/>
    <mergeCell ref="C65:K65"/>
    <mergeCell ref="L65:T65"/>
    <mergeCell ref="U65:AF65"/>
    <mergeCell ref="AG65:AM65"/>
    <mergeCell ref="AN65:AT65"/>
    <mergeCell ref="AU65:BA65"/>
    <mergeCell ref="BB63:BH63"/>
    <mergeCell ref="C64:K64"/>
    <mergeCell ref="L64:T64"/>
    <mergeCell ref="U64:AF64"/>
    <mergeCell ref="AG64:AM64"/>
    <mergeCell ref="AN64:AT64"/>
    <mergeCell ref="AU64:BA64"/>
    <mergeCell ref="BB64:BH64"/>
    <mergeCell ref="C63:K63"/>
    <mergeCell ref="L63:T63"/>
    <mergeCell ref="U63:AF63"/>
    <mergeCell ref="AG63:AM63"/>
    <mergeCell ref="AN63:AT63"/>
    <mergeCell ref="AU63:BA63"/>
    <mergeCell ref="BB61:BH61"/>
    <mergeCell ref="C62:K62"/>
    <mergeCell ref="L62:T62"/>
    <mergeCell ref="U62:AF62"/>
    <mergeCell ref="AG62:AM62"/>
    <mergeCell ref="AN62:AT62"/>
    <mergeCell ref="AU62:BA62"/>
    <mergeCell ref="BB62:BH62"/>
    <mergeCell ref="C61:K61"/>
    <mergeCell ref="L61:T61"/>
    <mergeCell ref="U61:AF61"/>
    <mergeCell ref="AG61:AM61"/>
    <mergeCell ref="AN61:AT61"/>
    <mergeCell ref="AU61:BA61"/>
    <mergeCell ref="BB59:BH59"/>
    <mergeCell ref="C60:K60"/>
    <mergeCell ref="L60:T60"/>
    <mergeCell ref="U60:AF60"/>
    <mergeCell ref="AG60:AM60"/>
    <mergeCell ref="AN60:AT60"/>
    <mergeCell ref="AU60:BA60"/>
    <mergeCell ref="BB60:BH60"/>
    <mergeCell ref="C59:K59"/>
    <mergeCell ref="L59:T59"/>
    <mergeCell ref="U59:AF59"/>
    <mergeCell ref="AG59:AM59"/>
    <mergeCell ref="AN59:AT59"/>
    <mergeCell ref="AU59:BA59"/>
    <mergeCell ref="C55:BH55"/>
    <mergeCell ref="C56:T57"/>
    <mergeCell ref="U56:BH57"/>
    <mergeCell ref="C58:K58"/>
    <mergeCell ref="L58:T58"/>
    <mergeCell ref="U58:AF58"/>
    <mergeCell ref="AG58:AM58"/>
    <mergeCell ref="AN58:AT58"/>
    <mergeCell ref="AU58:BA58"/>
    <mergeCell ref="BB58:BH58"/>
    <mergeCell ref="BB53:BH53"/>
    <mergeCell ref="C54:K54"/>
    <mergeCell ref="L54:T54"/>
    <mergeCell ref="U54:AF54"/>
    <mergeCell ref="AG54:AM54"/>
    <mergeCell ref="AN54:AT54"/>
    <mergeCell ref="AU54:BA54"/>
    <mergeCell ref="BB54:BH54"/>
    <mergeCell ref="C53:K53"/>
    <mergeCell ref="L53:T53"/>
    <mergeCell ref="U53:AF53"/>
    <mergeCell ref="AG53:AM53"/>
    <mergeCell ref="AN53:AT53"/>
    <mergeCell ref="AU53:BA53"/>
    <mergeCell ref="BB51:BH51"/>
    <mergeCell ref="C52:K52"/>
    <mergeCell ref="L52:T52"/>
    <mergeCell ref="U52:AF52"/>
    <mergeCell ref="AG52:AM52"/>
    <mergeCell ref="AN52:AT52"/>
    <mergeCell ref="AU52:BA52"/>
    <mergeCell ref="BB52:BH52"/>
    <mergeCell ref="BB47:BH47"/>
    <mergeCell ref="C48:BH48"/>
    <mergeCell ref="C49:T50"/>
    <mergeCell ref="U49:BH50"/>
    <mergeCell ref="C51:K51"/>
    <mergeCell ref="L51:T51"/>
    <mergeCell ref="U51:AF51"/>
    <mergeCell ref="AG51:AM51"/>
    <mergeCell ref="AN51:AT51"/>
    <mergeCell ref="AU51:BA51"/>
    <mergeCell ref="C47:K47"/>
    <mergeCell ref="L47:T47"/>
    <mergeCell ref="U47:AF47"/>
    <mergeCell ref="AG47:AM47"/>
    <mergeCell ref="AN47:AT47"/>
    <mergeCell ref="AU47:BA47"/>
    <mergeCell ref="BB45:BH45"/>
    <mergeCell ref="C46:K46"/>
    <mergeCell ref="L46:T46"/>
    <mergeCell ref="U46:AF46"/>
    <mergeCell ref="AG46:AM46"/>
    <mergeCell ref="AN46:AT46"/>
    <mergeCell ref="AU46:BA46"/>
    <mergeCell ref="BB46:BH46"/>
    <mergeCell ref="C45:K45"/>
    <mergeCell ref="L45:T45"/>
    <mergeCell ref="U45:AF45"/>
    <mergeCell ref="AG45:AM45"/>
    <mergeCell ref="AN45:AT45"/>
    <mergeCell ref="AU45:BA45"/>
    <mergeCell ref="BB43:BH43"/>
    <mergeCell ref="C44:K44"/>
    <mergeCell ref="L44:T44"/>
    <mergeCell ref="U44:AF44"/>
    <mergeCell ref="AG44:AM44"/>
    <mergeCell ref="AN44:AT44"/>
    <mergeCell ref="AU44:BA44"/>
    <mergeCell ref="BB44:BH44"/>
    <mergeCell ref="C43:K43"/>
    <mergeCell ref="L43:T43"/>
    <mergeCell ref="U43:AF43"/>
    <mergeCell ref="AG43:AM43"/>
    <mergeCell ref="AN43:AT43"/>
    <mergeCell ref="AU43:BA43"/>
    <mergeCell ref="BB41:BH41"/>
    <mergeCell ref="C42:K42"/>
    <mergeCell ref="L42:T42"/>
    <mergeCell ref="U42:AF42"/>
    <mergeCell ref="AG42:AM42"/>
    <mergeCell ref="AN42:AT42"/>
    <mergeCell ref="AU42:BA42"/>
    <mergeCell ref="BB42:BH42"/>
    <mergeCell ref="C41:K41"/>
    <mergeCell ref="L41:T41"/>
    <mergeCell ref="U41:AF41"/>
    <mergeCell ref="AG41:AM41"/>
    <mergeCell ref="AN41:AT41"/>
    <mergeCell ref="AU41:BA41"/>
    <mergeCell ref="BB39:BH39"/>
    <mergeCell ref="C40:K40"/>
    <mergeCell ref="L40:T40"/>
    <mergeCell ref="U40:AF40"/>
    <mergeCell ref="AG40:AM40"/>
    <mergeCell ref="AN40:AT40"/>
    <mergeCell ref="AU40:BA40"/>
    <mergeCell ref="BB40:BH40"/>
    <mergeCell ref="C39:K39"/>
    <mergeCell ref="L39:T39"/>
    <mergeCell ref="U39:AF39"/>
    <mergeCell ref="AG39:AM39"/>
    <mergeCell ref="AN39:AT39"/>
    <mergeCell ref="AU39:BA39"/>
    <mergeCell ref="BB37:BH37"/>
    <mergeCell ref="C38:K38"/>
    <mergeCell ref="L38:T38"/>
    <mergeCell ref="U38:AF38"/>
    <mergeCell ref="AG38:AM38"/>
    <mergeCell ref="AN38:AT38"/>
    <mergeCell ref="AU38:BA38"/>
    <mergeCell ref="BB38:BH38"/>
    <mergeCell ref="C37:K37"/>
    <mergeCell ref="L37:T37"/>
    <mergeCell ref="U37:AF37"/>
    <mergeCell ref="AG37:AM37"/>
    <mergeCell ref="AN37:AT37"/>
    <mergeCell ref="AU37:BA37"/>
    <mergeCell ref="BB35:BH35"/>
    <mergeCell ref="C36:K36"/>
    <mergeCell ref="L36:T36"/>
    <mergeCell ref="U36:AF36"/>
    <mergeCell ref="AG36:AM36"/>
    <mergeCell ref="AN36:AT36"/>
    <mergeCell ref="AU36:BA36"/>
    <mergeCell ref="BB36:BH36"/>
    <mergeCell ref="C35:K35"/>
    <mergeCell ref="L35:T35"/>
    <mergeCell ref="U35:AF35"/>
    <mergeCell ref="AG35:AM35"/>
    <mergeCell ref="AN35:AT35"/>
    <mergeCell ref="AU35:BA35"/>
    <mergeCell ref="BB33:BH33"/>
    <mergeCell ref="C34:K34"/>
    <mergeCell ref="L34:T34"/>
    <mergeCell ref="U34:AF34"/>
    <mergeCell ref="AG34:AM34"/>
    <mergeCell ref="AN34:AT34"/>
    <mergeCell ref="AU34:BA34"/>
    <mergeCell ref="BB34:BH34"/>
    <mergeCell ref="C33:K33"/>
    <mergeCell ref="L33:T33"/>
    <mergeCell ref="U33:AF33"/>
    <mergeCell ref="AG33:AM33"/>
    <mergeCell ref="AN33:AT33"/>
    <mergeCell ref="AU33:BA33"/>
    <mergeCell ref="BB31:BH31"/>
    <mergeCell ref="C32:K32"/>
    <mergeCell ref="L32:T32"/>
    <mergeCell ref="U32:AF32"/>
    <mergeCell ref="AG32:AM32"/>
    <mergeCell ref="AN32:AT32"/>
    <mergeCell ref="AU32:BA32"/>
    <mergeCell ref="BB32:BH32"/>
    <mergeCell ref="C31:K31"/>
    <mergeCell ref="L31:T31"/>
    <mergeCell ref="U31:AF31"/>
    <mergeCell ref="AG31:AM31"/>
    <mergeCell ref="AN31:AT31"/>
    <mergeCell ref="AU31:BA31"/>
    <mergeCell ref="BB9:BF9"/>
    <mergeCell ref="C28:T29"/>
    <mergeCell ref="U28:BH29"/>
    <mergeCell ref="C30:K30"/>
    <mergeCell ref="L30:T30"/>
    <mergeCell ref="U30:AF30"/>
    <mergeCell ref="AG30:AM30"/>
    <mergeCell ref="AN30:AT30"/>
    <mergeCell ref="AU30:BA30"/>
    <mergeCell ref="BB30:BH30"/>
  </mergeCells>
  <hyperlinks>
    <hyperlink ref="Q113" r:id="rId1" xr:uid="{00A7E05F-26E6-47E5-8145-34C91FF2745B}"/>
  </hyperlinks>
  <pageMargins left="0.25" right="0.25" top="0.75" bottom="0.75" header="0.3" footer="0.3"/>
  <pageSetup paperSize="9" scale="55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7035-25A0-410E-826E-6CF3A011185C}">
  <sheetPr codeName="Sheet8">
    <tabColor rgb="FFEE312F"/>
    <pageSetUpPr fitToPage="1"/>
  </sheetPr>
  <dimension ref="B1:BI90"/>
  <sheetViews>
    <sheetView showGridLines="0" topLeftCell="A53" zoomScaleNormal="100" workbookViewId="0">
      <selection activeCell="C65" sqref="C65:W71"/>
    </sheetView>
  </sheetViews>
  <sheetFormatPr defaultColWidth="3" defaultRowHeight="14.25"/>
  <cols>
    <col min="1" max="1" width="3" style="1"/>
    <col min="2" max="2" width="5.7109375" style="1" customWidth="1"/>
    <col min="3" max="60" width="2.85546875" style="1" customWidth="1"/>
    <col min="61" max="61" width="5.7109375" style="1" customWidth="1"/>
    <col min="62" max="63" width="3" style="1"/>
    <col min="64" max="64" width="7" style="1" customWidth="1"/>
    <col min="65" max="16384" width="3" style="1"/>
  </cols>
  <sheetData>
    <row r="1" spans="2:61" ht="15" thickBot="1"/>
    <row r="2" spans="2:61" ht="16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</row>
    <row r="3" spans="2:61" ht="16.5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7"/>
    </row>
    <row r="4" spans="2:61" ht="16.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</row>
    <row r="5" spans="2:61" ht="16.5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1" ht="14.2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2:61" ht="3" customHeight="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0"/>
    </row>
    <row r="8" spans="2:61" ht="16.5" customHeigh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3"/>
    </row>
    <row r="9" spans="2:61" ht="16.5" customHeight="1">
      <c r="B9" s="11"/>
      <c r="C9" s="18" t="str">
        <f>('1. Intro'!$C$19)</f>
        <v>RATE AGREEMENT / SERVICE CONTRACT: AS OUTLINED BY ROUTE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3</v>
      </c>
      <c r="BA9" s="12"/>
      <c r="BB9" s="120">
        <v>46041</v>
      </c>
      <c r="BC9" s="120"/>
      <c r="BD9" s="120"/>
      <c r="BE9" s="120"/>
      <c r="BF9" s="120"/>
      <c r="BG9" s="12"/>
      <c r="BH9" s="121"/>
      <c r="BI9" s="13"/>
    </row>
    <row r="10" spans="2:61" ht="16.5" customHeight="1">
      <c r="B10" s="11"/>
      <c r="C10" s="18" t="str">
        <f>('1. Intro'!$C$20)</f>
        <v>RATE VALIDITY: AS PER RDA DATE 01.02.2026 - 30.04.2026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3"/>
    </row>
    <row r="11" spans="2:61" ht="16.5" customHeight="1">
      <c r="B11" s="11"/>
      <c r="C11" s="18" t="str">
        <f>('1. Intro'!$C$21)</f>
        <v xml:space="preserve">RATE AND SURCHARGES APPLICATION: AS PER RATING DATE (RDA) 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 ht="16.5" customHeight="1">
      <c r="B12" s="11"/>
      <c r="C12" s="18" t="s">
        <v>136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3"/>
    </row>
    <row r="13" spans="2:61" ht="16.5" customHeight="1">
      <c r="B13" s="11"/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3"/>
    </row>
    <row r="14" spans="2:61" ht="16.5" customHeight="1">
      <c r="B14" s="11"/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</row>
    <row r="15" spans="2:61" ht="16.5" customHeight="1">
      <c r="B15" s="11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</row>
    <row r="16" spans="2:61" ht="16.5" customHeight="1">
      <c r="B16" s="11"/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</row>
    <row r="17" spans="2:61" ht="16.5" customHeight="1">
      <c r="B17" s="11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</row>
    <row r="18" spans="2:61" ht="16.5" customHeight="1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</row>
    <row r="19" spans="2:61" ht="16.5" customHeight="1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</row>
    <row r="20" spans="2:61" ht="16.5" customHeight="1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</row>
    <row r="21" spans="2:61" ht="16.5" customHeight="1">
      <c r="B21" s="1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2"/>
      <c r="BA21" s="12"/>
      <c r="BB21" s="12"/>
      <c r="BC21" s="12"/>
      <c r="BD21" s="12"/>
      <c r="BE21" s="12"/>
      <c r="BF21" s="12"/>
      <c r="BG21" s="12"/>
      <c r="BH21" s="12"/>
      <c r="BI21" s="13"/>
    </row>
    <row r="22" spans="2:61" ht="16.5" customHeight="1">
      <c r="B22" s="1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3"/>
    </row>
    <row r="23" spans="2:61" ht="16.5" customHeight="1">
      <c r="B23" s="1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</row>
    <row r="24" spans="2:61" ht="16.5" customHeight="1">
      <c r="B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</row>
    <row r="25" spans="2:61" s="25" customFormat="1" ht="16.5" customHeight="1">
      <c r="B25" s="17"/>
      <c r="C25" s="18"/>
      <c r="D25" s="18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2"/>
      <c r="Y25" s="82"/>
      <c r="Z25" s="82"/>
      <c r="AA25" s="83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19"/>
      <c r="AP25" s="12"/>
      <c r="AQ25" s="19"/>
      <c r="AR25" s="20"/>
      <c r="AS25" s="21" t="s">
        <v>137</v>
      </c>
      <c r="AT25" s="19"/>
      <c r="AU25" s="19"/>
      <c r="AV25" s="123"/>
      <c r="AW25" s="19"/>
      <c r="AX25" s="19"/>
      <c r="AY25" s="19"/>
      <c r="AZ25" s="19"/>
      <c r="BA25" s="19"/>
      <c r="BB25" s="19"/>
      <c r="BC25" s="23"/>
      <c r="BD25" s="23"/>
      <c r="BE25" s="23"/>
      <c r="BF25" s="23"/>
      <c r="BG25" s="23"/>
      <c r="BH25" s="23"/>
      <c r="BI25" s="24"/>
    </row>
    <row r="26" spans="2:61" s="25" customFormat="1" ht="16.5" customHeight="1">
      <c r="B26" s="17"/>
      <c r="C26" s="18"/>
      <c r="D26" s="18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23"/>
      <c r="AP26" s="23"/>
      <c r="AQ26" s="23"/>
      <c r="AR26" s="23"/>
      <c r="AS26" s="21" t="s">
        <v>137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19"/>
      <c r="BD26" s="19"/>
      <c r="BE26" s="19"/>
      <c r="BF26" s="19"/>
      <c r="BG26" s="19"/>
      <c r="BH26" s="19"/>
      <c r="BI26" s="24"/>
    </row>
    <row r="27" spans="2:61" s="25" customFormat="1" ht="16.5" customHeight="1">
      <c r="B27" s="17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24"/>
    </row>
    <row r="28" spans="2:61" s="25" customFormat="1" ht="16.5" customHeight="1">
      <c r="B28" s="17"/>
      <c r="C28" s="124" t="s">
        <v>265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5" t="s">
        <v>172</v>
      </c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24"/>
    </row>
    <row r="29" spans="2:61" s="25" customFormat="1" ht="16.5" customHeight="1">
      <c r="B29" s="17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24"/>
    </row>
    <row r="30" spans="2:61" s="25" customFormat="1" ht="16.5" customHeight="1">
      <c r="B30" s="17"/>
      <c r="C30" s="126" t="s">
        <v>140</v>
      </c>
      <c r="D30" s="126"/>
      <c r="E30" s="126"/>
      <c r="F30" s="126"/>
      <c r="G30" s="126"/>
      <c r="H30" s="126"/>
      <c r="I30" s="126"/>
      <c r="J30" s="126"/>
      <c r="K30" s="126"/>
      <c r="L30" s="126" t="s">
        <v>141</v>
      </c>
      <c r="M30" s="126"/>
      <c r="N30" s="126"/>
      <c r="O30" s="126"/>
      <c r="P30" s="126"/>
      <c r="Q30" s="126"/>
      <c r="R30" s="126"/>
      <c r="S30" s="126"/>
      <c r="T30" s="126"/>
      <c r="U30" s="126" t="s">
        <v>142</v>
      </c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 t="s">
        <v>143</v>
      </c>
      <c r="AH30" s="126"/>
      <c r="AI30" s="126"/>
      <c r="AJ30" s="126"/>
      <c r="AK30" s="126"/>
      <c r="AL30" s="126"/>
      <c r="AM30" s="126"/>
      <c r="AN30" s="126" t="s">
        <v>144</v>
      </c>
      <c r="AO30" s="126"/>
      <c r="AP30" s="126"/>
      <c r="AQ30" s="126"/>
      <c r="AR30" s="126"/>
      <c r="AS30" s="126"/>
      <c r="AT30" s="126"/>
      <c r="AU30" s="126" t="s">
        <v>145</v>
      </c>
      <c r="AV30" s="126"/>
      <c r="AW30" s="126"/>
      <c r="AX30" s="126"/>
      <c r="AY30" s="126"/>
      <c r="AZ30" s="126"/>
      <c r="BA30" s="126"/>
      <c r="BB30" s="126" t="s">
        <v>146</v>
      </c>
      <c r="BC30" s="126"/>
      <c r="BD30" s="126"/>
      <c r="BE30" s="126"/>
      <c r="BF30" s="126"/>
      <c r="BG30" s="126"/>
      <c r="BH30" s="126"/>
      <c r="BI30" s="24"/>
    </row>
    <row r="31" spans="2:61" s="25" customFormat="1" ht="16.5" customHeight="1">
      <c r="B31" s="17"/>
      <c r="C31" s="137" t="s">
        <v>266</v>
      </c>
      <c r="D31" s="137"/>
      <c r="E31" s="137"/>
      <c r="F31" s="137"/>
      <c r="G31" s="137"/>
      <c r="H31" s="137"/>
      <c r="I31" s="137"/>
      <c r="J31" s="137"/>
      <c r="K31" s="137"/>
      <c r="L31" s="137" t="s">
        <v>196</v>
      </c>
      <c r="M31" s="137"/>
      <c r="N31" s="137"/>
      <c r="O31" s="137"/>
      <c r="P31" s="137"/>
      <c r="Q31" s="137"/>
      <c r="R31" s="137"/>
      <c r="S31" s="137"/>
      <c r="T31" s="137"/>
      <c r="U31" s="137" t="s">
        <v>267</v>
      </c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8">
        <v>1155</v>
      </c>
      <c r="AH31" s="138"/>
      <c r="AI31" s="138"/>
      <c r="AJ31" s="138"/>
      <c r="AK31" s="138"/>
      <c r="AL31" s="138"/>
      <c r="AM31" s="138"/>
      <c r="AN31" s="138">
        <v>1515</v>
      </c>
      <c r="AO31" s="138"/>
      <c r="AP31" s="138"/>
      <c r="AQ31" s="138"/>
      <c r="AR31" s="138"/>
      <c r="AS31" s="138"/>
      <c r="AT31" s="138"/>
      <c r="AU31" s="138">
        <v>1515</v>
      </c>
      <c r="AV31" s="138"/>
      <c r="AW31" s="138"/>
      <c r="AX31" s="138"/>
      <c r="AY31" s="138"/>
      <c r="AZ31" s="138"/>
      <c r="BA31" s="138"/>
      <c r="BB31" s="139" t="s">
        <v>268</v>
      </c>
      <c r="BC31" s="140"/>
      <c r="BD31" s="140"/>
      <c r="BE31" s="140"/>
      <c r="BF31" s="140"/>
      <c r="BG31" s="140"/>
      <c r="BH31" s="140"/>
      <c r="BI31" s="24"/>
    </row>
    <row r="32" spans="2:61" s="25" customFormat="1" ht="16.5" customHeight="1">
      <c r="B32" s="17"/>
      <c r="C32" s="133" t="s">
        <v>266</v>
      </c>
      <c r="D32" s="133"/>
      <c r="E32" s="133"/>
      <c r="F32" s="133"/>
      <c r="G32" s="133"/>
      <c r="H32" s="133"/>
      <c r="I32" s="133"/>
      <c r="J32" s="133"/>
      <c r="K32" s="133"/>
      <c r="L32" s="133" t="s">
        <v>196</v>
      </c>
      <c r="M32" s="133"/>
      <c r="N32" s="133"/>
      <c r="O32" s="133"/>
      <c r="P32" s="133"/>
      <c r="Q32" s="133"/>
      <c r="R32" s="133"/>
      <c r="S32" s="133"/>
      <c r="T32" s="133"/>
      <c r="U32" s="133" t="s">
        <v>269</v>
      </c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4">
        <v>1180</v>
      </c>
      <c r="AH32" s="134"/>
      <c r="AI32" s="134"/>
      <c r="AJ32" s="134"/>
      <c r="AK32" s="134"/>
      <c r="AL32" s="134"/>
      <c r="AM32" s="134"/>
      <c r="AN32" s="134">
        <v>1505</v>
      </c>
      <c r="AO32" s="134"/>
      <c r="AP32" s="134"/>
      <c r="AQ32" s="134"/>
      <c r="AR32" s="134"/>
      <c r="AS32" s="134"/>
      <c r="AT32" s="134"/>
      <c r="AU32" s="134">
        <v>1505</v>
      </c>
      <c r="AV32" s="134"/>
      <c r="AW32" s="134"/>
      <c r="AX32" s="134"/>
      <c r="AY32" s="134"/>
      <c r="AZ32" s="134"/>
      <c r="BA32" s="134"/>
      <c r="BB32" s="135" t="s">
        <v>268</v>
      </c>
      <c r="BC32" s="136"/>
      <c r="BD32" s="136"/>
      <c r="BE32" s="136"/>
      <c r="BF32" s="136"/>
      <c r="BG32" s="136"/>
      <c r="BH32" s="136"/>
      <c r="BI32" s="24"/>
    </row>
    <row r="33" spans="2:61" s="25" customFormat="1" ht="16.5" customHeight="1">
      <c r="B33" s="17"/>
      <c r="C33" s="137" t="s">
        <v>266</v>
      </c>
      <c r="D33" s="137"/>
      <c r="E33" s="137"/>
      <c r="F33" s="137"/>
      <c r="G33" s="137"/>
      <c r="H33" s="137"/>
      <c r="I33" s="137"/>
      <c r="J33" s="137"/>
      <c r="K33" s="137"/>
      <c r="L33" s="137" t="s">
        <v>196</v>
      </c>
      <c r="M33" s="137"/>
      <c r="N33" s="137"/>
      <c r="O33" s="137"/>
      <c r="P33" s="137"/>
      <c r="Q33" s="137"/>
      <c r="R33" s="137"/>
      <c r="S33" s="137"/>
      <c r="T33" s="137"/>
      <c r="U33" s="137" t="s">
        <v>270</v>
      </c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8">
        <v>1450</v>
      </c>
      <c r="AH33" s="138"/>
      <c r="AI33" s="138"/>
      <c r="AJ33" s="138"/>
      <c r="AK33" s="138"/>
      <c r="AL33" s="138"/>
      <c r="AM33" s="138"/>
      <c r="AN33" s="138">
        <v>1900</v>
      </c>
      <c r="AO33" s="138"/>
      <c r="AP33" s="138"/>
      <c r="AQ33" s="138"/>
      <c r="AR33" s="138"/>
      <c r="AS33" s="138"/>
      <c r="AT33" s="138"/>
      <c r="AU33" s="138">
        <v>1900</v>
      </c>
      <c r="AV33" s="138"/>
      <c r="AW33" s="138"/>
      <c r="AX33" s="138"/>
      <c r="AY33" s="138"/>
      <c r="AZ33" s="138"/>
      <c r="BA33" s="138"/>
      <c r="BB33" s="139" t="s">
        <v>268</v>
      </c>
      <c r="BC33" s="140"/>
      <c r="BD33" s="140"/>
      <c r="BE33" s="140"/>
      <c r="BF33" s="140"/>
      <c r="BG33" s="140"/>
      <c r="BH33" s="140"/>
      <c r="BI33" s="24"/>
    </row>
    <row r="34" spans="2:61" s="25" customFormat="1" ht="16.5" customHeight="1">
      <c r="B34" s="17"/>
      <c r="C34" s="133" t="s">
        <v>266</v>
      </c>
      <c r="D34" s="133"/>
      <c r="E34" s="133"/>
      <c r="F34" s="133"/>
      <c r="G34" s="133"/>
      <c r="H34" s="133"/>
      <c r="I34" s="133"/>
      <c r="J34" s="133"/>
      <c r="K34" s="133"/>
      <c r="L34" s="133" t="s">
        <v>196</v>
      </c>
      <c r="M34" s="133"/>
      <c r="N34" s="133"/>
      <c r="O34" s="133"/>
      <c r="P34" s="133"/>
      <c r="Q34" s="133"/>
      <c r="R34" s="133"/>
      <c r="S34" s="133"/>
      <c r="T34" s="133"/>
      <c r="U34" s="133" t="s">
        <v>271</v>
      </c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4">
        <v>1005</v>
      </c>
      <c r="AH34" s="134"/>
      <c r="AI34" s="134"/>
      <c r="AJ34" s="134"/>
      <c r="AK34" s="134"/>
      <c r="AL34" s="134"/>
      <c r="AM34" s="134"/>
      <c r="AN34" s="134">
        <v>1230</v>
      </c>
      <c r="AO34" s="134"/>
      <c r="AP34" s="134"/>
      <c r="AQ34" s="134"/>
      <c r="AR34" s="134"/>
      <c r="AS34" s="134"/>
      <c r="AT34" s="134"/>
      <c r="AU34" s="134">
        <v>1230</v>
      </c>
      <c r="AV34" s="134"/>
      <c r="AW34" s="134"/>
      <c r="AX34" s="134"/>
      <c r="AY34" s="134"/>
      <c r="AZ34" s="134"/>
      <c r="BA34" s="134"/>
      <c r="BB34" s="135" t="s">
        <v>268</v>
      </c>
      <c r="BC34" s="136"/>
      <c r="BD34" s="136"/>
      <c r="BE34" s="136"/>
      <c r="BF34" s="136"/>
      <c r="BG34" s="136"/>
      <c r="BH34" s="136"/>
      <c r="BI34" s="24"/>
    </row>
    <row r="35" spans="2:61" s="25" customFormat="1" ht="16.5" customHeight="1">
      <c r="B35" s="17"/>
      <c r="C35" s="137" t="s">
        <v>266</v>
      </c>
      <c r="D35" s="137"/>
      <c r="E35" s="137"/>
      <c r="F35" s="137"/>
      <c r="G35" s="137"/>
      <c r="H35" s="137"/>
      <c r="I35" s="137"/>
      <c r="J35" s="137"/>
      <c r="K35" s="137"/>
      <c r="L35" s="137" t="s">
        <v>196</v>
      </c>
      <c r="M35" s="137"/>
      <c r="N35" s="137"/>
      <c r="O35" s="137"/>
      <c r="P35" s="137"/>
      <c r="Q35" s="137"/>
      <c r="R35" s="137"/>
      <c r="S35" s="137"/>
      <c r="T35" s="137"/>
      <c r="U35" s="137" t="s">
        <v>272</v>
      </c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8">
        <v>1070</v>
      </c>
      <c r="AH35" s="138"/>
      <c r="AI35" s="138"/>
      <c r="AJ35" s="138"/>
      <c r="AK35" s="138"/>
      <c r="AL35" s="138"/>
      <c r="AM35" s="138"/>
      <c r="AN35" s="138">
        <v>1380</v>
      </c>
      <c r="AO35" s="138"/>
      <c r="AP35" s="138"/>
      <c r="AQ35" s="138"/>
      <c r="AR35" s="138"/>
      <c r="AS35" s="138"/>
      <c r="AT35" s="138"/>
      <c r="AU35" s="138">
        <v>1380</v>
      </c>
      <c r="AV35" s="138"/>
      <c r="AW35" s="138"/>
      <c r="AX35" s="138"/>
      <c r="AY35" s="138"/>
      <c r="AZ35" s="138"/>
      <c r="BA35" s="138"/>
      <c r="BB35" s="139" t="s">
        <v>268</v>
      </c>
      <c r="BC35" s="140"/>
      <c r="BD35" s="140"/>
      <c r="BE35" s="140"/>
      <c r="BF35" s="140"/>
      <c r="BG35" s="140"/>
      <c r="BH35" s="140"/>
      <c r="BI35" s="24"/>
    </row>
    <row r="36" spans="2:61" s="25" customFormat="1" ht="16.5" customHeight="1">
      <c r="B36" s="17"/>
      <c r="C36" s="133" t="s">
        <v>266</v>
      </c>
      <c r="D36" s="133"/>
      <c r="E36" s="133"/>
      <c r="F36" s="133"/>
      <c r="G36" s="133"/>
      <c r="H36" s="133"/>
      <c r="I36" s="133"/>
      <c r="J36" s="133"/>
      <c r="K36" s="133"/>
      <c r="L36" s="133" t="s">
        <v>196</v>
      </c>
      <c r="M36" s="133"/>
      <c r="N36" s="133"/>
      <c r="O36" s="133"/>
      <c r="P36" s="133"/>
      <c r="Q36" s="133"/>
      <c r="R36" s="133"/>
      <c r="S36" s="133"/>
      <c r="T36" s="133"/>
      <c r="U36" s="133" t="s">
        <v>273</v>
      </c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4">
        <v>1155</v>
      </c>
      <c r="AH36" s="134"/>
      <c r="AI36" s="134"/>
      <c r="AJ36" s="134"/>
      <c r="AK36" s="134"/>
      <c r="AL36" s="134"/>
      <c r="AM36" s="134"/>
      <c r="AN36" s="134">
        <v>1515</v>
      </c>
      <c r="AO36" s="134"/>
      <c r="AP36" s="134"/>
      <c r="AQ36" s="134"/>
      <c r="AR36" s="134"/>
      <c r="AS36" s="134"/>
      <c r="AT36" s="134"/>
      <c r="AU36" s="134">
        <v>1515</v>
      </c>
      <c r="AV36" s="134"/>
      <c r="AW36" s="134"/>
      <c r="AX36" s="134"/>
      <c r="AY36" s="134"/>
      <c r="AZ36" s="134"/>
      <c r="BA36" s="134"/>
      <c r="BB36" s="135" t="s">
        <v>268</v>
      </c>
      <c r="BC36" s="136"/>
      <c r="BD36" s="136"/>
      <c r="BE36" s="136"/>
      <c r="BF36" s="136"/>
      <c r="BG36" s="136"/>
      <c r="BH36" s="136"/>
      <c r="BI36" s="24"/>
    </row>
    <row r="37" spans="2:61" s="25" customFormat="1" ht="16.5" customHeight="1">
      <c r="B37" s="17"/>
      <c r="C37" s="137" t="s">
        <v>266</v>
      </c>
      <c r="D37" s="137"/>
      <c r="E37" s="137"/>
      <c r="F37" s="137"/>
      <c r="G37" s="137"/>
      <c r="H37" s="137"/>
      <c r="I37" s="137"/>
      <c r="J37" s="137"/>
      <c r="K37" s="137"/>
      <c r="L37" s="137" t="s">
        <v>196</v>
      </c>
      <c r="M37" s="137"/>
      <c r="N37" s="137"/>
      <c r="O37" s="137"/>
      <c r="P37" s="137"/>
      <c r="Q37" s="137"/>
      <c r="R37" s="137"/>
      <c r="S37" s="137"/>
      <c r="T37" s="137"/>
      <c r="U37" s="137" t="s">
        <v>274</v>
      </c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8">
        <v>1160</v>
      </c>
      <c r="AH37" s="138"/>
      <c r="AI37" s="138"/>
      <c r="AJ37" s="138"/>
      <c r="AK37" s="138"/>
      <c r="AL37" s="138"/>
      <c r="AM37" s="138"/>
      <c r="AN37" s="138">
        <v>1490</v>
      </c>
      <c r="AO37" s="138"/>
      <c r="AP37" s="138"/>
      <c r="AQ37" s="138"/>
      <c r="AR37" s="138"/>
      <c r="AS37" s="138"/>
      <c r="AT37" s="138"/>
      <c r="AU37" s="138">
        <v>1490</v>
      </c>
      <c r="AV37" s="138"/>
      <c r="AW37" s="138"/>
      <c r="AX37" s="138"/>
      <c r="AY37" s="138"/>
      <c r="AZ37" s="138"/>
      <c r="BA37" s="138"/>
      <c r="BB37" s="139" t="s">
        <v>268</v>
      </c>
      <c r="BC37" s="140"/>
      <c r="BD37" s="140"/>
      <c r="BE37" s="140"/>
      <c r="BF37" s="140"/>
      <c r="BG37" s="140"/>
      <c r="BH37" s="140"/>
      <c r="BI37" s="24"/>
    </row>
    <row r="38" spans="2:61" s="25" customFormat="1" ht="16.5" customHeight="1">
      <c r="B38" s="17"/>
      <c r="C38" s="133" t="s">
        <v>266</v>
      </c>
      <c r="D38" s="133"/>
      <c r="E38" s="133"/>
      <c r="F38" s="133"/>
      <c r="G38" s="133"/>
      <c r="H38" s="133"/>
      <c r="I38" s="133"/>
      <c r="J38" s="133"/>
      <c r="K38" s="133"/>
      <c r="L38" s="133" t="s">
        <v>196</v>
      </c>
      <c r="M38" s="133"/>
      <c r="N38" s="133"/>
      <c r="O38" s="133"/>
      <c r="P38" s="133"/>
      <c r="Q38" s="133"/>
      <c r="R38" s="133"/>
      <c r="S38" s="133"/>
      <c r="T38" s="133"/>
      <c r="U38" s="133" t="s">
        <v>275</v>
      </c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4">
        <v>1210</v>
      </c>
      <c r="AH38" s="134"/>
      <c r="AI38" s="134"/>
      <c r="AJ38" s="134"/>
      <c r="AK38" s="134"/>
      <c r="AL38" s="134"/>
      <c r="AM38" s="134"/>
      <c r="AN38" s="134">
        <v>1610</v>
      </c>
      <c r="AO38" s="134"/>
      <c r="AP38" s="134"/>
      <c r="AQ38" s="134"/>
      <c r="AR38" s="134"/>
      <c r="AS38" s="134"/>
      <c r="AT38" s="134"/>
      <c r="AU38" s="134">
        <v>1610</v>
      </c>
      <c r="AV38" s="134"/>
      <c r="AW38" s="134"/>
      <c r="AX38" s="134"/>
      <c r="AY38" s="134"/>
      <c r="AZ38" s="134"/>
      <c r="BA38" s="134"/>
      <c r="BB38" s="135" t="s">
        <v>268</v>
      </c>
      <c r="BC38" s="136"/>
      <c r="BD38" s="136"/>
      <c r="BE38" s="136"/>
      <c r="BF38" s="136"/>
      <c r="BG38" s="136"/>
      <c r="BH38" s="136"/>
      <c r="BI38" s="24"/>
    </row>
    <row r="39" spans="2:61" s="25" customFormat="1" ht="16.5" customHeight="1">
      <c r="B39" s="17"/>
      <c r="C39" s="137" t="s">
        <v>266</v>
      </c>
      <c r="D39" s="137"/>
      <c r="E39" s="137"/>
      <c r="F39" s="137"/>
      <c r="G39" s="137"/>
      <c r="H39" s="137"/>
      <c r="I39" s="137"/>
      <c r="J39" s="137"/>
      <c r="K39" s="137"/>
      <c r="L39" s="137" t="s">
        <v>196</v>
      </c>
      <c r="M39" s="137"/>
      <c r="N39" s="137"/>
      <c r="O39" s="137"/>
      <c r="P39" s="137"/>
      <c r="Q39" s="137"/>
      <c r="R39" s="137"/>
      <c r="S39" s="137"/>
      <c r="T39" s="137"/>
      <c r="U39" s="137" t="s">
        <v>276</v>
      </c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8">
        <v>1130</v>
      </c>
      <c r="AH39" s="138"/>
      <c r="AI39" s="138"/>
      <c r="AJ39" s="138"/>
      <c r="AK39" s="138"/>
      <c r="AL39" s="138"/>
      <c r="AM39" s="138"/>
      <c r="AN39" s="138">
        <v>1450</v>
      </c>
      <c r="AO39" s="138"/>
      <c r="AP39" s="138"/>
      <c r="AQ39" s="138"/>
      <c r="AR39" s="138"/>
      <c r="AS39" s="138"/>
      <c r="AT39" s="138"/>
      <c r="AU39" s="138">
        <v>1450</v>
      </c>
      <c r="AV39" s="138"/>
      <c r="AW39" s="138"/>
      <c r="AX39" s="138"/>
      <c r="AY39" s="138"/>
      <c r="AZ39" s="138"/>
      <c r="BA39" s="138"/>
      <c r="BB39" s="139" t="s">
        <v>268</v>
      </c>
      <c r="BC39" s="140"/>
      <c r="BD39" s="140"/>
      <c r="BE39" s="140"/>
      <c r="BF39" s="140"/>
      <c r="BG39" s="140"/>
      <c r="BH39" s="140"/>
      <c r="BI39" s="24"/>
    </row>
    <row r="40" spans="2:61" s="25" customFormat="1" ht="16.5" customHeight="1">
      <c r="B40" s="17"/>
      <c r="C40" s="133" t="s">
        <v>266</v>
      </c>
      <c r="D40" s="133"/>
      <c r="E40" s="133"/>
      <c r="F40" s="133"/>
      <c r="G40" s="133"/>
      <c r="H40" s="133"/>
      <c r="I40" s="133"/>
      <c r="J40" s="133"/>
      <c r="K40" s="133"/>
      <c r="L40" s="133" t="s">
        <v>196</v>
      </c>
      <c r="M40" s="133"/>
      <c r="N40" s="133"/>
      <c r="O40" s="133"/>
      <c r="P40" s="133"/>
      <c r="Q40" s="133"/>
      <c r="R40" s="133"/>
      <c r="S40" s="133"/>
      <c r="T40" s="133"/>
      <c r="U40" s="133" t="s">
        <v>277</v>
      </c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4">
        <v>1145</v>
      </c>
      <c r="AH40" s="134"/>
      <c r="AI40" s="134"/>
      <c r="AJ40" s="134"/>
      <c r="AK40" s="134"/>
      <c r="AL40" s="134"/>
      <c r="AM40" s="134"/>
      <c r="AN40" s="134">
        <v>1440</v>
      </c>
      <c r="AO40" s="134"/>
      <c r="AP40" s="134"/>
      <c r="AQ40" s="134"/>
      <c r="AR40" s="134"/>
      <c r="AS40" s="134"/>
      <c r="AT40" s="134"/>
      <c r="AU40" s="134">
        <v>1440</v>
      </c>
      <c r="AV40" s="134"/>
      <c r="AW40" s="134"/>
      <c r="AX40" s="134"/>
      <c r="AY40" s="134"/>
      <c r="AZ40" s="134"/>
      <c r="BA40" s="134"/>
      <c r="BB40" s="135" t="s">
        <v>268</v>
      </c>
      <c r="BC40" s="136"/>
      <c r="BD40" s="136"/>
      <c r="BE40" s="136"/>
      <c r="BF40" s="136"/>
      <c r="BG40" s="136"/>
      <c r="BH40" s="136"/>
      <c r="BI40" s="24"/>
    </row>
    <row r="41" spans="2:61" s="25" customFormat="1" ht="16.5" customHeight="1">
      <c r="B41" s="17"/>
      <c r="C41" s="137" t="s">
        <v>266</v>
      </c>
      <c r="D41" s="137"/>
      <c r="E41" s="137"/>
      <c r="F41" s="137"/>
      <c r="G41" s="137"/>
      <c r="H41" s="137"/>
      <c r="I41" s="137"/>
      <c r="J41" s="137"/>
      <c r="K41" s="137"/>
      <c r="L41" s="137" t="s">
        <v>196</v>
      </c>
      <c r="M41" s="137"/>
      <c r="N41" s="137"/>
      <c r="O41" s="137"/>
      <c r="P41" s="137"/>
      <c r="Q41" s="137"/>
      <c r="R41" s="137"/>
      <c r="S41" s="137"/>
      <c r="T41" s="137"/>
      <c r="U41" s="137" t="s">
        <v>278</v>
      </c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8">
        <v>1235</v>
      </c>
      <c r="AH41" s="138"/>
      <c r="AI41" s="138"/>
      <c r="AJ41" s="138"/>
      <c r="AK41" s="138"/>
      <c r="AL41" s="138"/>
      <c r="AM41" s="138"/>
      <c r="AN41" s="138">
        <v>1600</v>
      </c>
      <c r="AO41" s="138"/>
      <c r="AP41" s="138"/>
      <c r="AQ41" s="138"/>
      <c r="AR41" s="138"/>
      <c r="AS41" s="138"/>
      <c r="AT41" s="138"/>
      <c r="AU41" s="138">
        <v>1600</v>
      </c>
      <c r="AV41" s="138"/>
      <c r="AW41" s="138"/>
      <c r="AX41" s="138"/>
      <c r="AY41" s="138"/>
      <c r="AZ41" s="138"/>
      <c r="BA41" s="138"/>
      <c r="BB41" s="139" t="s">
        <v>268</v>
      </c>
      <c r="BC41" s="140"/>
      <c r="BD41" s="140"/>
      <c r="BE41" s="140"/>
      <c r="BF41" s="140"/>
      <c r="BG41" s="140"/>
      <c r="BH41" s="140"/>
      <c r="BI41" s="24"/>
    </row>
    <row r="42" spans="2:61" s="25" customFormat="1" ht="16.5" customHeight="1">
      <c r="B42" s="17"/>
      <c r="C42" s="133" t="s">
        <v>266</v>
      </c>
      <c r="D42" s="133"/>
      <c r="E42" s="133"/>
      <c r="F42" s="133"/>
      <c r="G42" s="133"/>
      <c r="H42" s="133"/>
      <c r="I42" s="133"/>
      <c r="J42" s="133"/>
      <c r="K42" s="133"/>
      <c r="L42" s="133" t="s">
        <v>196</v>
      </c>
      <c r="M42" s="133"/>
      <c r="N42" s="133"/>
      <c r="O42" s="133"/>
      <c r="P42" s="133"/>
      <c r="Q42" s="133"/>
      <c r="R42" s="133"/>
      <c r="S42" s="133"/>
      <c r="T42" s="133"/>
      <c r="U42" s="133" t="s">
        <v>279</v>
      </c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4">
        <v>995</v>
      </c>
      <c r="AH42" s="134"/>
      <c r="AI42" s="134"/>
      <c r="AJ42" s="134"/>
      <c r="AK42" s="134"/>
      <c r="AL42" s="134"/>
      <c r="AM42" s="134"/>
      <c r="AN42" s="134">
        <v>1265</v>
      </c>
      <c r="AO42" s="134"/>
      <c r="AP42" s="134"/>
      <c r="AQ42" s="134"/>
      <c r="AR42" s="134"/>
      <c r="AS42" s="134"/>
      <c r="AT42" s="134"/>
      <c r="AU42" s="134">
        <v>1265</v>
      </c>
      <c r="AV42" s="134"/>
      <c r="AW42" s="134"/>
      <c r="AX42" s="134"/>
      <c r="AY42" s="134"/>
      <c r="AZ42" s="134"/>
      <c r="BA42" s="134"/>
      <c r="BB42" s="135" t="s">
        <v>268</v>
      </c>
      <c r="BC42" s="136"/>
      <c r="BD42" s="136"/>
      <c r="BE42" s="136"/>
      <c r="BF42" s="136"/>
      <c r="BG42" s="136"/>
      <c r="BH42" s="136"/>
      <c r="BI42" s="24"/>
    </row>
    <row r="43" spans="2:61" s="25" customFormat="1" ht="16.5" customHeight="1">
      <c r="B43" s="17"/>
      <c r="C43" s="137" t="s">
        <v>266</v>
      </c>
      <c r="D43" s="137"/>
      <c r="E43" s="137"/>
      <c r="F43" s="137"/>
      <c r="G43" s="137"/>
      <c r="H43" s="137"/>
      <c r="I43" s="137"/>
      <c r="J43" s="137"/>
      <c r="K43" s="137"/>
      <c r="L43" s="137" t="s">
        <v>196</v>
      </c>
      <c r="M43" s="137"/>
      <c r="N43" s="137"/>
      <c r="O43" s="137"/>
      <c r="P43" s="137"/>
      <c r="Q43" s="137"/>
      <c r="R43" s="137"/>
      <c r="S43" s="137"/>
      <c r="T43" s="137"/>
      <c r="U43" s="137" t="s">
        <v>280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8">
        <v>995</v>
      </c>
      <c r="AH43" s="138"/>
      <c r="AI43" s="138"/>
      <c r="AJ43" s="138"/>
      <c r="AK43" s="138"/>
      <c r="AL43" s="138"/>
      <c r="AM43" s="138"/>
      <c r="AN43" s="138">
        <v>1265</v>
      </c>
      <c r="AO43" s="138"/>
      <c r="AP43" s="138"/>
      <c r="AQ43" s="138"/>
      <c r="AR43" s="138"/>
      <c r="AS43" s="138"/>
      <c r="AT43" s="138"/>
      <c r="AU43" s="138">
        <v>1265</v>
      </c>
      <c r="AV43" s="138"/>
      <c r="AW43" s="138"/>
      <c r="AX43" s="138"/>
      <c r="AY43" s="138"/>
      <c r="AZ43" s="138"/>
      <c r="BA43" s="138"/>
      <c r="BB43" s="139" t="s">
        <v>268</v>
      </c>
      <c r="BC43" s="140"/>
      <c r="BD43" s="140"/>
      <c r="BE43" s="140"/>
      <c r="BF43" s="140"/>
      <c r="BG43" s="140"/>
      <c r="BH43" s="140"/>
      <c r="BI43" s="24"/>
    </row>
    <row r="44" spans="2:61" s="25" customFormat="1" ht="16.5" customHeight="1">
      <c r="B44" s="17"/>
      <c r="C44" s="133" t="s">
        <v>266</v>
      </c>
      <c r="D44" s="133"/>
      <c r="E44" s="133"/>
      <c r="F44" s="133"/>
      <c r="G44" s="133"/>
      <c r="H44" s="133"/>
      <c r="I44" s="133"/>
      <c r="J44" s="133"/>
      <c r="K44" s="133"/>
      <c r="L44" s="137" t="s">
        <v>196</v>
      </c>
      <c r="M44" s="137"/>
      <c r="N44" s="137"/>
      <c r="O44" s="137"/>
      <c r="P44" s="137"/>
      <c r="Q44" s="137"/>
      <c r="R44" s="137"/>
      <c r="S44" s="137"/>
      <c r="T44" s="137"/>
      <c r="U44" s="137" t="s">
        <v>281</v>
      </c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8">
        <v>1900</v>
      </c>
      <c r="AH44" s="138"/>
      <c r="AI44" s="138"/>
      <c r="AJ44" s="138"/>
      <c r="AK44" s="138"/>
      <c r="AL44" s="138"/>
      <c r="AM44" s="138"/>
      <c r="AN44" s="138">
        <v>2600</v>
      </c>
      <c r="AO44" s="138"/>
      <c r="AP44" s="138"/>
      <c r="AQ44" s="138"/>
      <c r="AR44" s="138"/>
      <c r="AS44" s="138"/>
      <c r="AT44" s="138"/>
      <c r="AU44" s="138">
        <v>2600</v>
      </c>
      <c r="AV44" s="138"/>
      <c r="AW44" s="138"/>
      <c r="AX44" s="138"/>
      <c r="AY44" s="138"/>
      <c r="AZ44" s="138"/>
      <c r="BA44" s="138"/>
      <c r="BB44" s="139" t="s">
        <v>268</v>
      </c>
      <c r="BC44" s="140"/>
      <c r="BD44" s="140"/>
      <c r="BE44" s="140"/>
      <c r="BF44" s="140"/>
      <c r="BG44" s="140"/>
      <c r="BH44" s="140"/>
      <c r="BI44" s="24"/>
    </row>
    <row r="45" spans="2:61" s="25" customFormat="1" ht="16.5" customHeight="1">
      <c r="B45" s="17"/>
      <c r="C45" s="137" t="s">
        <v>266</v>
      </c>
      <c r="D45" s="137"/>
      <c r="E45" s="137"/>
      <c r="F45" s="137"/>
      <c r="G45" s="137"/>
      <c r="H45" s="137"/>
      <c r="I45" s="137"/>
      <c r="J45" s="137"/>
      <c r="K45" s="137"/>
      <c r="L45" s="133" t="s">
        <v>196</v>
      </c>
      <c r="M45" s="133"/>
      <c r="N45" s="133"/>
      <c r="O45" s="133"/>
      <c r="P45" s="133"/>
      <c r="Q45" s="133"/>
      <c r="R45" s="133"/>
      <c r="S45" s="133"/>
      <c r="T45" s="133"/>
      <c r="U45" s="133" t="s">
        <v>282</v>
      </c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4">
        <v>1065</v>
      </c>
      <c r="AH45" s="134"/>
      <c r="AI45" s="134"/>
      <c r="AJ45" s="134"/>
      <c r="AK45" s="134"/>
      <c r="AL45" s="134"/>
      <c r="AM45" s="134"/>
      <c r="AN45" s="134">
        <v>1335</v>
      </c>
      <c r="AO45" s="134"/>
      <c r="AP45" s="134"/>
      <c r="AQ45" s="134"/>
      <c r="AR45" s="134"/>
      <c r="AS45" s="134"/>
      <c r="AT45" s="134"/>
      <c r="AU45" s="134">
        <v>1335</v>
      </c>
      <c r="AV45" s="134"/>
      <c r="AW45" s="134"/>
      <c r="AX45" s="134"/>
      <c r="AY45" s="134"/>
      <c r="AZ45" s="134"/>
      <c r="BA45" s="134"/>
      <c r="BB45" s="135" t="s">
        <v>268</v>
      </c>
      <c r="BC45" s="136"/>
      <c r="BD45" s="136"/>
      <c r="BE45" s="136"/>
      <c r="BF45" s="136"/>
      <c r="BG45" s="136"/>
      <c r="BH45" s="136"/>
      <c r="BI45" s="24"/>
    </row>
    <row r="46" spans="2:61" s="25" customFormat="1" ht="16.5" customHeight="1">
      <c r="B46" s="17"/>
      <c r="C46" s="133" t="s">
        <v>266</v>
      </c>
      <c r="D46" s="133"/>
      <c r="E46" s="133"/>
      <c r="F46" s="133"/>
      <c r="G46" s="133"/>
      <c r="H46" s="133"/>
      <c r="I46" s="133"/>
      <c r="J46" s="133"/>
      <c r="K46" s="133"/>
      <c r="L46" s="137" t="s">
        <v>196</v>
      </c>
      <c r="M46" s="137"/>
      <c r="N46" s="137"/>
      <c r="O46" s="137"/>
      <c r="P46" s="137"/>
      <c r="Q46" s="137"/>
      <c r="R46" s="137"/>
      <c r="S46" s="137"/>
      <c r="T46" s="137"/>
      <c r="U46" s="137" t="s">
        <v>283</v>
      </c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8">
        <v>1155</v>
      </c>
      <c r="AH46" s="138"/>
      <c r="AI46" s="138"/>
      <c r="AJ46" s="138"/>
      <c r="AK46" s="138"/>
      <c r="AL46" s="138"/>
      <c r="AM46" s="138"/>
      <c r="AN46" s="138">
        <v>1515</v>
      </c>
      <c r="AO46" s="138"/>
      <c r="AP46" s="138"/>
      <c r="AQ46" s="138"/>
      <c r="AR46" s="138"/>
      <c r="AS46" s="138"/>
      <c r="AT46" s="138"/>
      <c r="AU46" s="138">
        <v>1515</v>
      </c>
      <c r="AV46" s="138"/>
      <c r="AW46" s="138"/>
      <c r="AX46" s="138"/>
      <c r="AY46" s="138"/>
      <c r="AZ46" s="138"/>
      <c r="BA46" s="138"/>
      <c r="BB46" s="139" t="s">
        <v>268</v>
      </c>
      <c r="BC46" s="140"/>
      <c r="BD46" s="140"/>
      <c r="BE46" s="140"/>
      <c r="BF46" s="140"/>
      <c r="BG46" s="140"/>
      <c r="BH46" s="140"/>
      <c r="BI46" s="24"/>
    </row>
    <row r="47" spans="2:61" s="25" customFormat="1" ht="16.5" customHeight="1">
      <c r="B47" s="17"/>
      <c r="C47" s="137" t="s">
        <v>266</v>
      </c>
      <c r="D47" s="137"/>
      <c r="E47" s="137"/>
      <c r="F47" s="137"/>
      <c r="G47" s="137"/>
      <c r="H47" s="137"/>
      <c r="I47" s="137"/>
      <c r="J47" s="137"/>
      <c r="K47" s="137"/>
      <c r="L47" s="133" t="s">
        <v>196</v>
      </c>
      <c r="M47" s="133"/>
      <c r="N47" s="133"/>
      <c r="O47" s="133"/>
      <c r="P47" s="133"/>
      <c r="Q47" s="133"/>
      <c r="R47" s="133"/>
      <c r="S47" s="133"/>
      <c r="T47" s="133"/>
      <c r="U47" s="133" t="s">
        <v>284</v>
      </c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4">
        <v>1155</v>
      </c>
      <c r="AH47" s="134"/>
      <c r="AI47" s="134"/>
      <c r="AJ47" s="134"/>
      <c r="AK47" s="134"/>
      <c r="AL47" s="134"/>
      <c r="AM47" s="134"/>
      <c r="AN47" s="134">
        <v>1515</v>
      </c>
      <c r="AO47" s="134"/>
      <c r="AP47" s="134"/>
      <c r="AQ47" s="134"/>
      <c r="AR47" s="134"/>
      <c r="AS47" s="134"/>
      <c r="AT47" s="134"/>
      <c r="AU47" s="134">
        <v>1515</v>
      </c>
      <c r="AV47" s="134"/>
      <c r="AW47" s="134"/>
      <c r="AX47" s="134"/>
      <c r="AY47" s="134"/>
      <c r="AZ47" s="134"/>
      <c r="BA47" s="134"/>
      <c r="BB47" s="135" t="s">
        <v>268</v>
      </c>
      <c r="BC47" s="136"/>
      <c r="BD47" s="136"/>
      <c r="BE47" s="136"/>
      <c r="BF47" s="136"/>
      <c r="BG47" s="136"/>
      <c r="BH47" s="136"/>
      <c r="BI47" s="24"/>
    </row>
    <row r="48" spans="2:61" s="25" customFormat="1" ht="16.5" customHeight="1">
      <c r="B48" s="17"/>
      <c r="C48" s="133" t="s">
        <v>266</v>
      </c>
      <c r="D48" s="133"/>
      <c r="E48" s="133"/>
      <c r="F48" s="133"/>
      <c r="G48" s="133"/>
      <c r="H48" s="133"/>
      <c r="I48" s="133"/>
      <c r="J48" s="133"/>
      <c r="K48" s="133"/>
      <c r="L48" s="137" t="s">
        <v>196</v>
      </c>
      <c r="M48" s="137"/>
      <c r="N48" s="137"/>
      <c r="O48" s="137"/>
      <c r="P48" s="137"/>
      <c r="Q48" s="137"/>
      <c r="R48" s="137"/>
      <c r="S48" s="137"/>
      <c r="T48" s="137"/>
      <c r="U48" s="137" t="s">
        <v>285</v>
      </c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8">
        <v>1235</v>
      </c>
      <c r="AH48" s="138"/>
      <c r="AI48" s="138"/>
      <c r="AJ48" s="138"/>
      <c r="AK48" s="138"/>
      <c r="AL48" s="138"/>
      <c r="AM48" s="138"/>
      <c r="AN48" s="138">
        <v>1645</v>
      </c>
      <c r="AO48" s="138"/>
      <c r="AP48" s="138"/>
      <c r="AQ48" s="138"/>
      <c r="AR48" s="138"/>
      <c r="AS48" s="138"/>
      <c r="AT48" s="138"/>
      <c r="AU48" s="138">
        <v>1645</v>
      </c>
      <c r="AV48" s="138"/>
      <c r="AW48" s="138"/>
      <c r="AX48" s="138"/>
      <c r="AY48" s="138"/>
      <c r="AZ48" s="138"/>
      <c r="BA48" s="138"/>
      <c r="BB48" s="139" t="s">
        <v>268</v>
      </c>
      <c r="BC48" s="140"/>
      <c r="BD48" s="140"/>
      <c r="BE48" s="140"/>
      <c r="BF48" s="140"/>
      <c r="BG48" s="140"/>
      <c r="BH48" s="140"/>
      <c r="BI48" s="24"/>
    </row>
    <row r="49" spans="2:61" s="25" customFormat="1" ht="16.5" customHeight="1">
      <c r="B49" s="17"/>
      <c r="C49" s="137" t="s">
        <v>266</v>
      </c>
      <c r="D49" s="137"/>
      <c r="E49" s="137"/>
      <c r="F49" s="137"/>
      <c r="G49" s="137"/>
      <c r="H49" s="137"/>
      <c r="I49" s="137"/>
      <c r="J49" s="137"/>
      <c r="K49" s="137"/>
      <c r="L49" s="133" t="s">
        <v>196</v>
      </c>
      <c r="M49" s="133"/>
      <c r="N49" s="133"/>
      <c r="O49" s="133"/>
      <c r="P49" s="133"/>
      <c r="Q49" s="133"/>
      <c r="R49" s="133"/>
      <c r="S49" s="133"/>
      <c r="T49" s="133"/>
      <c r="U49" s="133" t="s">
        <v>286</v>
      </c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4">
        <v>1070</v>
      </c>
      <c r="AH49" s="134"/>
      <c r="AI49" s="134"/>
      <c r="AJ49" s="134"/>
      <c r="AK49" s="134"/>
      <c r="AL49" s="134"/>
      <c r="AM49" s="134"/>
      <c r="AN49" s="134">
        <v>1305</v>
      </c>
      <c r="AO49" s="134"/>
      <c r="AP49" s="134"/>
      <c r="AQ49" s="134"/>
      <c r="AR49" s="134"/>
      <c r="AS49" s="134"/>
      <c r="AT49" s="134"/>
      <c r="AU49" s="134">
        <v>1305</v>
      </c>
      <c r="AV49" s="134"/>
      <c r="AW49" s="134"/>
      <c r="AX49" s="134"/>
      <c r="AY49" s="134"/>
      <c r="AZ49" s="134"/>
      <c r="BA49" s="134"/>
      <c r="BB49" s="135" t="s">
        <v>268</v>
      </c>
      <c r="BC49" s="136"/>
      <c r="BD49" s="136"/>
      <c r="BE49" s="136"/>
      <c r="BF49" s="136"/>
      <c r="BG49" s="136"/>
      <c r="BH49" s="136"/>
      <c r="BI49" s="24"/>
    </row>
    <row r="50" spans="2:61" s="25" customFormat="1" ht="16.5" customHeight="1">
      <c r="B50" s="17"/>
      <c r="C50" s="133" t="s">
        <v>266</v>
      </c>
      <c r="D50" s="133"/>
      <c r="E50" s="133"/>
      <c r="F50" s="133"/>
      <c r="G50" s="133"/>
      <c r="H50" s="133"/>
      <c r="I50" s="133"/>
      <c r="J50" s="133"/>
      <c r="K50" s="133"/>
      <c r="L50" s="137" t="s">
        <v>196</v>
      </c>
      <c r="M50" s="137"/>
      <c r="N50" s="137"/>
      <c r="O50" s="137"/>
      <c r="P50" s="137"/>
      <c r="Q50" s="137"/>
      <c r="R50" s="137"/>
      <c r="S50" s="137"/>
      <c r="T50" s="137"/>
      <c r="U50" s="137" t="s">
        <v>287</v>
      </c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8">
        <v>1405</v>
      </c>
      <c r="AH50" s="138"/>
      <c r="AI50" s="138"/>
      <c r="AJ50" s="138"/>
      <c r="AK50" s="138"/>
      <c r="AL50" s="138"/>
      <c r="AM50" s="138"/>
      <c r="AN50" s="138">
        <v>1810</v>
      </c>
      <c r="AO50" s="138"/>
      <c r="AP50" s="138"/>
      <c r="AQ50" s="138"/>
      <c r="AR50" s="138"/>
      <c r="AS50" s="138"/>
      <c r="AT50" s="138"/>
      <c r="AU50" s="138">
        <v>1810</v>
      </c>
      <c r="AV50" s="138"/>
      <c r="AW50" s="138"/>
      <c r="AX50" s="138"/>
      <c r="AY50" s="138"/>
      <c r="AZ50" s="138"/>
      <c r="BA50" s="138"/>
      <c r="BB50" s="139" t="s">
        <v>268</v>
      </c>
      <c r="BC50" s="140"/>
      <c r="BD50" s="140"/>
      <c r="BE50" s="140"/>
      <c r="BF50" s="140"/>
      <c r="BG50" s="140"/>
      <c r="BH50" s="140"/>
      <c r="BI50" s="24"/>
    </row>
    <row r="51" spans="2:61" s="25" customFormat="1" ht="16.5" customHeight="1">
      <c r="B51" s="17"/>
      <c r="C51" s="137" t="s">
        <v>266</v>
      </c>
      <c r="D51" s="137"/>
      <c r="E51" s="137"/>
      <c r="F51" s="137"/>
      <c r="G51" s="137"/>
      <c r="H51" s="137"/>
      <c r="I51" s="137"/>
      <c r="J51" s="137"/>
      <c r="K51" s="137"/>
      <c r="L51" s="133" t="s">
        <v>196</v>
      </c>
      <c r="M51" s="133"/>
      <c r="N51" s="133"/>
      <c r="O51" s="133"/>
      <c r="P51" s="133"/>
      <c r="Q51" s="133"/>
      <c r="R51" s="133"/>
      <c r="S51" s="133"/>
      <c r="T51" s="133"/>
      <c r="U51" s="133" t="s">
        <v>288</v>
      </c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4">
        <v>1060</v>
      </c>
      <c r="AH51" s="134"/>
      <c r="AI51" s="134"/>
      <c r="AJ51" s="134"/>
      <c r="AK51" s="134"/>
      <c r="AL51" s="134"/>
      <c r="AM51" s="134"/>
      <c r="AN51" s="134">
        <v>1335</v>
      </c>
      <c r="AO51" s="134"/>
      <c r="AP51" s="134"/>
      <c r="AQ51" s="134"/>
      <c r="AR51" s="134"/>
      <c r="AS51" s="134"/>
      <c r="AT51" s="134"/>
      <c r="AU51" s="134">
        <v>1335</v>
      </c>
      <c r="AV51" s="134"/>
      <c r="AW51" s="134"/>
      <c r="AX51" s="134"/>
      <c r="AY51" s="134"/>
      <c r="AZ51" s="134"/>
      <c r="BA51" s="134"/>
      <c r="BB51" s="135" t="s">
        <v>268</v>
      </c>
      <c r="BC51" s="136"/>
      <c r="BD51" s="136"/>
      <c r="BE51" s="136"/>
      <c r="BF51" s="136"/>
      <c r="BG51" s="136"/>
      <c r="BH51" s="136"/>
      <c r="BI51" s="24"/>
    </row>
    <row r="52" spans="2:61" s="25" customFormat="1" ht="16.5" customHeight="1">
      <c r="B52" s="17"/>
      <c r="C52" s="133" t="s">
        <v>266</v>
      </c>
      <c r="D52" s="133"/>
      <c r="E52" s="133"/>
      <c r="F52" s="133"/>
      <c r="G52" s="133"/>
      <c r="H52" s="133"/>
      <c r="I52" s="133"/>
      <c r="J52" s="133"/>
      <c r="K52" s="133"/>
      <c r="L52" s="137" t="s">
        <v>196</v>
      </c>
      <c r="M52" s="137"/>
      <c r="N52" s="137"/>
      <c r="O52" s="137"/>
      <c r="P52" s="137"/>
      <c r="Q52" s="137"/>
      <c r="R52" s="137"/>
      <c r="S52" s="137"/>
      <c r="T52" s="137"/>
      <c r="U52" s="137" t="s">
        <v>289</v>
      </c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8">
        <v>1450</v>
      </c>
      <c r="AH52" s="138"/>
      <c r="AI52" s="138"/>
      <c r="AJ52" s="138"/>
      <c r="AK52" s="138"/>
      <c r="AL52" s="138"/>
      <c r="AM52" s="138"/>
      <c r="AN52" s="138">
        <v>2300</v>
      </c>
      <c r="AO52" s="138"/>
      <c r="AP52" s="138"/>
      <c r="AQ52" s="138"/>
      <c r="AR52" s="138"/>
      <c r="AS52" s="138"/>
      <c r="AT52" s="138"/>
      <c r="AU52" s="138">
        <v>2300</v>
      </c>
      <c r="AV52" s="138"/>
      <c r="AW52" s="138"/>
      <c r="AX52" s="138"/>
      <c r="AY52" s="138"/>
      <c r="AZ52" s="138"/>
      <c r="BA52" s="138"/>
      <c r="BB52" s="139" t="s">
        <v>268</v>
      </c>
      <c r="BC52" s="140"/>
      <c r="BD52" s="140"/>
      <c r="BE52" s="140"/>
      <c r="BF52" s="140"/>
      <c r="BG52" s="140"/>
      <c r="BH52" s="140"/>
      <c r="BI52" s="24"/>
    </row>
    <row r="53" spans="2:61" s="25" customFormat="1" ht="16.5" customHeight="1">
      <c r="B53" s="17"/>
      <c r="C53" s="137" t="s">
        <v>266</v>
      </c>
      <c r="D53" s="137"/>
      <c r="E53" s="137"/>
      <c r="F53" s="137"/>
      <c r="G53" s="137"/>
      <c r="H53" s="137"/>
      <c r="I53" s="137"/>
      <c r="J53" s="137"/>
      <c r="K53" s="137"/>
      <c r="L53" s="133" t="s">
        <v>196</v>
      </c>
      <c r="M53" s="133"/>
      <c r="N53" s="133"/>
      <c r="O53" s="133"/>
      <c r="P53" s="133"/>
      <c r="Q53" s="133"/>
      <c r="R53" s="133"/>
      <c r="S53" s="133"/>
      <c r="T53" s="133"/>
      <c r="U53" s="133" t="s">
        <v>290</v>
      </c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4">
        <v>1490</v>
      </c>
      <c r="AH53" s="134"/>
      <c r="AI53" s="134"/>
      <c r="AJ53" s="134"/>
      <c r="AK53" s="134"/>
      <c r="AL53" s="134"/>
      <c r="AM53" s="134"/>
      <c r="AN53" s="134">
        <v>2015</v>
      </c>
      <c r="AO53" s="134"/>
      <c r="AP53" s="134"/>
      <c r="AQ53" s="134"/>
      <c r="AR53" s="134"/>
      <c r="AS53" s="134"/>
      <c r="AT53" s="134"/>
      <c r="AU53" s="134">
        <v>2015</v>
      </c>
      <c r="AV53" s="134"/>
      <c r="AW53" s="134"/>
      <c r="AX53" s="134"/>
      <c r="AY53" s="134"/>
      <c r="AZ53" s="134"/>
      <c r="BA53" s="134"/>
      <c r="BB53" s="135" t="s">
        <v>268</v>
      </c>
      <c r="BC53" s="136"/>
      <c r="BD53" s="136"/>
      <c r="BE53" s="136"/>
      <c r="BF53" s="136"/>
      <c r="BG53" s="136"/>
      <c r="BH53" s="136"/>
      <c r="BI53" s="24"/>
    </row>
    <row r="54" spans="2:61" s="25" customFormat="1" ht="16.5" customHeight="1">
      <c r="B54" s="17"/>
      <c r="C54" s="133" t="s">
        <v>266</v>
      </c>
      <c r="D54" s="133"/>
      <c r="E54" s="133"/>
      <c r="F54" s="133"/>
      <c r="G54" s="133"/>
      <c r="H54" s="133"/>
      <c r="I54" s="133"/>
      <c r="J54" s="133"/>
      <c r="K54" s="133"/>
      <c r="L54" s="137" t="s">
        <v>196</v>
      </c>
      <c r="M54" s="137"/>
      <c r="N54" s="137"/>
      <c r="O54" s="137"/>
      <c r="P54" s="137"/>
      <c r="Q54" s="137"/>
      <c r="R54" s="137"/>
      <c r="S54" s="137"/>
      <c r="T54" s="137"/>
      <c r="U54" s="137" t="s">
        <v>291</v>
      </c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8">
        <v>1205</v>
      </c>
      <c r="AH54" s="138"/>
      <c r="AI54" s="138"/>
      <c r="AJ54" s="138"/>
      <c r="AK54" s="138"/>
      <c r="AL54" s="138"/>
      <c r="AM54" s="138"/>
      <c r="AN54" s="138">
        <v>1610</v>
      </c>
      <c r="AO54" s="138"/>
      <c r="AP54" s="138"/>
      <c r="AQ54" s="138"/>
      <c r="AR54" s="138"/>
      <c r="AS54" s="138"/>
      <c r="AT54" s="138"/>
      <c r="AU54" s="138">
        <v>1610</v>
      </c>
      <c r="AV54" s="138"/>
      <c r="AW54" s="138"/>
      <c r="AX54" s="138"/>
      <c r="AY54" s="138"/>
      <c r="AZ54" s="138"/>
      <c r="BA54" s="138"/>
      <c r="BB54" s="139" t="s">
        <v>268</v>
      </c>
      <c r="BC54" s="140"/>
      <c r="BD54" s="140"/>
      <c r="BE54" s="140"/>
      <c r="BF54" s="140"/>
      <c r="BG54" s="140"/>
      <c r="BH54" s="140"/>
      <c r="BI54" s="24"/>
    </row>
    <row r="55" spans="2:61" s="25" customFormat="1" ht="16.5" customHeight="1">
      <c r="B55" s="17"/>
      <c r="C55" s="137" t="s">
        <v>266</v>
      </c>
      <c r="D55" s="137"/>
      <c r="E55" s="137"/>
      <c r="F55" s="137"/>
      <c r="G55" s="137"/>
      <c r="H55" s="137"/>
      <c r="I55" s="137"/>
      <c r="J55" s="137"/>
      <c r="K55" s="137"/>
      <c r="L55" s="133" t="s">
        <v>196</v>
      </c>
      <c r="M55" s="133"/>
      <c r="N55" s="133"/>
      <c r="O55" s="133"/>
      <c r="P55" s="133"/>
      <c r="Q55" s="133"/>
      <c r="R55" s="133"/>
      <c r="S55" s="133"/>
      <c r="T55" s="133"/>
      <c r="U55" s="133" t="s">
        <v>292</v>
      </c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4">
        <v>1095</v>
      </c>
      <c r="AH55" s="134"/>
      <c r="AI55" s="134"/>
      <c r="AJ55" s="134"/>
      <c r="AK55" s="134"/>
      <c r="AL55" s="134"/>
      <c r="AM55" s="134"/>
      <c r="AN55" s="134">
        <v>1400</v>
      </c>
      <c r="AO55" s="134"/>
      <c r="AP55" s="134"/>
      <c r="AQ55" s="134"/>
      <c r="AR55" s="134"/>
      <c r="AS55" s="134"/>
      <c r="AT55" s="134"/>
      <c r="AU55" s="134">
        <v>1400</v>
      </c>
      <c r="AV55" s="134"/>
      <c r="AW55" s="134"/>
      <c r="AX55" s="134"/>
      <c r="AY55" s="134"/>
      <c r="AZ55" s="134"/>
      <c r="BA55" s="134"/>
      <c r="BB55" s="135" t="s">
        <v>268</v>
      </c>
      <c r="BC55" s="136"/>
      <c r="BD55" s="136"/>
      <c r="BE55" s="136"/>
      <c r="BF55" s="136"/>
      <c r="BG55" s="136"/>
      <c r="BH55" s="136"/>
      <c r="BI55" s="24"/>
    </row>
    <row r="56" spans="2:61" s="25" customFormat="1" ht="16.5" customHeight="1">
      <c r="B56" s="17"/>
      <c r="C56" s="133" t="s">
        <v>266</v>
      </c>
      <c r="D56" s="133"/>
      <c r="E56" s="133"/>
      <c r="F56" s="133"/>
      <c r="G56" s="133"/>
      <c r="H56" s="133"/>
      <c r="I56" s="133"/>
      <c r="J56" s="133"/>
      <c r="K56" s="133"/>
      <c r="L56" s="137" t="s">
        <v>196</v>
      </c>
      <c r="M56" s="137"/>
      <c r="N56" s="137"/>
      <c r="O56" s="137"/>
      <c r="P56" s="137"/>
      <c r="Q56" s="137"/>
      <c r="R56" s="137"/>
      <c r="S56" s="137"/>
      <c r="T56" s="137"/>
      <c r="U56" s="137" t="s">
        <v>293</v>
      </c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8">
        <v>1190</v>
      </c>
      <c r="AH56" s="138"/>
      <c r="AI56" s="138"/>
      <c r="AJ56" s="138"/>
      <c r="AK56" s="138"/>
      <c r="AL56" s="138"/>
      <c r="AM56" s="138"/>
      <c r="AN56" s="138">
        <v>1585</v>
      </c>
      <c r="AO56" s="138"/>
      <c r="AP56" s="138"/>
      <c r="AQ56" s="138"/>
      <c r="AR56" s="138"/>
      <c r="AS56" s="138"/>
      <c r="AT56" s="138"/>
      <c r="AU56" s="138">
        <v>1585</v>
      </c>
      <c r="AV56" s="138"/>
      <c r="AW56" s="138"/>
      <c r="AX56" s="138"/>
      <c r="AY56" s="138"/>
      <c r="AZ56" s="138"/>
      <c r="BA56" s="138"/>
      <c r="BB56" s="139" t="s">
        <v>268</v>
      </c>
      <c r="BC56" s="140"/>
      <c r="BD56" s="140"/>
      <c r="BE56" s="140"/>
      <c r="BF56" s="140"/>
      <c r="BG56" s="140"/>
      <c r="BH56" s="140"/>
      <c r="BI56" s="24"/>
    </row>
    <row r="57" spans="2:61" s="25" customFormat="1" ht="16.5" customHeight="1">
      <c r="B57" s="17"/>
      <c r="C57" s="137" t="s">
        <v>266</v>
      </c>
      <c r="D57" s="137"/>
      <c r="E57" s="137"/>
      <c r="F57" s="137"/>
      <c r="G57" s="137"/>
      <c r="H57" s="137"/>
      <c r="I57" s="137"/>
      <c r="J57" s="137"/>
      <c r="K57" s="137"/>
      <c r="L57" s="137" t="s">
        <v>196</v>
      </c>
      <c r="M57" s="137"/>
      <c r="N57" s="137"/>
      <c r="O57" s="137"/>
      <c r="P57" s="137"/>
      <c r="Q57" s="137"/>
      <c r="R57" s="137"/>
      <c r="S57" s="137"/>
      <c r="T57" s="137"/>
      <c r="U57" s="137" t="s">
        <v>294</v>
      </c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8">
        <v>1125</v>
      </c>
      <c r="AH57" s="138"/>
      <c r="AI57" s="138"/>
      <c r="AJ57" s="138"/>
      <c r="AK57" s="138"/>
      <c r="AL57" s="138"/>
      <c r="AM57" s="138"/>
      <c r="AN57" s="138">
        <v>1485</v>
      </c>
      <c r="AO57" s="138"/>
      <c r="AP57" s="138"/>
      <c r="AQ57" s="138"/>
      <c r="AR57" s="138"/>
      <c r="AS57" s="138"/>
      <c r="AT57" s="138"/>
      <c r="AU57" s="138">
        <v>1485</v>
      </c>
      <c r="AV57" s="138"/>
      <c r="AW57" s="138"/>
      <c r="AX57" s="138"/>
      <c r="AY57" s="138"/>
      <c r="AZ57" s="138"/>
      <c r="BA57" s="138"/>
      <c r="BB57" s="139" t="s">
        <v>268</v>
      </c>
      <c r="BC57" s="140"/>
      <c r="BD57" s="140"/>
      <c r="BE57" s="140"/>
      <c r="BF57" s="140"/>
      <c r="BG57" s="140"/>
      <c r="BH57" s="140"/>
      <c r="BI57" s="24"/>
    </row>
    <row r="58" spans="2:61" s="25" customFormat="1" ht="16.5" customHeight="1">
      <c r="B58" s="17"/>
      <c r="C58" s="133" t="s">
        <v>266</v>
      </c>
      <c r="D58" s="133"/>
      <c r="E58" s="133"/>
      <c r="F58" s="133"/>
      <c r="G58" s="133"/>
      <c r="H58" s="133"/>
      <c r="I58" s="133"/>
      <c r="J58" s="133"/>
      <c r="K58" s="133"/>
      <c r="L58" s="133" t="s">
        <v>196</v>
      </c>
      <c r="M58" s="133"/>
      <c r="N58" s="133"/>
      <c r="O58" s="133"/>
      <c r="P58" s="133"/>
      <c r="Q58" s="133"/>
      <c r="R58" s="133"/>
      <c r="S58" s="133"/>
      <c r="T58" s="133"/>
      <c r="U58" s="133" t="s">
        <v>295</v>
      </c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4">
        <v>1000</v>
      </c>
      <c r="AH58" s="134"/>
      <c r="AI58" s="134"/>
      <c r="AJ58" s="134"/>
      <c r="AK58" s="134"/>
      <c r="AL58" s="134"/>
      <c r="AM58" s="134"/>
      <c r="AN58" s="134">
        <v>1285</v>
      </c>
      <c r="AO58" s="134"/>
      <c r="AP58" s="134"/>
      <c r="AQ58" s="134"/>
      <c r="AR58" s="134"/>
      <c r="AS58" s="134"/>
      <c r="AT58" s="134"/>
      <c r="AU58" s="134">
        <v>1285</v>
      </c>
      <c r="AV58" s="134"/>
      <c r="AW58" s="134"/>
      <c r="AX58" s="134"/>
      <c r="AY58" s="134"/>
      <c r="AZ58" s="134"/>
      <c r="BA58" s="134"/>
      <c r="BB58" s="135" t="s">
        <v>268</v>
      </c>
      <c r="BC58" s="136"/>
      <c r="BD58" s="136"/>
      <c r="BE58" s="136"/>
      <c r="BF58" s="136"/>
      <c r="BG58" s="136"/>
      <c r="BH58" s="136"/>
      <c r="BI58" s="24"/>
    </row>
    <row r="59" spans="2:61" s="25" customFormat="1" ht="16.5" customHeight="1">
      <c r="B59" s="17"/>
      <c r="C59" s="137" t="s">
        <v>266</v>
      </c>
      <c r="D59" s="137"/>
      <c r="E59" s="137"/>
      <c r="F59" s="137"/>
      <c r="G59" s="137"/>
      <c r="H59" s="137"/>
      <c r="I59" s="137"/>
      <c r="J59" s="137"/>
      <c r="K59" s="137"/>
      <c r="L59" s="137" t="s">
        <v>196</v>
      </c>
      <c r="M59" s="137"/>
      <c r="N59" s="137"/>
      <c r="O59" s="137"/>
      <c r="P59" s="137"/>
      <c r="Q59" s="137"/>
      <c r="R59" s="137"/>
      <c r="S59" s="137"/>
      <c r="T59" s="137"/>
      <c r="U59" s="137" t="s">
        <v>296</v>
      </c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8">
        <v>995</v>
      </c>
      <c r="AH59" s="138"/>
      <c r="AI59" s="138"/>
      <c r="AJ59" s="138"/>
      <c r="AK59" s="138"/>
      <c r="AL59" s="138"/>
      <c r="AM59" s="138"/>
      <c r="AN59" s="138">
        <v>1265</v>
      </c>
      <c r="AO59" s="138"/>
      <c r="AP59" s="138"/>
      <c r="AQ59" s="138"/>
      <c r="AR59" s="138"/>
      <c r="AS59" s="138"/>
      <c r="AT59" s="138"/>
      <c r="AU59" s="138">
        <v>1265</v>
      </c>
      <c r="AV59" s="138"/>
      <c r="AW59" s="138"/>
      <c r="AX59" s="138"/>
      <c r="AY59" s="138"/>
      <c r="AZ59" s="138"/>
      <c r="BA59" s="138"/>
      <c r="BB59" s="139" t="s">
        <v>268</v>
      </c>
      <c r="BC59" s="140"/>
      <c r="BD59" s="140"/>
      <c r="BE59" s="140"/>
      <c r="BF59" s="140"/>
      <c r="BG59" s="140"/>
      <c r="BH59" s="140"/>
      <c r="BI59" s="24"/>
    </row>
    <row r="60" spans="2:61" s="25" customFormat="1" ht="16.5" customHeight="1">
      <c r="B60" s="17"/>
      <c r="C60" s="133" t="s">
        <v>266</v>
      </c>
      <c r="D60" s="133"/>
      <c r="E60" s="133"/>
      <c r="F60" s="133"/>
      <c r="G60" s="133"/>
      <c r="H60" s="133"/>
      <c r="I60" s="133"/>
      <c r="J60" s="133"/>
      <c r="K60" s="133"/>
      <c r="L60" s="133" t="s">
        <v>196</v>
      </c>
      <c r="M60" s="133"/>
      <c r="N60" s="133"/>
      <c r="O60" s="133"/>
      <c r="P60" s="133"/>
      <c r="Q60" s="133"/>
      <c r="R60" s="133"/>
      <c r="S60" s="133"/>
      <c r="T60" s="133"/>
      <c r="U60" s="133" t="s">
        <v>297</v>
      </c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4">
        <v>1180</v>
      </c>
      <c r="AH60" s="134"/>
      <c r="AI60" s="134"/>
      <c r="AJ60" s="134"/>
      <c r="AK60" s="134"/>
      <c r="AL60" s="134"/>
      <c r="AM60" s="134"/>
      <c r="AN60" s="134">
        <v>1545</v>
      </c>
      <c r="AO60" s="134"/>
      <c r="AP60" s="134"/>
      <c r="AQ60" s="134"/>
      <c r="AR60" s="134"/>
      <c r="AS60" s="134"/>
      <c r="AT60" s="134"/>
      <c r="AU60" s="134">
        <v>1545</v>
      </c>
      <c r="AV60" s="134"/>
      <c r="AW60" s="134"/>
      <c r="AX60" s="134"/>
      <c r="AY60" s="134"/>
      <c r="AZ60" s="134"/>
      <c r="BA60" s="134"/>
      <c r="BB60" s="135" t="s">
        <v>268</v>
      </c>
      <c r="BC60" s="136"/>
      <c r="BD60" s="136"/>
      <c r="BE60" s="136"/>
      <c r="BF60" s="136"/>
      <c r="BG60" s="136"/>
      <c r="BH60" s="136"/>
      <c r="BI60" s="24"/>
    </row>
    <row r="61" spans="2:61" s="25" customFormat="1" ht="16.5" customHeight="1">
      <c r="B61" s="17"/>
      <c r="C61" s="137" t="s">
        <v>266</v>
      </c>
      <c r="D61" s="137"/>
      <c r="E61" s="137"/>
      <c r="F61" s="137"/>
      <c r="G61" s="137"/>
      <c r="H61" s="137"/>
      <c r="I61" s="137"/>
      <c r="J61" s="137"/>
      <c r="K61" s="137"/>
      <c r="L61" s="137" t="s">
        <v>196</v>
      </c>
      <c r="M61" s="137"/>
      <c r="N61" s="137"/>
      <c r="O61" s="137"/>
      <c r="P61" s="137"/>
      <c r="Q61" s="137"/>
      <c r="R61" s="137"/>
      <c r="S61" s="137"/>
      <c r="T61" s="137"/>
      <c r="U61" s="137" t="s">
        <v>298</v>
      </c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8">
        <v>1165</v>
      </c>
      <c r="AH61" s="138"/>
      <c r="AI61" s="138"/>
      <c r="AJ61" s="138"/>
      <c r="AK61" s="138"/>
      <c r="AL61" s="138"/>
      <c r="AM61" s="138"/>
      <c r="AN61" s="138">
        <v>1465</v>
      </c>
      <c r="AO61" s="138"/>
      <c r="AP61" s="138"/>
      <c r="AQ61" s="138"/>
      <c r="AR61" s="138"/>
      <c r="AS61" s="138"/>
      <c r="AT61" s="138"/>
      <c r="AU61" s="138">
        <v>1465</v>
      </c>
      <c r="AV61" s="138"/>
      <c r="AW61" s="138"/>
      <c r="AX61" s="138"/>
      <c r="AY61" s="138"/>
      <c r="AZ61" s="138"/>
      <c r="BA61" s="138"/>
      <c r="BB61" s="139" t="s">
        <v>268</v>
      </c>
      <c r="BC61" s="140"/>
      <c r="BD61" s="140"/>
      <c r="BE61" s="140"/>
      <c r="BF61" s="140"/>
      <c r="BG61" s="140"/>
      <c r="BH61" s="140"/>
      <c r="BI61" s="24"/>
    </row>
    <row r="62" spans="2:61" s="25" customFormat="1" ht="16.5" customHeight="1">
      <c r="B62" s="17"/>
      <c r="C62" s="133" t="s">
        <v>266</v>
      </c>
      <c r="D62" s="133"/>
      <c r="E62" s="133"/>
      <c r="F62" s="133"/>
      <c r="G62" s="133"/>
      <c r="H62" s="133"/>
      <c r="I62" s="133"/>
      <c r="J62" s="133"/>
      <c r="K62" s="133"/>
      <c r="L62" s="133" t="s">
        <v>152</v>
      </c>
      <c r="M62" s="133"/>
      <c r="N62" s="133"/>
      <c r="O62" s="133"/>
      <c r="P62" s="133"/>
      <c r="Q62" s="133"/>
      <c r="R62" s="133"/>
      <c r="S62" s="133"/>
      <c r="T62" s="133"/>
      <c r="U62" s="133" t="s">
        <v>299</v>
      </c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4">
        <v>1210</v>
      </c>
      <c r="AH62" s="134"/>
      <c r="AI62" s="134"/>
      <c r="AJ62" s="134"/>
      <c r="AK62" s="134"/>
      <c r="AL62" s="134"/>
      <c r="AM62" s="134"/>
      <c r="AN62" s="134">
        <v>1710</v>
      </c>
      <c r="AO62" s="134"/>
      <c r="AP62" s="134"/>
      <c r="AQ62" s="134"/>
      <c r="AR62" s="134"/>
      <c r="AS62" s="134"/>
      <c r="AT62" s="134"/>
      <c r="AU62" s="134">
        <v>1710</v>
      </c>
      <c r="AV62" s="134"/>
      <c r="AW62" s="134"/>
      <c r="AX62" s="134"/>
      <c r="AY62" s="134"/>
      <c r="AZ62" s="134"/>
      <c r="BA62" s="134"/>
      <c r="BB62" s="135" t="s">
        <v>268</v>
      </c>
      <c r="BC62" s="136"/>
      <c r="BD62" s="136"/>
      <c r="BE62" s="136"/>
      <c r="BF62" s="136"/>
      <c r="BG62" s="136"/>
      <c r="BH62" s="136"/>
      <c r="BI62" s="24"/>
    </row>
    <row r="63" spans="2:61" s="25" customFormat="1" ht="16.5" customHeight="1">
      <c r="B63" s="17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8"/>
      <c r="BC63" s="159"/>
      <c r="BD63" s="159"/>
      <c r="BE63" s="159"/>
      <c r="BF63" s="159"/>
      <c r="BG63" s="159"/>
      <c r="BH63" s="159"/>
      <c r="BI63" s="24"/>
    </row>
    <row r="64" spans="2:61" s="25" customFormat="1" ht="16.5" customHeight="1">
      <c r="B64" s="17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9"/>
      <c r="BC64" s="159"/>
      <c r="BD64" s="159"/>
      <c r="BE64" s="159"/>
      <c r="BF64" s="159"/>
      <c r="BG64" s="159"/>
      <c r="BH64" s="159"/>
      <c r="BI64" s="24"/>
    </row>
    <row r="65" spans="2:61" s="25" customFormat="1" ht="16.5" customHeight="1">
      <c r="B65" s="17"/>
      <c r="C65" s="160" t="s">
        <v>214</v>
      </c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1"/>
      <c r="R65" s="162" t="s">
        <v>215</v>
      </c>
      <c r="S65" s="161"/>
      <c r="T65" s="163" t="s">
        <v>216</v>
      </c>
      <c r="U65" s="164"/>
      <c r="V65" s="164"/>
      <c r="W65" s="165"/>
      <c r="X65" s="156"/>
      <c r="Y65" s="156"/>
      <c r="Z65" s="156"/>
      <c r="AA65" s="156"/>
      <c r="AB65" s="156"/>
      <c r="AC65" s="156"/>
      <c r="AD65" s="156"/>
      <c r="AE65" s="156"/>
      <c r="AF65" s="156"/>
      <c r="AG65" s="157"/>
      <c r="AH65" s="157"/>
      <c r="AI65" s="157"/>
      <c r="AJ65" s="157"/>
      <c r="AK65" s="157"/>
      <c r="AL65" s="160" t="s">
        <v>217</v>
      </c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1"/>
      <c r="BA65" s="162" t="s">
        <v>215</v>
      </c>
      <c r="BB65" s="161"/>
      <c r="BC65" s="163" t="s">
        <v>216</v>
      </c>
      <c r="BD65" s="164"/>
      <c r="BE65" s="164"/>
      <c r="BF65" s="165"/>
      <c r="BG65" s="159"/>
      <c r="BH65" s="159"/>
      <c r="BI65" s="24"/>
    </row>
    <row r="66" spans="2:61" s="25" customFormat="1" ht="16.5" customHeight="1">
      <c r="B66" s="17"/>
      <c r="C66" s="140" t="s">
        <v>218</v>
      </c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66" t="s">
        <v>219</v>
      </c>
      <c r="S66" s="166"/>
      <c r="T66" s="166" t="s">
        <v>220</v>
      </c>
      <c r="U66" s="166"/>
      <c r="V66" s="166"/>
      <c r="W66" s="166"/>
      <c r="X66" s="156"/>
      <c r="Y66" s="156"/>
      <c r="Z66" s="156"/>
      <c r="AA66" s="156"/>
      <c r="AB66" s="156"/>
      <c r="AC66" s="156"/>
      <c r="AD66" s="156"/>
      <c r="AE66" s="156"/>
      <c r="AF66" s="156"/>
      <c r="AG66" s="157"/>
      <c r="AH66" s="157"/>
      <c r="AI66" s="157"/>
      <c r="AJ66" s="157"/>
      <c r="AK66" s="157"/>
      <c r="AL66" s="140" t="s">
        <v>221</v>
      </c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67" t="s">
        <v>219</v>
      </c>
      <c r="BB66" s="167"/>
      <c r="BC66" s="167" t="s">
        <v>222</v>
      </c>
      <c r="BD66" s="167"/>
      <c r="BE66" s="167"/>
      <c r="BF66" s="167"/>
      <c r="BG66" s="159"/>
      <c r="BH66" s="159"/>
      <c r="BI66" s="24"/>
    </row>
    <row r="67" spans="2:61" s="25" customFormat="1" ht="16.5" customHeight="1">
      <c r="B67" s="17"/>
      <c r="C67" s="140" t="s">
        <v>223</v>
      </c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68" t="s">
        <v>224</v>
      </c>
      <c r="S67" s="168"/>
      <c r="T67" s="166" t="s">
        <v>225</v>
      </c>
      <c r="U67" s="166"/>
      <c r="V67" s="166"/>
      <c r="W67" s="166"/>
      <c r="X67" s="156"/>
      <c r="Y67" s="156"/>
      <c r="Z67" s="156"/>
      <c r="AA67" s="156"/>
      <c r="AB67" s="156"/>
      <c r="AC67" s="156"/>
      <c r="AD67" s="156"/>
      <c r="AE67" s="156"/>
      <c r="AF67" s="156"/>
      <c r="AG67" s="157"/>
      <c r="AH67" s="157"/>
      <c r="AI67" s="157"/>
      <c r="AJ67" s="157"/>
      <c r="AK67" s="157"/>
      <c r="AL67" s="140" t="s">
        <v>226</v>
      </c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67" t="s">
        <v>219</v>
      </c>
      <c r="BB67" s="167"/>
      <c r="BC67" s="167" t="s">
        <v>222</v>
      </c>
      <c r="BD67" s="167"/>
      <c r="BE67" s="167"/>
      <c r="BF67" s="167"/>
      <c r="BG67" s="159"/>
      <c r="BH67" s="159"/>
      <c r="BI67" s="24"/>
    </row>
    <row r="68" spans="2:61" s="25" customFormat="1" ht="16.5" customHeight="1">
      <c r="B68" s="17"/>
      <c r="C68" s="140" t="s">
        <v>227</v>
      </c>
      <c r="D68" s="140"/>
      <c r="E68" s="140" t="s">
        <v>228</v>
      </c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68" t="s">
        <v>219</v>
      </c>
      <c r="S68" s="168"/>
      <c r="T68" s="166" t="s">
        <v>225</v>
      </c>
      <c r="U68" s="166"/>
      <c r="V68" s="166"/>
      <c r="W68" s="166"/>
      <c r="X68" s="156"/>
      <c r="Y68" s="156"/>
      <c r="Z68" s="156"/>
      <c r="AA68" s="156"/>
      <c r="AB68" s="156"/>
      <c r="AC68" s="156"/>
      <c r="AD68" s="156"/>
      <c r="AE68" s="156"/>
      <c r="AF68" s="156"/>
      <c r="AG68" s="157"/>
      <c r="AH68" s="157"/>
      <c r="AI68" s="157"/>
      <c r="AJ68" s="157"/>
      <c r="AK68" s="157"/>
      <c r="AL68" s="140" t="s">
        <v>229</v>
      </c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67" t="s">
        <v>219</v>
      </c>
      <c r="BB68" s="167"/>
      <c r="BC68" s="167" t="s">
        <v>230</v>
      </c>
      <c r="BD68" s="167"/>
      <c r="BE68" s="167"/>
      <c r="BF68" s="167"/>
      <c r="BG68" s="159"/>
      <c r="BH68" s="159"/>
      <c r="BI68" s="24"/>
    </row>
    <row r="69" spans="2:61" s="25" customFormat="1" ht="16.5" customHeight="1">
      <c r="B69" s="17"/>
      <c r="C69" s="140" t="s">
        <v>231</v>
      </c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66" t="s">
        <v>232</v>
      </c>
      <c r="S69" s="166"/>
      <c r="T69" s="166" t="s">
        <v>233</v>
      </c>
      <c r="U69" s="166"/>
      <c r="V69" s="166"/>
      <c r="W69" s="166"/>
      <c r="X69" s="156"/>
      <c r="Y69" s="156"/>
      <c r="Z69" s="156"/>
      <c r="AA69" s="156"/>
      <c r="AB69" s="156"/>
      <c r="AC69" s="156"/>
      <c r="AD69" s="156"/>
      <c r="AE69" s="156"/>
      <c r="AF69" s="156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9"/>
      <c r="BC69" s="159"/>
      <c r="BD69" s="159"/>
      <c r="BE69" s="159"/>
      <c r="BF69" s="159"/>
      <c r="BG69" s="159"/>
      <c r="BH69" s="159"/>
      <c r="BI69" s="24"/>
    </row>
    <row r="70" spans="2:61" s="25" customFormat="1" ht="16.5" customHeight="1">
      <c r="B70" s="17"/>
      <c r="C70" s="140" t="s">
        <v>234</v>
      </c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68" t="s">
        <v>232</v>
      </c>
      <c r="S70" s="168"/>
      <c r="T70" s="166" t="s">
        <v>235</v>
      </c>
      <c r="U70" s="166"/>
      <c r="V70" s="166"/>
      <c r="W70" s="166"/>
      <c r="X70" s="156"/>
      <c r="Y70" s="156"/>
      <c r="Z70" s="156"/>
      <c r="AA70" s="156"/>
      <c r="AB70" s="156"/>
      <c r="AC70" s="156"/>
      <c r="AD70" s="156"/>
      <c r="AE70" s="156"/>
      <c r="AF70" s="156"/>
      <c r="AG70" s="157"/>
      <c r="AH70" s="157"/>
      <c r="AI70" s="157"/>
      <c r="AJ70" s="157"/>
      <c r="AK70" s="157"/>
      <c r="AL70" s="160" t="s">
        <v>236</v>
      </c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 t="s">
        <v>215</v>
      </c>
      <c r="AZ70" s="160"/>
      <c r="BA70" s="160" t="s">
        <v>237</v>
      </c>
      <c r="BB70" s="160"/>
      <c r="BC70" s="160"/>
      <c r="BD70" s="160" t="s">
        <v>238</v>
      </c>
      <c r="BE70" s="160"/>
      <c r="BF70" s="160"/>
      <c r="BG70" s="159"/>
      <c r="BH70" s="159"/>
      <c r="BI70" s="24"/>
    </row>
    <row r="71" spans="2:61" s="25" customFormat="1" ht="16.5" customHeight="1">
      <c r="B71" s="17"/>
      <c r="C71" s="140" t="s">
        <v>239</v>
      </c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68" t="s">
        <v>219</v>
      </c>
      <c r="S71" s="168"/>
      <c r="T71" s="166" t="s">
        <v>240</v>
      </c>
      <c r="U71" s="166"/>
      <c r="V71" s="166"/>
      <c r="W71" s="166"/>
      <c r="X71" s="156"/>
      <c r="Y71" s="156"/>
      <c r="Z71" s="156"/>
      <c r="AA71" s="156"/>
      <c r="AB71" s="156"/>
      <c r="AC71" s="156"/>
      <c r="AD71" s="156"/>
      <c r="AE71" s="156"/>
      <c r="AF71" s="156"/>
      <c r="AG71" s="157"/>
      <c r="AH71" s="157"/>
      <c r="AI71" s="157"/>
      <c r="AJ71" s="157"/>
      <c r="AK71" s="157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59"/>
      <c r="BH71" s="159"/>
      <c r="BI71" s="24"/>
    </row>
    <row r="72" spans="2:61" s="25" customFormat="1" ht="16.5" customHeight="1">
      <c r="B72" s="17"/>
      <c r="C72" s="23"/>
      <c r="D72" s="23"/>
      <c r="E72" s="23"/>
      <c r="F72" s="23"/>
      <c r="G72" s="23"/>
      <c r="H72" s="23"/>
      <c r="I72" s="23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7"/>
      <c r="AH72" s="157"/>
      <c r="AI72" s="157"/>
      <c r="AJ72" s="157"/>
      <c r="AK72" s="157"/>
      <c r="AL72" s="169" t="s">
        <v>241</v>
      </c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1"/>
      <c r="AY72" s="169" t="s">
        <v>242</v>
      </c>
      <c r="AZ72" s="171"/>
      <c r="BA72" s="172">
        <v>1310</v>
      </c>
      <c r="BB72" s="173"/>
      <c r="BC72" s="173"/>
      <c r="BD72" s="173">
        <v>2045</v>
      </c>
      <c r="BE72" s="173"/>
      <c r="BF72" s="174"/>
      <c r="BG72" s="159"/>
      <c r="BH72" s="159"/>
      <c r="BI72" s="24"/>
    </row>
    <row r="73" spans="2:61" s="25" customFormat="1" ht="16.5" customHeight="1">
      <c r="B73" s="17"/>
      <c r="C73" s="160" t="s">
        <v>243</v>
      </c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1"/>
      <c r="R73" s="162" t="s">
        <v>215</v>
      </c>
      <c r="S73" s="161"/>
      <c r="T73" s="163" t="s">
        <v>216</v>
      </c>
      <c r="U73" s="164"/>
      <c r="V73" s="164"/>
      <c r="W73" s="165"/>
      <c r="X73" s="156"/>
      <c r="Y73" s="156"/>
      <c r="Z73" s="156"/>
      <c r="AA73" s="156"/>
      <c r="AB73" s="156"/>
      <c r="AC73" s="156"/>
      <c r="AD73" s="156"/>
      <c r="AE73" s="156"/>
      <c r="AF73" s="156"/>
      <c r="AG73" s="157"/>
      <c r="AH73" s="157"/>
      <c r="AI73" s="157"/>
      <c r="AJ73" s="157"/>
      <c r="AK73" s="157"/>
      <c r="AL73" s="169" t="s">
        <v>244</v>
      </c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1"/>
      <c r="AY73" s="169" t="s">
        <v>242</v>
      </c>
      <c r="AZ73" s="171"/>
      <c r="BA73" s="172">
        <v>690</v>
      </c>
      <c r="BB73" s="173"/>
      <c r="BC73" s="173"/>
      <c r="BD73" s="173">
        <v>1380</v>
      </c>
      <c r="BE73" s="173"/>
      <c r="BF73" s="174"/>
      <c r="BG73" s="159"/>
      <c r="BH73" s="159"/>
      <c r="BI73" s="24"/>
    </row>
    <row r="74" spans="2:61" s="25" customFormat="1" ht="16.5" customHeight="1">
      <c r="B74" s="17"/>
      <c r="C74" s="140" t="s">
        <v>245</v>
      </c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66" t="s">
        <v>232</v>
      </c>
      <c r="S74" s="166"/>
      <c r="T74" s="175" t="s">
        <v>246</v>
      </c>
      <c r="U74" s="175"/>
      <c r="V74" s="175"/>
      <c r="W74" s="175"/>
      <c r="X74" s="156"/>
      <c r="Y74" s="156"/>
      <c r="Z74" s="156"/>
      <c r="AA74" s="156"/>
      <c r="AB74" s="156"/>
      <c r="AC74" s="156"/>
      <c r="AD74" s="156"/>
      <c r="AE74" s="156"/>
      <c r="AF74" s="156"/>
      <c r="AG74" s="157"/>
      <c r="AH74" s="157"/>
      <c r="AI74" s="157"/>
      <c r="AJ74" s="157"/>
      <c r="AK74" s="157"/>
      <c r="AL74" s="169" t="s">
        <v>247</v>
      </c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1"/>
      <c r="AY74" s="169" t="s">
        <v>242</v>
      </c>
      <c r="AZ74" s="171"/>
      <c r="BA74" s="172">
        <v>1110</v>
      </c>
      <c r="BB74" s="173"/>
      <c r="BC74" s="173"/>
      <c r="BD74" s="173">
        <v>1845</v>
      </c>
      <c r="BE74" s="173"/>
      <c r="BF74" s="174"/>
      <c r="BG74" s="159"/>
      <c r="BH74" s="159"/>
      <c r="BI74" s="24"/>
    </row>
    <row r="75" spans="2:61" s="25" customFormat="1" ht="16.5" customHeight="1">
      <c r="B75" s="17"/>
      <c r="C75" s="140" t="s">
        <v>248</v>
      </c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68" t="s">
        <v>232</v>
      </c>
      <c r="S75" s="168"/>
      <c r="T75" s="175" t="s">
        <v>249</v>
      </c>
      <c r="U75" s="175"/>
      <c r="V75" s="175"/>
      <c r="W75" s="1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 s="169" t="s">
        <v>250</v>
      </c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1"/>
      <c r="AY75" s="169" t="s">
        <v>242</v>
      </c>
      <c r="AZ75" s="171"/>
      <c r="BA75" s="172">
        <v>690</v>
      </c>
      <c r="BB75" s="173"/>
      <c r="BC75" s="173"/>
      <c r="BD75" s="173">
        <v>1380</v>
      </c>
      <c r="BE75" s="173"/>
      <c r="BF75" s="174"/>
      <c r="BG75"/>
      <c r="BH75"/>
      <c r="BI75" s="24"/>
    </row>
    <row r="76" spans="2:61" s="25" customFormat="1" ht="16.5" customHeight="1">
      <c r="B76" s="17"/>
      <c r="C76" s="140" t="s">
        <v>251</v>
      </c>
      <c r="D76" s="140"/>
      <c r="E76" s="140" t="s">
        <v>228</v>
      </c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68" t="s">
        <v>232</v>
      </c>
      <c r="S76" s="168"/>
      <c r="T76" s="175" t="s">
        <v>252</v>
      </c>
      <c r="U76" s="175"/>
      <c r="V76" s="175"/>
      <c r="W76" s="175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 s="176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8"/>
      <c r="BA76"/>
      <c r="BB76"/>
      <c r="BC76"/>
      <c r="BD76"/>
      <c r="BE76"/>
      <c r="BF76"/>
      <c r="BG76"/>
      <c r="BH76"/>
      <c r="BI76" s="24"/>
    </row>
    <row r="77" spans="2:61" s="25" customFormat="1" ht="16.5" customHeight="1">
      <c r="B77" s="17"/>
      <c r="C77" s="23"/>
      <c r="D77" s="23"/>
      <c r="E77" s="23"/>
      <c r="F77" s="23"/>
      <c r="G77" s="23"/>
      <c r="H77" s="23"/>
      <c r="I77" s="23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 s="24"/>
    </row>
    <row r="78" spans="2:61" s="25" customFormat="1" ht="16.5" customHeight="1">
      <c r="B78" s="17"/>
      <c r="C78" s="15" t="s">
        <v>253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 s="24"/>
    </row>
    <row r="79" spans="2:61" s="25" customFormat="1" ht="16.5" customHeight="1">
      <c r="B79" s="17"/>
      <c r="C79" s="15" t="s">
        <v>254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 s="24"/>
    </row>
    <row r="80" spans="2:61" s="25" customFormat="1" ht="16.5" customHeight="1">
      <c r="B80" s="17"/>
      <c r="C80" s="15" t="s">
        <v>255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 s="24"/>
    </row>
    <row r="81" spans="2:61" s="25" customFormat="1" ht="16.5" customHeight="1">
      <c r="B81" s="17"/>
      <c r="C81" s="15" t="s">
        <v>256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 s="24"/>
    </row>
    <row r="82" spans="2:61" s="25" customFormat="1" ht="16.5" customHeight="1">
      <c r="B82" s="17"/>
      <c r="C82" s="15" t="s">
        <v>257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 s="24"/>
    </row>
    <row r="83" spans="2:61" s="25" customFormat="1" ht="16.5" customHeight="1">
      <c r="B83" s="17"/>
      <c r="C83" s="15" t="s">
        <v>259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 s="24"/>
    </row>
    <row r="84" spans="2:61" s="25" customFormat="1" ht="16.5" customHeight="1">
      <c r="B84" s="17"/>
      <c r="C84" s="15" t="s">
        <v>260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 s="24"/>
    </row>
    <row r="85" spans="2:61" s="25" customFormat="1" ht="16.5" customHeight="1">
      <c r="B85" s="17"/>
      <c r="C85" s="15" t="s">
        <v>261</v>
      </c>
      <c r="D85" s="15"/>
      <c r="E85" s="15"/>
      <c r="F85" s="15"/>
      <c r="G85" s="15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5"/>
      <c r="AK85" s="15"/>
      <c r="AL85" s="15"/>
      <c r="AM85" s="15"/>
      <c r="AN85" s="15"/>
      <c r="AO85" s="15"/>
      <c r="AP85" s="1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 s="24"/>
    </row>
    <row r="86" spans="2:61" s="25" customFormat="1" ht="16.5" customHeight="1">
      <c r="B86" s="17"/>
      <c r="C86" s="15" t="s">
        <v>262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79" t="s">
        <v>263</v>
      </c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5"/>
      <c r="AJ86" s="15"/>
      <c r="AK86" s="15"/>
      <c r="AL86" s="15"/>
      <c r="AM86" s="15"/>
      <c r="AN86" s="15"/>
      <c r="AO86" s="15"/>
      <c r="AP86" s="15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 s="24"/>
    </row>
    <row r="87" spans="2:61" s="25" customFormat="1" ht="16.5" customHeight="1">
      <c r="B87" s="17"/>
      <c r="C87" s="15" t="s">
        <v>264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 s="24"/>
    </row>
    <row r="88" spans="2:61" s="25" customFormat="1" ht="16.5" customHeight="1">
      <c r="B88" s="17"/>
      <c r="C88" s="15" t="s">
        <v>258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 s="24"/>
    </row>
    <row r="89" spans="2:61" s="25" customFormat="1" ht="16.5" customHeight="1">
      <c r="B89" s="17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 s="24"/>
    </row>
    <row r="90" spans="2:61" s="25" customFormat="1" ht="16.5" customHeight="1" thickBot="1">
      <c r="B90" s="63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5"/>
    </row>
  </sheetData>
  <mergeCells count="301">
    <mergeCell ref="BD75:BF75"/>
    <mergeCell ref="C76:Q76"/>
    <mergeCell ref="R76:S76"/>
    <mergeCell ref="T76:W76"/>
    <mergeCell ref="AL76:AZ76"/>
    <mergeCell ref="Q86:AH86"/>
    <mergeCell ref="C75:Q75"/>
    <mergeCell ref="R75:S75"/>
    <mergeCell ref="T75:W75"/>
    <mergeCell ref="AL75:AX75"/>
    <mergeCell ref="AY75:AZ75"/>
    <mergeCell ref="BA75:BC75"/>
    <mergeCell ref="BD73:BF73"/>
    <mergeCell ref="C74:Q74"/>
    <mergeCell ref="R74:S74"/>
    <mergeCell ref="T74:W74"/>
    <mergeCell ref="AL74:AX74"/>
    <mergeCell ref="AY74:AZ74"/>
    <mergeCell ref="BA74:BC74"/>
    <mergeCell ref="BD74:BF74"/>
    <mergeCell ref="AL72:AX72"/>
    <mergeCell ref="AY72:AZ72"/>
    <mergeCell ref="BA72:BC72"/>
    <mergeCell ref="BD72:BF72"/>
    <mergeCell ref="C73:Q73"/>
    <mergeCell ref="R73:S73"/>
    <mergeCell ref="T73:W73"/>
    <mergeCell ref="AL73:AX73"/>
    <mergeCell ref="AY73:AZ73"/>
    <mergeCell ref="BA73:BC73"/>
    <mergeCell ref="AL70:AX71"/>
    <mergeCell ref="AY70:AZ71"/>
    <mergeCell ref="BA70:BC71"/>
    <mergeCell ref="BD70:BF71"/>
    <mergeCell ref="C71:Q71"/>
    <mergeCell ref="R71:S71"/>
    <mergeCell ref="T71:W71"/>
    <mergeCell ref="C69:Q69"/>
    <mergeCell ref="R69:S69"/>
    <mergeCell ref="T69:W69"/>
    <mergeCell ref="C70:Q70"/>
    <mergeCell ref="R70:S70"/>
    <mergeCell ref="T70:W70"/>
    <mergeCell ref="C68:Q68"/>
    <mergeCell ref="R68:S68"/>
    <mergeCell ref="T68:W68"/>
    <mergeCell ref="AL68:AZ68"/>
    <mergeCell ref="BA68:BB68"/>
    <mergeCell ref="BC68:BF68"/>
    <mergeCell ref="C67:Q67"/>
    <mergeCell ref="R67:S67"/>
    <mergeCell ref="T67:W67"/>
    <mergeCell ref="AL67:AZ67"/>
    <mergeCell ref="BA67:BB67"/>
    <mergeCell ref="BC67:BF67"/>
    <mergeCell ref="C66:Q66"/>
    <mergeCell ref="R66:S66"/>
    <mergeCell ref="T66:W66"/>
    <mergeCell ref="AL66:AZ66"/>
    <mergeCell ref="BA66:BB66"/>
    <mergeCell ref="BC66:BF66"/>
    <mergeCell ref="C65:Q65"/>
    <mergeCell ref="R65:S65"/>
    <mergeCell ref="T65:W65"/>
    <mergeCell ref="AL65:AZ65"/>
    <mergeCell ref="BA65:BB65"/>
    <mergeCell ref="BC65:BF65"/>
    <mergeCell ref="BB61:BH61"/>
    <mergeCell ref="C62:K62"/>
    <mergeCell ref="L62:T62"/>
    <mergeCell ref="U62:AF62"/>
    <mergeCell ref="AG62:AM62"/>
    <mergeCell ref="AN62:AT62"/>
    <mergeCell ref="AU62:BA62"/>
    <mergeCell ref="BB62:BH62"/>
    <mergeCell ref="C61:K61"/>
    <mergeCell ref="L61:T61"/>
    <mergeCell ref="U61:AF61"/>
    <mergeCell ref="AG61:AM61"/>
    <mergeCell ref="AN61:AT61"/>
    <mergeCell ref="AU61:BA61"/>
    <mergeCell ref="BB59:BH59"/>
    <mergeCell ref="C60:K60"/>
    <mergeCell ref="L60:T60"/>
    <mergeCell ref="U60:AF60"/>
    <mergeCell ref="AG60:AM60"/>
    <mergeCell ref="AN60:AT60"/>
    <mergeCell ref="AU60:BA60"/>
    <mergeCell ref="BB60:BH60"/>
    <mergeCell ref="C59:K59"/>
    <mergeCell ref="L59:T59"/>
    <mergeCell ref="U59:AF59"/>
    <mergeCell ref="AG59:AM59"/>
    <mergeCell ref="AN59:AT59"/>
    <mergeCell ref="AU59:BA59"/>
    <mergeCell ref="BB57:BH57"/>
    <mergeCell ref="C58:K58"/>
    <mergeCell ref="L58:T58"/>
    <mergeCell ref="U58:AF58"/>
    <mergeCell ref="AG58:AM58"/>
    <mergeCell ref="AN58:AT58"/>
    <mergeCell ref="AU58:BA58"/>
    <mergeCell ref="BB58:BH58"/>
    <mergeCell ref="C57:K57"/>
    <mergeCell ref="L57:T57"/>
    <mergeCell ref="U57:AF57"/>
    <mergeCell ref="AG57:AM57"/>
    <mergeCell ref="AN57:AT57"/>
    <mergeCell ref="AU57:BA57"/>
    <mergeCell ref="BB55:BH55"/>
    <mergeCell ref="C56:K56"/>
    <mergeCell ref="L56:T56"/>
    <mergeCell ref="U56:AF56"/>
    <mergeCell ref="AG56:AM56"/>
    <mergeCell ref="AN56:AT56"/>
    <mergeCell ref="AU56:BA56"/>
    <mergeCell ref="BB56:BH56"/>
    <mergeCell ref="C55:K55"/>
    <mergeCell ref="L55:T55"/>
    <mergeCell ref="U55:AF55"/>
    <mergeCell ref="AG55:AM55"/>
    <mergeCell ref="AN55:AT55"/>
    <mergeCell ref="AU55:BA55"/>
    <mergeCell ref="BB53:BH53"/>
    <mergeCell ref="C54:K54"/>
    <mergeCell ref="L54:T54"/>
    <mergeCell ref="U54:AF54"/>
    <mergeCell ref="AG54:AM54"/>
    <mergeCell ref="AN54:AT54"/>
    <mergeCell ref="AU54:BA54"/>
    <mergeCell ref="BB54:BH54"/>
    <mergeCell ref="C53:K53"/>
    <mergeCell ref="L53:T53"/>
    <mergeCell ref="U53:AF53"/>
    <mergeCell ref="AG53:AM53"/>
    <mergeCell ref="AN53:AT53"/>
    <mergeCell ref="AU53:BA53"/>
    <mergeCell ref="BB51:BH51"/>
    <mergeCell ref="C52:K52"/>
    <mergeCell ref="L52:T52"/>
    <mergeCell ref="U52:AF52"/>
    <mergeCell ref="AG52:AM52"/>
    <mergeCell ref="AN52:AT52"/>
    <mergeCell ref="AU52:BA52"/>
    <mergeCell ref="BB52:BH52"/>
    <mergeCell ref="C51:K51"/>
    <mergeCell ref="L51:T51"/>
    <mergeCell ref="U51:AF51"/>
    <mergeCell ref="AG51:AM51"/>
    <mergeCell ref="AN51:AT51"/>
    <mergeCell ref="AU51:BA51"/>
    <mergeCell ref="BB49:BH49"/>
    <mergeCell ref="C50:K50"/>
    <mergeCell ref="L50:T50"/>
    <mergeCell ref="U50:AF50"/>
    <mergeCell ref="AG50:AM50"/>
    <mergeCell ref="AN50:AT50"/>
    <mergeCell ref="AU50:BA50"/>
    <mergeCell ref="BB50:BH50"/>
    <mergeCell ref="C49:K49"/>
    <mergeCell ref="L49:T49"/>
    <mergeCell ref="U49:AF49"/>
    <mergeCell ref="AG49:AM49"/>
    <mergeCell ref="AN49:AT49"/>
    <mergeCell ref="AU49:BA49"/>
    <mergeCell ref="BB47:BH47"/>
    <mergeCell ref="C48:K48"/>
    <mergeCell ref="L48:T48"/>
    <mergeCell ref="U48:AF48"/>
    <mergeCell ref="AG48:AM48"/>
    <mergeCell ref="AN48:AT48"/>
    <mergeCell ref="AU48:BA48"/>
    <mergeCell ref="BB48:BH48"/>
    <mergeCell ref="C47:K47"/>
    <mergeCell ref="L47:T47"/>
    <mergeCell ref="U47:AF47"/>
    <mergeCell ref="AG47:AM47"/>
    <mergeCell ref="AN47:AT47"/>
    <mergeCell ref="AU47:BA47"/>
    <mergeCell ref="BB45:BH45"/>
    <mergeCell ref="C46:K46"/>
    <mergeCell ref="L46:T46"/>
    <mergeCell ref="U46:AF46"/>
    <mergeCell ref="AG46:AM46"/>
    <mergeCell ref="AN46:AT46"/>
    <mergeCell ref="AU46:BA46"/>
    <mergeCell ref="BB46:BH46"/>
    <mergeCell ref="C45:K45"/>
    <mergeCell ref="L45:T45"/>
    <mergeCell ref="U45:AF45"/>
    <mergeCell ref="AG45:AM45"/>
    <mergeCell ref="AN45:AT45"/>
    <mergeCell ref="AU45:BA45"/>
    <mergeCell ref="BB43:BH43"/>
    <mergeCell ref="C44:K44"/>
    <mergeCell ref="L44:T44"/>
    <mergeCell ref="U44:AF44"/>
    <mergeCell ref="AG44:AM44"/>
    <mergeCell ref="AN44:AT44"/>
    <mergeCell ref="AU44:BA44"/>
    <mergeCell ref="BB44:BH44"/>
    <mergeCell ref="C43:K43"/>
    <mergeCell ref="L43:T43"/>
    <mergeCell ref="U43:AF43"/>
    <mergeCell ref="AG43:AM43"/>
    <mergeCell ref="AN43:AT43"/>
    <mergeCell ref="AU43:BA43"/>
    <mergeCell ref="BB41:BH41"/>
    <mergeCell ref="C42:K42"/>
    <mergeCell ref="L42:T42"/>
    <mergeCell ref="U42:AF42"/>
    <mergeCell ref="AG42:AM42"/>
    <mergeCell ref="AN42:AT42"/>
    <mergeCell ref="AU42:BA42"/>
    <mergeCell ref="BB42:BH42"/>
    <mergeCell ref="C41:K41"/>
    <mergeCell ref="L41:T41"/>
    <mergeCell ref="U41:AF41"/>
    <mergeCell ref="AG41:AM41"/>
    <mergeCell ref="AN41:AT41"/>
    <mergeCell ref="AU41:BA41"/>
    <mergeCell ref="BB39:BH39"/>
    <mergeCell ref="C40:K40"/>
    <mergeCell ref="L40:T40"/>
    <mergeCell ref="U40:AF40"/>
    <mergeCell ref="AG40:AM40"/>
    <mergeCell ref="AN40:AT40"/>
    <mergeCell ref="AU40:BA40"/>
    <mergeCell ref="BB40:BH40"/>
    <mergeCell ref="C39:K39"/>
    <mergeCell ref="L39:T39"/>
    <mergeCell ref="U39:AF39"/>
    <mergeCell ref="AG39:AM39"/>
    <mergeCell ref="AN39:AT39"/>
    <mergeCell ref="AU39:BA39"/>
    <mergeCell ref="BB37:BH37"/>
    <mergeCell ref="C38:K38"/>
    <mergeCell ref="L38:T38"/>
    <mergeCell ref="U38:AF38"/>
    <mergeCell ref="AG38:AM38"/>
    <mergeCell ref="AN38:AT38"/>
    <mergeCell ref="AU38:BA38"/>
    <mergeCell ref="BB38:BH38"/>
    <mergeCell ref="C37:K37"/>
    <mergeCell ref="L37:T37"/>
    <mergeCell ref="U37:AF37"/>
    <mergeCell ref="AG37:AM37"/>
    <mergeCell ref="AN37:AT37"/>
    <mergeCell ref="AU37:BA37"/>
    <mergeCell ref="BB35:BH35"/>
    <mergeCell ref="C36:K36"/>
    <mergeCell ref="L36:T36"/>
    <mergeCell ref="U36:AF36"/>
    <mergeCell ref="AG36:AM36"/>
    <mergeCell ref="AN36:AT36"/>
    <mergeCell ref="AU36:BA36"/>
    <mergeCell ref="BB36:BH36"/>
    <mergeCell ref="C35:K35"/>
    <mergeCell ref="L35:T35"/>
    <mergeCell ref="U35:AF35"/>
    <mergeCell ref="AG35:AM35"/>
    <mergeCell ref="AN35:AT35"/>
    <mergeCell ref="AU35:BA35"/>
    <mergeCell ref="BB33:BH33"/>
    <mergeCell ref="C34:K34"/>
    <mergeCell ref="L34:T34"/>
    <mergeCell ref="U34:AF34"/>
    <mergeCell ref="AG34:AM34"/>
    <mergeCell ref="AN34:AT34"/>
    <mergeCell ref="AU34:BA34"/>
    <mergeCell ref="BB34:BH34"/>
    <mergeCell ref="C33:K33"/>
    <mergeCell ref="L33:T33"/>
    <mergeCell ref="U33:AF33"/>
    <mergeCell ref="AG33:AM33"/>
    <mergeCell ref="AN33:AT33"/>
    <mergeCell ref="AU33:BA33"/>
    <mergeCell ref="BB31:BH31"/>
    <mergeCell ref="C32:K32"/>
    <mergeCell ref="L32:T32"/>
    <mergeCell ref="U32:AF32"/>
    <mergeCell ref="AG32:AM32"/>
    <mergeCell ref="AN32:AT32"/>
    <mergeCell ref="AU32:BA32"/>
    <mergeCell ref="BB32:BH32"/>
    <mergeCell ref="C31:K31"/>
    <mergeCell ref="L31:T31"/>
    <mergeCell ref="U31:AF31"/>
    <mergeCell ref="AG31:AM31"/>
    <mergeCell ref="AN31:AT31"/>
    <mergeCell ref="AU31:BA31"/>
    <mergeCell ref="BB9:BF9"/>
    <mergeCell ref="C28:T29"/>
    <mergeCell ref="U28:BH29"/>
    <mergeCell ref="C30:K30"/>
    <mergeCell ref="L30:T30"/>
    <mergeCell ref="U30:AF30"/>
    <mergeCell ref="AG30:AM30"/>
    <mergeCell ref="AN30:AT30"/>
    <mergeCell ref="AU30:BA30"/>
    <mergeCell ref="BB30:BH30"/>
  </mergeCells>
  <hyperlinks>
    <hyperlink ref="Q86" r:id="rId1" xr:uid="{BCD22BDA-C86E-4363-87EB-B3660B4E822B}"/>
  </hyperlinks>
  <pageMargins left="0.25" right="0.25" top="0.75" bottom="0.75" header="0.3" footer="0.3"/>
  <pageSetup paperSize="9" scale="55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4CCA-1666-4F4C-870F-C7EAA43F4665}">
  <sheetPr codeName="Sheet9">
    <tabColor rgb="FFEE312F"/>
    <pageSetUpPr fitToPage="1"/>
  </sheetPr>
  <dimension ref="B1:BI114"/>
  <sheetViews>
    <sheetView showGridLines="0" topLeftCell="A47" zoomScaleNormal="100" workbookViewId="0">
      <selection activeCell="CC72" sqref="CC72"/>
    </sheetView>
  </sheetViews>
  <sheetFormatPr defaultColWidth="3" defaultRowHeight="14.25"/>
  <cols>
    <col min="1" max="1" width="3" style="1"/>
    <col min="2" max="2" width="5.7109375" style="1" customWidth="1"/>
    <col min="3" max="32" width="2.85546875" style="1" customWidth="1"/>
    <col min="33" max="33" width="3.7109375" style="1" customWidth="1"/>
    <col min="34" max="60" width="2.85546875" style="1" customWidth="1"/>
    <col min="61" max="61" width="5.7109375" style="1" customWidth="1"/>
    <col min="62" max="16384" width="3" style="1"/>
  </cols>
  <sheetData>
    <row r="1" spans="2:61" ht="15" thickBot="1"/>
    <row r="2" spans="2:61" ht="16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</row>
    <row r="3" spans="2:61" ht="16.5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7"/>
    </row>
    <row r="4" spans="2:61" ht="16.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</row>
    <row r="5" spans="2:61" ht="16.5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1" ht="14.2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2:61" ht="3" customHeight="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0"/>
    </row>
    <row r="8" spans="2:61" ht="16.5" customHeigh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3"/>
    </row>
    <row r="9" spans="2:61" ht="16.5" customHeight="1">
      <c r="B9" s="11"/>
      <c r="C9" s="18" t="str">
        <f>('1. Intro'!$C$19)</f>
        <v>RATE AGREEMENT / SERVICE CONTRACT: AS OUTLINED BY ROUTE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3</v>
      </c>
      <c r="BA9" s="12"/>
      <c r="BB9" s="120">
        <v>46041</v>
      </c>
      <c r="BC9" s="120"/>
      <c r="BD9" s="120"/>
      <c r="BE9" s="120"/>
      <c r="BF9" s="120"/>
      <c r="BG9" s="12"/>
      <c r="BH9" s="121"/>
      <c r="BI9" s="13"/>
    </row>
    <row r="10" spans="2:61" ht="16.5" customHeight="1">
      <c r="B10" s="11"/>
      <c r="C10" s="18" t="str">
        <f>('1. Intro'!$C$20)</f>
        <v>RATE VALIDITY: AS PER RDA DATE 01.02.2026 - 30.04.2026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3"/>
    </row>
    <row r="11" spans="2:61" ht="16.5" customHeight="1">
      <c r="B11" s="11"/>
      <c r="C11" s="18" t="str">
        <f>('1. Intro'!$C$21)</f>
        <v xml:space="preserve">RATE AND SURCHARGES APPLICATION: AS PER RATING DATE (RDA) 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 ht="16.5" customHeight="1">
      <c r="B12" s="11"/>
      <c r="C12" s="18" t="s">
        <v>136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3"/>
    </row>
    <row r="13" spans="2:61" ht="16.5" customHeight="1">
      <c r="B13" s="11"/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3"/>
    </row>
    <row r="14" spans="2:61" ht="16.5" customHeight="1">
      <c r="B14" s="11"/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</row>
    <row r="15" spans="2:61" ht="16.5" customHeight="1">
      <c r="B15" s="11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</row>
    <row r="16" spans="2:61" ht="16.5" customHeight="1">
      <c r="B16" s="11"/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</row>
    <row r="17" spans="2:61" ht="16.5" customHeight="1">
      <c r="B17" s="11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</row>
    <row r="18" spans="2:61" ht="16.5" customHeight="1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</row>
    <row r="19" spans="2:61" ht="16.5" customHeight="1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</row>
    <row r="20" spans="2:61" ht="16.5" customHeight="1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</row>
    <row r="21" spans="2:61" ht="16.5" customHeight="1">
      <c r="B21" s="11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2"/>
      <c r="BA21" s="12"/>
      <c r="BB21" s="12"/>
      <c r="BC21" s="12"/>
      <c r="BD21" s="12"/>
      <c r="BE21" s="12"/>
      <c r="BF21" s="12"/>
      <c r="BG21" s="12"/>
      <c r="BH21" s="12"/>
      <c r="BI21" s="13"/>
    </row>
    <row r="22" spans="2:61" ht="16.5" customHeight="1">
      <c r="B22" s="11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3"/>
    </row>
    <row r="23" spans="2:61" ht="16.5" customHeight="1">
      <c r="B23" s="1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</row>
    <row r="24" spans="2:61" ht="16.5" customHeight="1">
      <c r="B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</row>
    <row r="25" spans="2:61" s="25" customFormat="1" ht="16.5" customHeight="1">
      <c r="B25" s="17"/>
      <c r="C25" s="18"/>
      <c r="D25" s="18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2"/>
      <c r="Y25" s="82"/>
      <c r="Z25" s="82"/>
      <c r="AA25" s="83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19"/>
      <c r="AP25" s="12"/>
      <c r="AQ25" s="19"/>
      <c r="AR25" s="20"/>
      <c r="AS25" s="21" t="s">
        <v>137</v>
      </c>
      <c r="AT25" s="19"/>
      <c r="AU25" s="19"/>
      <c r="AV25" s="123"/>
      <c r="AW25" s="19"/>
      <c r="AX25" s="19"/>
      <c r="AY25" s="19"/>
      <c r="AZ25" s="19"/>
      <c r="BA25" s="19"/>
      <c r="BB25" s="19"/>
      <c r="BC25" s="23"/>
      <c r="BD25" s="23"/>
      <c r="BE25" s="23"/>
      <c r="BF25" s="23"/>
      <c r="BG25" s="23"/>
      <c r="BH25" s="23"/>
      <c r="BI25" s="24"/>
    </row>
    <row r="26" spans="2:61" s="25" customFormat="1" ht="16.5" customHeight="1">
      <c r="B26" s="17"/>
      <c r="C26" s="18"/>
      <c r="D26" s="18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23"/>
      <c r="AP26" s="23"/>
      <c r="AQ26" s="23"/>
      <c r="AR26" s="23"/>
      <c r="AS26" s="21" t="s">
        <v>137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19"/>
      <c r="BD26" s="19"/>
      <c r="BE26" s="19"/>
      <c r="BF26" s="19"/>
      <c r="BG26" s="19"/>
      <c r="BH26" s="19"/>
      <c r="BI26" s="24"/>
    </row>
    <row r="27" spans="2:61" s="25" customFormat="1" ht="16.5" customHeight="1">
      <c r="B27" s="17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24"/>
    </row>
    <row r="28" spans="2:61" s="25" customFormat="1" ht="16.5" customHeight="1">
      <c r="B28" s="17"/>
      <c r="C28" s="180" t="s">
        <v>300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2"/>
      <c r="W28" s="150" t="s">
        <v>195</v>
      </c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2"/>
      <c r="BI28" s="24"/>
    </row>
    <row r="29" spans="2:61" s="25" customFormat="1" ht="16.5" customHeight="1">
      <c r="B29" s="17"/>
      <c r="C29" s="183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5"/>
      <c r="W29" s="153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5"/>
      <c r="BI29" s="24"/>
    </row>
    <row r="30" spans="2:61" s="25" customFormat="1" ht="16.5" customHeight="1">
      <c r="B30" s="17"/>
      <c r="C30" s="186" t="s">
        <v>140</v>
      </c>
      <c r="D30" s="187"/>
      <c r="E30" s="187"/>
      <c r="F30" s="187"/>
      <c r="G30" s="187"/>
      <c r="H30" s="187"/>
      <c r="I30" s="187"/>
      <c r="J30" s="186" t="s">
        <v>141</v>
      </c>
      <c r="K30" s="187"/>
      <c r="L30" s="187"/>
      <c r="M30" s="187"/>
      <c r="N30" s="187"/>
      <c r="O30" s="187"/>
      <c r="P30" s="187"/>
      <c r="Q30" s="187"/>
      <c r="R30" s="188"/>
      <c r="S30" s="186" t="s">
        <v>301</v>
      </c>
      <c r="T30" s="187"/>
      <c r="U30" s="187"/>
      <c r="V30" s="187"/>
      <c r="W30" s="186" t="s">
        <v>302</v>
      </c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8"/>
      <c r="AJ30" s="187" t="s">
        <v>143</v>
      </c>
      <c r="AK30" s="187"/>
      <c r="AL30" s="187"/>
      <c r="AM30" s="187"/>
      <c r="AN30" s="187"/>
      <c r="AO30" s="188"/>
      <c r="AP30" s="186" t="s">
        <v>144</v>
      </c>
      <c r="AQ30" s="187"/>
      <c r="AR30" s="187"/>
      <c r="AS30" s="187"/>
      <c r="AT30" s="187"/>
      <c r="AU30" s="188"/>
      <c r="AV30" s="186" t="s">
        <v>145</v>
      </c>
      <c r="AW30" s="187"/>
      <c r="AX30" s="187"/>
      <c r="AY30" s="187"/>
      <c r="AZ30" s="187"/>
      <c r="BA30" s="188"/>
      <c r="BB30" s="186" t="s">
        <v>146</v>
      </c>
      <c r="BC30" s="187"/>
      <c r="BD30" s="187"/>
      <c r="BE30" s="187"/>
      <c r="BF30" s="187"/>
      <c r="BG30" s="187"/>
      <c r="BH30" s="188"/>
      <c r="BI30" s="24"/>
    </row>
    <row r="31" spans="2:61" s="25" customFormat="1" ht="16.5" customHeight="1">
      <c r="B31" s="17"/>
      <c r="C31" s="169" t="s">
        <v>179</v>
      </c>
      <c r="D31" s="170"/>
      <c r="E31" s="170"/>
      <c r="F31" s="170"/>
      <c r="G31" s="170"/>
      <c r="H31" s="170"/>
      <c r="I31" s="171"/>
      <c r="J31" s="41" t="s">
        <v>158</v>
      </c>
      <c r="K31" s="42"/>
      <c r="L31" s="42"/>
      <c r="M31" s="42"/>
      <c r="N31" s="42"/>
      <c r="O31" s="42"/>
      <c r="P31" s="42"/>
      <c r="Q31" s="42"/>
      <c r="R31" s="43"/>
      <c r="S31" s="169" t="s">
        <v>303</v>
      </c>
      <c r="T31" s="170"/>
      <c r="U31" s="170"/>
      <c r="V31" s="171"/>
      <c r="W31" s="41" t="s">
        <v>304</v>
      </c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3"/>
      <c r="AJ31" s="127">
        <v>300</v>
      </c>
      <c r="AK31" s="128"/>
      <c r="AL31" s="128"/>
      <c r="AM31" s="128"/>
      <c r="AN31" s="128"/>
      <c r="AO31" s="129"/>
      <c r="AP31" s="127">
        <v>450</v>
      </c>
      <c r="AQ31" s="128"/>
      <c r="AR31" s="128"/>
      <c r="AS31" s="128"/>
      <c r="AT31" s="128"/>
      <c r="AU31" s="129"/>
      <c r="AV31" s="127">
        <v>450</v>
      </c>
      <c r="AW31" s="128"/>
      <c r="AX31" s="128"/>
      <c r="AY31" s="128"/>
      <c r="AZ31" s="128"/>
      <c r="BA31" s="129"/>
      <c r="BB31" s="130" t="s">
        <v>150</v>
      </c>
      <c r="BC31" s="131"/>
      <c r="BD31" s="131"/>
      <c r="BE31" s="131"/>
      <c r="BF31" s="131"/>
      <c r="BG31" s="131"/>
      <c r="BH31" s="132"/>
      <c r="BI31" s="24"/>
    </row>
    <row r="32" spans="2:61" s="25" customFormat="1" ht="16.5" customHeight="1">
      <c r="B32" s="17"/>
      <c r="C32" s="189" t="s">
        <v>179</v>
      </c>
      <c r="D32" s="190"/>
      <c r="E32" s="190"/>
      <c r="F32" s="190"/>
      <c r="G32" s="190"/>
      <c r="H32" s="190"/>
      <c r="I32" s="191"/>
      <c r="J32" s="44" t="s">
        <v>154</v>
      </c>
      <c r="K32" s="45"/>
      <c r="L32" s="45"/>
      <c r="M32" s="45"/>
      <c r="N32" s="45"/>
      <c r="O32" s="45"/>
      <c r="P32" s="45"/>
      <c r="Q32" s="45"/>
      <c r="R32" s="46"/>
      <c r="S32" s="189" t="s">
        <v>303</v>
      </c>
      <c r="T32" s="190"/>
      <c r="U32" s="190"/>
      <c r="V32" s="191"/>
      <c r="W32" s="44" t="s">
        <v>305</v>
      </c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6"/>
      <c r="AJ32" s="192">
        <v>350</v>
      </c>
      <c r="AK32" s="193"/>
      <c r="AL32" s="193"/>
      <c r="AM32" s="193"/>
      <c r="AN32" s="193"/>
      <c r="AO32" s="194"/>
      <c r="AP32" s="192">
        <v>625</v>
      </c>
      <c r="AQ32" s="193"/>
      <c r="AR32" s="193"/>
      <c r="AS32" s="193"/>
      <c r="AT32" s="193"/>
      <c r="AU32" s="194"/>
      <c r="AV32" s="192">
        <v>625</v>
      </c>
      <c r="AW32" s="193"/>
      <c r="AX32" s="193"/>
      <c r="AY32" s="193"/>
      <c r="AZ32" s="193"/>
      <c r="BA32" s="194"/>
      <c r="BB32" s="195" t="s">
        <v>150</v>
      </c>
      <c r="BC32" s="196"/>
      <c r="BD32" s="196"/>
      <c r="BE32" s="196"/>
      <c r="BF32" s="196"/>
      <c r="BG32" s="196"/>
      <c r="BH32" s="197"/>
      <c r="BI32" s="24"/>
    </row>
    <row r="33" spans="2:61" s="25" customFormat="1" ht="16.5" customHeight="1">
      <c r="B33" s="17"/>
      <c r="C33" s="169" t="s">
        <v>179</v>
      </c>
      <c r="D33" s="170"/>
      <c r="E33" s="170"/>
      <c r="F33" s="170"/>
      <c r="G33" s="170"/>
      <c r="H33" s="170"/>
      <c r="I33" s="171"/>
      <c r="J33" s="41" t="s">
        <v>154</v>
      </c>
      <c r="K33" s="42"/>
      <c r="L33" s="42"/>
      <c r="M33" s="42"/>
      <c r="N33" s="42"/>
      <c r="O33" s="42"/>
      <c r="P33" s="42"/>
      <c r="Q33" s="42"/>
      <c r="R33" s="43"/>
      <c r="S33" s="169" t="s">
        <v>306</v>
      </c>
      <c r="T33" s="170"/>
      <c r="U33" s="170"/>
      <c r="V33" s="171"/>
      <c r="W33" s="41" t="s">
        <v>307</v>
      </c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3"/>
      <c r="AJ33" s="127" t="s">
        <v>308</v>
      </c>
      <c r="AK33" s="128"/>
      <c r="AL33" s="128"/>
      <c r="AM33" s="128"/>
      <c r="AN33" s="128"/>
      <c r="AO33" s="129"/>
      <c r="AP33" s="127">
        <v>1780</v>
      </c>
      <c r="AQ33" s="128"/>
      <c r="AR33" s="128"/>
      <c r="AS33" s="128"/>
      <c r="AT33" s="128"/>
      <c r="AU33" s="129"/>
      <c r="AV33" s="127">
        <v>1780</v>
      </c>
      <c r="AW33" s="128"/>
      <c r="AX33" s="128"/>
      <c r="AY33" s="128"/>
      <c r="AZ33" s="128"/>
      <c r="BA33" s="129"/>
      <c r="BB33" s="130" t="s">
        <v>150</v>
      </c>
      <c r="BC33" s="131"/>
      <c r="BD33" s="131"/>
      <c r="BE33" s="131"/>
      <c r="BF33" s="131"/>
      <c r="BG33" s="131"/>
      <c r="BH33" s="132"/>
      <c r="BI33" s="24"/>
    </row>
    <row r="34" spans="2:61" s="25" customFormat="1" ht="16.5" customHeight="1">
      <c r="B34" s="17"/>
      <c r="C34" s="189" t="s">
        <v>179</v>
      </c>
      <c r="D34" s="190"/>
      <c r="E34" s="190"/>
      <c r="F34" s="190"/>
      <c r="G34" s="190"/>
      <c r="H34" s="190"/>
      <c r="I34" s="191"/>
      <c r="J34" s="44" t="s">
        <v>154</v>
      </c>
      <c r="K34" s="45"/>
      <c r="L34" s="45"/>
      <c r="M34" s="45"/>
      <c r="N34" s="45"/>
      <c r="O34" s="45"/>
      <c r="P34" s="45"/>
      <c r="Q34" s="45"/>
      <c r="R34" s="46"/>
      <c r="S34" s="189" t="s">
        <v>303</v>
      </c>
      <c r="T34" s="190"/>
      <c r="U34" s="190"/>
      <c r="V34" s="191"/>
      <c r="W34" s="44" t="s">
        <v>309</v>
      </c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6"/>
      <c r="AJ34" s="192">
        <v>425</v>
      </c>
      <c r="AK34" s="193"/>
      <c r="AL34" s="193"/>
      <c r="AM34" s="193"/>
      <c r="AN34" s="193"/>
      <c r="AO34" s="194"/>
      <c r="AP34" s="192">
        <v>825</v>
      </c>
      <c r="AQ34" s="193"/>
      <c r="AR34" s="193"/>
      <c r="AS34" s="193"/>
      <c r="AT34" s="193"/>
      <c r="AU34" s="194"/>
      <c r="AV34" s="192">
        <v>825</v>
      </c>
      <c r="AW34" s="193"/>
      <c r="AX34" s="193"/>
      <c r="AY34" s="193"/>
      <c r="AZ34" s="193"/>
      <c r="BA34" s="194"/>
      <c r="BB34" s="195" t="s">
        <v>150</v>
      </c>
      <c r="BC34" s="196"/>
      <c r="BD34" s="196"/>
      <c r="BE34" s="196"/>
      <c r="BF34" s="196"/>
      <c r="BG34" s="196"/>
      <c r="BH34" s="197"/>
      <c r="BI34" s="24"/>
    </row>
    <row r="35" spans="2:61" s="25" customFormat="1" ht="16.5" customHeight="1">
      <c r="B35" s="17"/>
      <c r="C35" s="169" t="s">
        <v>179</v>
      </c>
      <c r="D35" s="170"/>
      <c r="E35" s="170"/>
      <c r="F35" s="170"/>
      <c r="G35" s="170"/>
      <c r="H35" s="170"/>
      <c r="I35" s="171"/>
      <c r="J35" s="41" t="s">
        <v>156</v>
      </c>
      <c r="K35" s="42"/>
      <c r="L35" s="42"/>
      <c r="M35" s="42"/>
      <c r="N35" s="42"/>
      <c r="O35" s="42"/>
      <c r="P35" s="42"/>
      <c r="Q35" s="42"/>
      <c r="R35" s="43"/>
      <c r="S35" s="169" t="s">
        <v>310</v>
      </c>
      <c r="T35" s="170"/>
      <c r="U35" s="170"/>
      <c r="V35" s="171"/>
      <c r="W35" s="41" t="s">
        <v>311</v>
      </c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3"/>
      <c r="AJ35" s="127">
        <v>210</v>
      </c>
      <c r="AK35" s="128"/>
      <c r="AL35" s="128"/>
      <c r="AM35" s="128"/>
      <c r="AN35" s="128"/>
      <c r="AO35" s="129"/>
      <c r="AP35" s="127">
        <v>350</v>
      </c>
      <c r="AQ35" s="128"/>
      <c r="AR35" s="128"/>
      <c r="AS35" s="128"/>
      <c r="AT35" s="128"/>
      <c r="AU35" s="129"/>
      <c r="AV35" s="127">
        <v>350</v>
      </c>
      <c r="AW35" s="128"/>
      <c r="AX35" s="128"/>
      <c r="AY35" s="128"/>
      <c r="AZ35" s="128"/>
      <c r="BA35" s="129"/>
      <c r="BB35" s="130" t="s">
        <v>150</v>
      </c>
      <c r="BC35" s="131"/>
      <c r="BD35" s="131"/>
      <c r="BE35" s="131"/>
      <c r="BF35" s="131"/>
      <c r="BG35" s="131"/>
      <c r="BH35" s="132"/>
      <c r="BI35" s="24"/>
    </row>
    <row r="36" spans="2:61" s="25" customFormat="1" ht="16.5" customHeight="1">
      <c r="B36" s="17"/>
      <c r="C36" s="189" t="s">
        <v>179</v>
      </c>
      <c r="D36" s="190"/>
      <c r="E36" s="190"/>
      <c r="F36" s="190"/>
      <c r="G36" s="190"/>
      <c r="H36" s="190"/>
      <c r="I36" s="191"/>
      <c r="J36" s="44" t="s">
        <v>158</v>
      </c>
      <c r="K36" s="45"/>
      <c r="L36" s="45"/>
      <c r="M36" s="45"/>
      <c r="N36" s="45"/>
      <c r="O36" s="45"/>
      <c r="P36" s="45"/>
      <c r="Q36" s="45"/>
      <c r="R36" s="46"/>
      <c r="S36" s="189" t="s">
        <v>303</v>
      </c>
      <c r="T36" s="190"/>
      <c r="U36" s="190"/>
      <c r="V36" s="191"/>
      <c r="W36" s="44" t="s">
        <v>312</v>
      </c>
      <c r="X36" s="45"/>
      <c r="Y36" s="45"/>
      <c r="Z36" s="45"/>
      <c r="AA36" s="45"/>
      <c r="AB36" s="45"/>
      <c r="AC36" s="45"/>
      <c r="AD36" s="45"/>
      <c r="AE36" s="45"/>
      <c r="AF36" s="45"/>
      <c r="AG36" s="45">
        <v>375</v>
      </c>
      <c r="AH36" s="45"/>
      <c r="AI36" s="46"/>
      <c r="AJ36" s="192">
        <v>375</v>
      </c>
      <c r="AK36" s="193"/>
      <c r="AL36" s="193"/>
      <c r="AM36" s="193"/>
      <c r="AN36" s="193"/>
      <c r="AO36" s="194"/>
      <c r="AP36" s="192">
        <v>550</v>
      </c>
      <c r="AQ36" s="193"/>
      <c r="AR36" s="193"/>
      <c r="AS36" s="193"/>
      <c r="AT36" s="193"/>
      <c r="AU36" s="194"/>
      <c r="AV36" s="192">
        <v>550</v>
      </c>
      <c r="AW36" s="193"/>
      <c r="AX36" s="193"/>
      <c r="AY36" s="193"/>
      <c r="AZ36" s="193"/>
      <c r="BA36" s="194"/>
      <c r="BB36" s="195" t="s">
        <v>150</v>
      </c>
      <c r="BC36" s="196"/>
      <c r="BD36" s="196"/>
      <c r="BE36" s="196"/>
      <c r="BF36" s="196"/>
      <c r="BG36" s="196"/>
      <c r="BH36" s="197"/>
      <c r="BI36" s="24"/>
    </row>
    <row r="37" spans="2:61" s="25" customFormat="1" ht="16.5" customHeight="1">
      <c r="B37" s="17"/>
      <c r="C37" s="169" t="s">
        <v>179</v>
      </c>
      <c r="D37" s="170"/>
      <c r="E37" s="170"/>
      <c r="F37" s="170"/>
      <c r="G37" s="170"/>
      <c r="H37" s="170"/>
      <c r="I37" s="171"/>
      <c r="J37" s="41" t="s">
        <v>158</v>
      </c>
      <c r="K37" s="42"/>
      <c r="L37" s="42"/>
      <c r="M37" s="42"/>
      <c r="N37" s="42"/>
      <c r="O37" s="42"/>
      <c r="P37" s="42"/>
      <c r="Q37" s="42"/>
      <c r="R37" s="43"/>
      <c r="S37" s="169" t="s">
        <v>303</v>
      </c>
      <c r="T37" s="170"/>
      <c r="U37" s="170"/>
      <c r="V37" s="171"/>
      <c r="W37" s="41" t="s">
        <v>313</v>
      </c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3"/>
      <c r="AJ37" s="127">
        <v>325</v>
      </c>
      <c r="AK37" s="128"/>
      <c r="AL37" s="128"/>
      <c r="AM37" s="128"/>
      <c r="AN37" s="128"/>
      <c r="AO37" s="129"/>
      <c r="AP37" s="127">
        <v>475</v>
      </c>
      <c r="AQ37" s="128"/>
      <c r="AR37" s="128"/>
      <c r="AS37" s="128"/>
      <c r="AT37" s="128"/>
      <c r="AU37" s="129"/>
      <c r="AV37" s="127">
        <v>475</v>
      </c>
      <c r="AW37" s="128"/>
      <c r="AX37" s="128"/>
      <c r="AY37" s="128"/>
      <c r="AZ37" s="128"/>
      <c r="BA37" s="129"/>
      <c r="BB37" s="130" t="s">
        <v>150</v>
      </c>
      <c r="BC37" s="131"/>
      <c r="BD37" s="131"/>
      <c r="BE37" s="131"/>
      <c r="BF37" s="131"/>
      <c r="BG37" s="131"/>
      <c r="BH37" s="132"/>
      <c r="BI37" s="24"/>
    </row>
    <row r="38" spans="2:61" s="25" customFormat="1" ht="16.5" customHeight="1">
      <c r="B38" s="17"/>
      <c r="C38" s="189" t="s">
        <v>179</v>
      </c>
      <c r="D38" s="190"/>
      <c r="E38" s="190"/>
      <c r="F38" s="190"/>
      <c r="G38" s="190"/>
      <c r="H38" s="190"/>
      <c r="I38" s="191"/>
      <c r="J38" s="44" t="s">
        <v>158</v>
      </c>
      <c r="K38" s="45"/>
      <c r="L38" s="45"/>
      <c r="M38" s="45"/>
      <c r="N38" s="45"/>
      <c r="O38" s="45"/>
      <c r="P38" s="45"/>
      <c r="Q38" s="45"/>
      <c r="R38" s="46"/>
      <c r="S38" s="189" t="s">
        <v>303</v>
      </c>
      <c r="T38" s="190"/>
      <c r="U38" s="190"/>
      <c r="V38" s="191"/>
      <c r="W38" s="44" t="s">
        <v>314</v>
      </c>
      <c r="X38" s="45"/>
      <c r="Y38" s="45"/>
      <c r="Z38" s="45"/>
      <c r="AA38" s="45"/>
      <c r="AB38" s="45"/>
      <c r="AC38" s="45"/>
      <c r="AD38" s="45"/>
      <c r="AE38" s="45"/>
      <c r="AF38" s="45"/>
      <c r="AG38" s="45">
        <v>375</v>
      </c>
      <c r="AH38" s="45"/>
      <c r="AI38" s="46"/>
      <c r="AJ38" s="192">
        <v>375</v>
      </c>
      <c r="AK38" s="193"/>
      <c r="AL38" s="193"/>
      <c r="AM38" s="193"/>
      <c r="AN38" s="193"/>
      <c r="AO38" s="194"/>
      <c r="AP38" s="192">
        <v>625</v>
      </c>
      <c r="AQ38" s="193"/>
      <c r="AR38" s="193"/>
      <c r="AS38" s="193"/>
      <c r="AT38" s="193"/>
      <c r="AU38" s="194"/>
      <c r="AV38" s="192">
        <v>625</v>
      </c>
      <c r="AW38" s="193"/>
      <c r="AX38" s="193"/>
      <c r="AY38" s="193"/>
      <c r="AZ38" s="193"/>
      <c r="BA38" s="194"/>
      <c r="BB38" s="195" t="s">
        <v>150</v>
      </c>
      <c r="BC38" s="196"/>
      <c r="BD38" s="196"/>
      <c r="BE38" s="196"/>
      <c r="BF38" s="196"/>
      <c r="BG38" s="196"/>
      <c r="BH38" s="197"/>
      <c r="BI38" s="24"/>
    </row>
    <row r="39" spans="2:61" s="25" customFormat="1" ht="16.5" customHeight="1">
      <c r="B39" s="17"/>
      <c r="C39" s="169" t="s">
        <v>179</v>
      </c>
      <c r="D39" s="170"/>
      <c r="E39" s="170"/>
      <c r="F39" s="170"/>
      <c r="G39" s="170"/>
      <c r="H39" s="170"/>
      <c r="I39" s="171"/>
      <c r="J39" s="41" t="s">
        <v>154</v>
      </c>
      <c r="K39" s="42"/>
      <c r="L39" s="42"/>
      <c r="M39" s="42"/>
      <c r="N39" s="42"/>
      <c r="O39" s="42"/>
      <c r="P39" s="42"/>
      <c r="Q39" s="42"/>
      <c r="R39" s="43"/>
      <c r="S39" s="169" t="s">
        <v>303</v>
      </c>
      <c r="T39" s="170"/>
      <c r="U39" s="170"/>
      <c r="V39" s="171"/>
      <c r="W39" s="41" t="s">
        <v>315</v>
      </c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3"/>
      <c r="AJ39" s="127">
        <v>250</v>
      </c>
      <c r="AK39" s="128"/>
      <c r="AL39" s="128"/>
      <c r="AM39" s="128"/>
      <c r="AN39" s="128"/>
      <c r="AO39" s="129"/>
      <c r="AP39" s="127">
        <v>425</v>
      </c>
      <c r="AQ39" s="128"/>
      <c r="AR39" s="128"/>
      <c r="AS39" s="128"/>
      <c r="AT39" s="128"/>
      <c r="AU39" s="129"/>
      <c r="AV39" s="127">
        <v>425</v>
      </c>
      <c r="AW39" s="128"/>
      <c r="AX39" s="128"/>
      <c r="AY39" s="128"/>
      <c r="AZ39" s="128"/>
      <c r="BA39" s="129"/>
      <c r="BB39" s="130" t="s">
        <v>150</v>
      </c>
      <c r="BC39" s="131"/>
      <c r="BD39" s="131"/>
      <c r="BE39" s="131"/>
      <c r="BF39" s="131"/>
      <c r="BG39" s="131"/>
      <c r="BH39" s="132"/>
      <c r="BI39" s="24"/>
    </row>
    <row r="40" spans="2:61" s="25" customFormat="1" ht="16.5" customHeight="1">
      <c r="B40" s="17"/>
      <c r="C40" s="189" t="s">
        <v>179</v>
      </c>
      <c r="D40" s="190"/>
      <c r="E40" s="190"/>
      <c r="F40" s="190"/>
      <c r="G40" s="190"/>
      <c r="H40" s="190"/>
      <c r="I40" s="191"/>
      <c r="J40" s="44" t="s">
        <v>158</v>
      </c>
      <c r="K40" s="45"/>
      <c r="L40" s="45"/>
      <c r="M40" s="45"/>
      <c r="N40" s="45"/>
      <c r="O40" s="45"/>
      <c r="P40" s="45"/>
      <c r="Q40" s="45"/>
      <c r="R40" s="46"/>
      <c r="S40" s="189" t="s">
        <v>303</v>
      </c>
      <c r="T40" s="190"/>
      <c r="U40" s="190"/>
      <c r="V40" s="191"/>
      <c r="W40" s="44" t="s">
        <v>316</v>
      </c>
      <c r="X40" s="45"/>
      <c r="Y40" s="45" t="s">
        <v>316</v>
      </c>
      <c r="Z40" s="45"/>
      <c r="AA40" s="45"/>
      <c r="AB40" s="45"/>
      <c r="AC40" s="45"/>
      <c r="AD40" s="45"/>
      <c r="AE40" s="45"/>
      <c r="AF40" s="45"/>
      <c r="AG40" s="45">
        <v>375</v>
      </c>
      <c r="AH40" s="45"/>
      <c r="AI40" s="46"/>
      <c r="AJ40" s="192">
        <v>375</v>
      </c>
      <c r="AK40" s="193"/>
      <c r="AL40" s="193"/>
      <c r="AM40" s="193"/>
      <c r="AN40" s="193"/>
      <c r="AO40" s="194"/>
      <c r="AP40" s="192">
        <v>550</v>
      </c>
      <c r="AQ40" s="193"/>
      <c r="AR40" s="193"/>
      <c r="AS40" s="193"/>
      <c r="AT40" s="193"/>
      <c r="AU40" s="194"/>
      <c r="AV40" s="192">
        <v>550</v>
      </c>
      <c r="AW40" s="193"/>
      <c r="AX40" s="193"/>
      <c r="AY40" s="193"/>
      <c r="AZ40" s="193"/>
      <c r="BA40" s="194"/>
      <c r="BB40" s="195" t="s">
        <v>150</v>
      </c>
      <c r="BC40" s="196"/>
      <c r="BD40" s="196"/>
      <c r="BE40" s="196"/>
      <c r="BF40" s="196"/>
      <c r="BG40" s="196"/>
      <c r="BH40" s="197"/>
      <c r="BI40" s="24"/>
    </row>
    <row r="41" spans="2:61" s="25" customFormat="1" ht="16.5" customHeight="1">
      <c r="B41" s="17"/>
      <c r="C41" s="169" t="s">
        <v>179</v>
      </c>
      <c r="D41" s="170"/>
      <c r="E41" s="170"/>
      <c r="F41" s="170"/>
      <c r="G41" s="170"/>
      <c r="H41" s="170"/>
      <c r="I41" s="171"/>
      <c r="J41" s="41" t="s">
        <v>317</v>
      </c>
      <c r="K41" s="42"/>
      <c r="L41" s="42"/>
      <c r="M41" s="42"/>
      <c r="N41" s="42"/>
      <c r="O41" s="42"/>
      <c r="P41" s="42"/>
      <c r="Q41" s="42"/>
      <c r="R41" s="43"/>
      <c r="S41" s="169" t="s">
        <v>318</v>
      </c>
      <c r="T41" s="170"/>
      <c r="U41" s="170"/>
      <c r="V41" s="171"/>
      <c r="W41" s="41" t="s">
        <v>319</v>
      </c>
      <c r="X41" s="42"/>
      <c r="Y41" s="42" t="s">
        <v>319</v>
      </c>
      <c r="Z41" s="42"/>
      <c r="AA41" s="42"/>
      <c r="AB41" s="42"/>
      <c r="AC41" s="42"/>
      <c r="AD41" s="42"/>
      <c r="AE41" s="42"/>
      <c r="AF41" s="42"/>
      <c r="AG41" s="42">
        <v>200</v>
      </c>
      <c r="AH41" s="42"/>
      <c r="AI41" s="43"/>
      <c r="AJ41" s="127">
        <v>200</v>
      </c>
      <c r="AK41" s="128"/>
      <c r="AL41" s="128"/>
      <c r="AM41" s="128"/>
      <c r="AN41" s="128"/>
      <c r="AO41" s="129"/>
      <c r="AP41" s="127">
        <v>250</v>
      </c>
      <c r="AQ41" s="128"/>
      <c r="AR41" s="128"/>
      <c r="AS41" s="128"/>
      <c r="AT41" s="128"/>
      <c r="AU41" s="129"/>
      <c r="AV41" s="127">
        <v>250</v>
      </c>
      <c r="AW41" s="128"/>
      <c r="AX41" s="128"/>
      <c r="AY41" s="128"/>
      <c r="AZ41" s="128"/>
      <c r="BA41" s="129"/>
      <c r="BB41" s="130" t="s">
        <v>150</v>
      </c>
      <c r="BC41" s="131"/>
      <c r="BD41" s="131"/>
      <c r="BE41" s="131"/>
      <c r="BF41" s="131"/>
      <c r="BG41" s="131"/>
      <c r="BH41" s="132"/>
      <c r="BI41" s="24"/>
    </row>
    <row r="42" spans="2:61" s="25" customFormat="1" ht="16.5" customHeight="1">
      <c r="B42" s="17"/>
      <c r="C42" s="189" t="s">
        <v>179</v>
      </c>
      <c r="D42" s="190"/>
      <c r="E42" s="190"/>
      <c r="F42" s="190"/>
      <c r="G42" s="190"/>
      <c r="H42" s="190"/>
      <c r="I42" s="191"/>
      <c r="J42" s="44" t="s">
        <v>158</v>
      </c>
      <c r="K42" s="45"/>
      <c r="L42" s="45"/>
      <c r="M42" s="45"/>
      <c r="N42" s="45"/>
      <c r="O42" s="45"/>
      <c r="P42" s="45"/>
      <c r="Q42" s="45"/>
      <c r="R42" s="46"/>
      <c r="S42" s="189" t="s">
        <v>303</v>
      </c>
      <c r="T42" s="190"/>
      <c r="U42" s="190"/>
      <c r="V42" s="191"/>
      <c r="W42" s="44" t="s">
        <v>320</v>
      </c>
      <c r="X42" s="45"/>
      <c r="Y42" s="45" t="s">
        <v>320</v>
      </c>
      <c r="Z42" s="45"/>
      <c r="AA42" s="45"/>
      <c r="AB42" s="45"/>
      <c r="AC42" s="45"/>
      <c r="AD42" s="45"/>
      <c r="AE42" s="45"/>
      <c r="AF42" s="45"/>
      <c r="AG42" s="45">
        <v>325</v>
      </c>
      <c r="AH42" s="45"/>
      <c r="AI42" s="46"/>
      <c r="AJ42" s="192">
        <v>325</v>
      </c>
      <c r="AK42" s="193"/>
      <c r="AL42" s="193"/>
      <c r="AM42" s="193"/>
      <c r="AN42" s="193"/>
      <c r="AO42" s="194"/>
      <c r="AP42" s="192">
        <v>475</v>
      </c>
      <c r="AQ42" s="193"/>
      <c r="AR42" s="193"/>
      <c r="AS42" s="193"/>
      <c r="AT42" s="193"/>
      <c r="AU42" s="194"/>
      <c r="AV42" s="192">
        <v>475</v>
      </c>
      <c r="AW42" s="193"/>
      <c r="AX42" s="193"/>
      <c r="AY42" s="193"/>
      <c r="AZ42" s="193"/>
      <c r="BA42" s="194"/>
      <c r="BB42" s="195" t="s">
        <v>150</v>
      </c>
      <c r="BC42" s="196"/>
      <c r="BD42" s="196"/>
      <c r="BE42" s="196"/>
      <c r="BF42" s="196"/>
      <c r="BG42" s="196"/>
      <c r="BH42" s="197"/>
      <c r="BI42" s="24"/>
    </row>
    <row r="43" spans="2:61" s="25" customFormat="1" ht="16.5" customHeight="1">
      <c r="B43" s="17"/>
      <c r="C43" s="169" t="s">
        <v>179</v>
      </c>
      <c r="D43" s="170"/>
      <c r="E43" s="170"/>
      <c r="F43" s="170"/>
      <c r="G43" s="170"/>
      <c r="H43" s="170"/>
      <c r="I43" s="171"/>
      <c r="J43" s="41" t="s">
        <v>156</v>
      </c>
      <c r="K43" s="42"/>
      <c r="L43" s="42"/>
      <c r="M43" s="42"/>
      <c r="N43" s="42"/>
      <c r="O43" s="42"/>
      <c r="P43" s="42"/>
      <c r="Q43" s="42"/>
      <c r="R43" s="43"/>
      <c r="S43" s="169" t="s">
        <v>321</v>
      </c>
      <c r="T43" s="170"/>
      <c r="U43" s="170"/>
      <c r="V43" s="171"/>
      <c r="W43" s="41" t="s">
        <v>322</v>
      </c>
      <c r="X43" s="42"/>
      <c r="Y43" s="42" t="s">
        <v>322</v>
      </c>
      <c r="Z43" s="42"/>
      <c r="AA43" s="42"/>
      <c r="AB43" s="42"/>
      <c r="AC43" s="42"/>
      <c r="AD43" s="42"/>
      <c r="AE43" s="42"/>
      <c r="AF43" s="42"/>
      <c r="AG43" s="42">
        <v>150</v>
      </c>
      <c r="AH43" s="42"/>
      <c r="AI43" s="43"/>
      <c r="AJ43" s="127">
        <v>150</v>
      </c>
      <c r="AK43" s="128"/>
      <c r="AL43" s="128"/>
      <c r="AM43" s="128"/>
      <c r="AN43" s="128"/>
      <c r="AO43" s="129"/>
      <c r="AP43" s="127">
        <v>250</v>
      </c>
      <c r="AQ43" s="128"/>
      <c r="AR43" s="128"/>
      <c r="AS43" s="128"/>
      <c r="AT43" s="128"/>
      <c r="AU43" s="129"/>
      <c r="AV43" s="127">
        <v>250</v>
      </c>
      <c r="AW43" s="128"/>
      <c r="AX43" s="128"/>
      <c r="AY43" s="128"/>
      <c r="AZ43" s="128"/>
      <c r="BA43" s="129"/>
      <c r="BB43" s="130" t="s">
        <v>150</v>
      </c>
      <c r="BC43" s="131"/>
      <c r="BD43" s="131"/>
      <c r="BE43" s="131"/>
      <c r="BF43" s="131"/>
      <c r="BG43" s="131"/>
      <c r="BH43" s="132"/>
      <c r="BI43" s="24"/>
    </row>
    <row r="44" spans="2:61" s="25" customFormat="1" ht="16.5" customHeight="1">
      <c r="B44" s="17"/>
      <c r="C44" s="189" t="s">
        <v>179</v>
      </c>
      <c r="D44" s="190"/>
      <c r="E44" s="190"/>
      <c r="F44" s="190"/>
      <c r="G44" s="190"/>
      <c r="H44" s="190"/>
      <c r="I44" s="191"/>
      <c r="J44" s="44" t="s">
        <v>158</v>
      </c>
      <c r="K44" s="45"/>
      <c r="L44" s="45"/>
      <c r="M44" s="45"/>
      <c r="N44" s="45"/>
      <c r="O44" s="45"/>
      <c r="P44" s="45"/>
      <c r="Q44" s="45"/>
      <c r="R44" s="46"/>
      <c r="S44" s="189" t="s">
        <v>303</v>
      </c>
      <c r="T44" s="190"/>
      <c r="U44" s="190"/>
      <c r="V44" s="191"/>
      <c r="W44" s="44" t="s">
        <v>323</v>
      </c>
      <c r="X44" s="45"/>
      <c r="Y44" s="45" t="s">
        <v>323</v>
      </c>
      <c r="Z44" s="45"/>
      <c r="AA44" s="45"/>
      <c r="AB44" s="45"/>
      <c r="AC44" s="45"/>
      <c r="AD44" s="45"/>
      <c r="AE44" s="45"/>
      <c r="AF44" s="45"/>
      <c r="AG44" s="45">
        <v>275</v>
      </c>
      <c r="AH44" s="45"/>
      <c r="AI44" s="46"/>
      <c r="AJ44" s="192">
        <v>275</v>
      </c>
      <c r="AK44" s="193"/>
      <c r="AL44" s="193"/>
      <c r="AM44" s="193"/>
      <c r="AN44" s="193"/>
      <c r="AO44" s="194"/>
      <c r="AP44" s="192">
        <v>450</v>
      </c>
      <c r="AQ44" s="193"/>
      <c r="AR44" s="193"/>
      <c r="AS44" s="193"/>
      <c r="AT44" s="193"/>
      <c r="AU44" s="194"/>
      <c r="AV44" s="192">
        <v>450</v>
      </c>
      <c r="AW44" s="193"/>
      <c r="AX44" s="193"/>
      <c r="AY44" s="193"/>
      <c r="AZ44" s="193"/>
      <c r="BA44" s="194"/>
      <c r="BB44" s="195" t="s">
        <v>150</v>
      </c>
      <c r="BC44" s="196"/>
      <c r="BD44" s="196"/>
      <c r="BE44" s="196"/>
      <c r="BF44" s="196"/>
      <c r="BG44" s="196"/>
      <c r="BH44" s="197"/>
      <c r="BI44" s="24"/>
    </row>
    <row r="45" spans="2:61" s="25" customFormat="1" ht="16.5" customHeight="1">
      <c r="B45" s="17"/>
      <c r="C45" s="169" t="s">
        <v>179</v>
      </c>
      <c r="D45" s="170"/>
      <c r="E45" s="170"/>
      <c r="F45" s="170"/>
      <c r="G45" s="170"/>
      <c r="H45" s="170"/>
      <c r="I45" s="171"/>
      <c r="J45" s="41" t="s">
        <v>154</v>
      </c>
      <c r="K45" s="42"/>
      <c r="L45" s="42"/>
      <c r="M45" s="42"/>
      <c r="N45" s="42"/>
      <c r="O45" s="42"/>
      <c r="P45" s="42"/>
      <c r="Q45" s="42"/>
      <c r="R45" s="43"/>
      <c r="S45" s="169" t="s">
        <v>303</v>
      </c>
      <c r="T45" s="170"/>
      <c r="U45" s="170"/>
      <c r="V45" s="171"/>
      <c r="W45" s="41" t="s">
        <v>324</v>
      </c>
      <c r="X45" s="42"/>
      <c r="Y45" s="42" t="s">
        <v>324</v>
      </c>
      <c r="Z45" s="42"/>
      <c r="AA45" s="42"/>
      <c r="AB45" s="42"/>
      <c r="AC45" s="42"/>
      <c r="AD45" s="42"/>
      <c r="AE45" s="42"/>
      <c r="AF45" s="42"/>
      <c r="AG45" s="42">
        <v>150</v>
      </c>
      <c r="AH45" s="42"/>
      <c r="AI45" s="43"/>
      <c r="AJ45" s="127">
        <v>150</v>
      </c>
      <c r="AK45" s="128"/>
      <c r="AL45" s="128"/>
      <c r="AM45" s="128"/>
      <c r="AN45" s="128"/>
      <c r="AO45" s="129"/>
      <c r="AP45" s="127">
        <v>250</v>
      </c>
      <c r="AQ45" s="128"/>
      <c r="AR45" s="128"/>
      <c r="AS45" s="128"/>
      <c r="AT45" s="128"/>
      <c r="AU45" s="129"/>
      <c r="AV45" s="127">
        <v>250</v>
      </c>
      <c r="AW45" s="128"/>
      <c r="AX45" s="128"/>
      <c r="AY45" s="128"/>
      <c r="AZ45" s="128"/>
      <c r="BA45" s="129"/>
      <c r="BB45" s="130" t="s">
        <v>150</v>
      </c>
      <c r="BC45" s="131"/>
      <c r="BD45" s="131"/>
      <c r="BE45" s="131"/>
      <c r="BF45" s="131"/>
      <c r="BG45" s="131"/>
      <c r="BH45" s="132"/>
      <c r="BI45" s="24"/>
    </row>
    <row r="46" spans="2:61" s="25" customFormat="1" ht="16.5" customHeight="1">
      <c r="B46" s="17"/>
      <c r="C46" s="189" t="s">
        <v>325</v>
      </c>
      <c r="D46" s="190"/>
      <c r="E46" s="190"/>
      <c r="F46" s="190"/>
      <c r="G46" s="190"/>
      <c r="H46" s="190"/>
      <c r="I46" s="191"/>
      <c r="J46" s="44" t="s">
        <v>206</v>
      </c>
      <c r="K46" s="45"/>
      <c r="L46" s="45"/>
      <c r="M46" s="45"/>
      <c r="N46" s="45"/>
      <c r="O46" s="45"/>
      <c r="P46" s="45"/>
      <c r="Q46" s="45"/>
      <c r="R46" s="46"/>
      <c r="S46" s="189" t="s">
        <v>303</v>
      </c>
      <c r="T46" s="190"/>
      <c r="U46" s="190"/>
      <c r="V46" s="191"/>
      <c r="W46" s="44" t="s">
        <v>326</v>
      </c>
      <c r="X46" s="45"/>
      <c r="Y46" s="45" t="s">
        <v>326</v>
      </c>
      <c r="Z46" s="45"/>
      <c r="AA46" s="45"/>
      <c r="AB46" s="45"/>
      <c r="AC46" s="45"/>
      <c r="AD46" s="45"/>
      <c r="AE46" s="45"/>
      <c r="AF46" s="45"/>
      <c r="AG46" s="45">
        <v>130</v>
      </c>
      <c r="AH46" s="45"/>
      <c r="AI46" s="46"/>
      <c r="AJ46" s="192">
        <v>130</v>
      </c>
      <c r="AK46" s="193"/>
      <c r="AL46" s="193"/>
      <c r="AM46" s="193"/>
      <c r="AN46" s="193"/>
      <c r="AO46" s="194"/>
      <c r="AP46" s="192">
        <v>200</v>
      </c>
      <c r="AQ46" s="193"/>
      <c r="AR46" s="193"/>
      <c r="AS46" s="193"/>
      <c r="AT46" s="193"/>
      <c r="AU46" s="194"/>
      <c r="AV46" s="192">
        <v>200</v>
      </c>
      <c r="AW46" s="193"/>
      <c r="AX46" s="193"/>
      <c r="AY46" s="193"/>
      <c r="AZ46" s="193"/>
      <c r="BA46" s="194"/>
      <c r="BB46" s="195" t="s">
        <v>150</v>
      </c>
      <c r="BC46" s="196"/>
      <c r="BD46" s="196"/>
      <c r="BE46" s="196"/>
      <c r="BF46" s="196"/>
      <c r="BG46" s="196"/>
      <c r="BH46" s="197"/>
      <c r="BI46" s="24"/>
    </row>
    <row r="47" spans="2:61" s="25" customFormat="1" ht="16.5" customHeight="1">
      <c r="B47" s="17"/>
      <c r="C47" s="169" t="s">
        <v>179</v>
      </c>
      <c r="D47" s="170"/>
      <c r="E47" s="170"/>
      <c r="F47" s="170"/>
      <c r="G47" s="170"/>
      <c r="H47" s="170"/>
      <c r="I47" s="171"/>
      <c r="J47" s="41" t="s">
        <v>154</v>
      </c>
      <c r="K47" s="42"/>
      <c r="L47" s="42"/>
      <c r="M47" s="42"/>
      <c r="N47" s="42"/>
      <c r="O47" s="42"/>
      <c r="P47" s="42"/>
      <c r="Q47" s="42"/>
      <c r="R47" s="43"/>
      <c r="S47" s="169" t="s">
        <v>303</v>
      </c>
      <c r="T47" s="170"/>
      <c r="U47" s="170"/>
      <c r="V47" s="171"/>
      <c r="W47" s="41" t="s">
        <v>327</v>
      </c>
      <c r="X47" s="42"/>
      <c r="Y47" s="42" t="s">
        <v>327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3"/>
      <c r="AJ47" s="127">
        <v>150</v>
      </c>
      <c r="AK47" s="128"/>
      <c r="AL47" s="128"/>
      <c r="AM47" s="128"/>
      <c r="AN47" s="128"/>
      <c r="AO47" s="129"/>
      <c r="AP47" s="127">
        <v>250</v>
      </c>
      <c r="AQ47" s="128"/>
      <c r="AR47" s="128"/>
      <c r="AS47" s="128"/>
      <c r="AT47" s="128"/>
      <c r="AU47" s="129"/>
      <c r="AV47" s="127">
        <v>250</v>
      </c>
      <c r="AW47" s="128"/>
      <c r="AX47" s="128"/>
      <c r="AY47" s="128"/>
      <c r="AZ47" s="128"/>
      <c r="BA47" s="129"/>
      <c r="BB47" s="130" t="s">
        <v>150</v>
      </c>
      <c r="BC47" s="131"/>
      <c r="BD47" s="131"/>
      <c r="BE47" s="131"/>
      <c r="BF47" s="131"/>
      <c r="BG47" s="131"/>
      <c r="BH47" s="132"/>
      <c r="BI47" s="24"/>
    </row>
    <row r="48" spans="2:61" s="25" customFormat="1" ht="16.5" customHeight="1">
      <c r="B48" s="17"/>
      <c r="C48" s="189" t="s">
        <v>179</v>
      </c>
      <c r="D48" s="190"/>
      <c r="E48" s="190"/>
      <c r="F48" s="190"/>
      <c r="G48" s="190"/>
      <c r="H48" s="190"/>
      <c r="I48" s="191"/>
      <c r="J48" s="44" t="s">
        <v>158</v>
      </c>
      <c r="K48" s="45"/>
      <c r="L48" s="45"/>
      <c r="M48" s="45"/>
      <c r="N48" s="45"/>
      <c r="O48" s="45"/>
      <c r="P48" s="45"/>
      <c r="Q48" s="45"/>
      <c r="R48" s="46"/>
      <c r="S48" s="189" t="s">
        <v>303</v>
      </c>
      <c r="T48" s="190"/>
      <c r="U48" s="190"/>
      <c r="V48" s="191"/>
      <c r="W48" s="44" t="s">
        <v>328</v>
      </c>
      <c r="X48" s="45"/>
      <c r="Y48" s="45" t="s">
        <v>328</v>
      </c>
      <c r="Z48" s="45"/>
      <c r="AA48" s="45"/>
      <c r="AB48" s="45"/>
      <c r="AC48" s="45"/>
      <c r="AD48" s="45"/>
      <c r="AE48" s="45"/>
      <c r="AF48" s="45"/>
      <c r="AG48" s="45">
        <v>300</v>
      </c>
      <c r="AH48" s="45"/>
      <c r="AI48" s="46"/>
      <c r="AJ48" s="192">
        <v>300</v>
      </c>
      <c r="AK48" s="193"/>
      <c r="AL48" s="193"/>
      <c r="AM48" s="193"/>
      <c r="AN48" s="193"/>
      <c r="AO48" s="194"/>
      <c r="AP48" s="192">
        <v>450</v>
      </c>
      <c r="AQ48" s="193"/>
      <c r="AR48" s="193"/>
      <c r="AS48" s="193"/>
      <c r="AT48" s="193"/>
      <c r="AU48" s="194"/>
      <c r="AV48" s="192">
        <v>450</v>
      </c>
      <c r="AW48" s="193"/>
      <c r="AX48" s="193"/>
      <c r="AY48" s="193"/>
      <c r="AZ48" s="193"/>
      <c r="BA48" s="194"/>
      <c r="BB48" s="195" t="s">
        <v>150</v>
      </c>
      <c r="BC48" s="196"/>
      <c r="BD48" s="196"/>
      <c r="BE48" s="196"/>
      <c r="BF48" s="196"/>
      <c r="BG48" s="196"/>
      <c r="BH48" s="197"/>
      <c r="BI48" s="24"/>
    </row>
    <row r="49" spans="2:61" s="25" customFormat="1" ht="16.5" customHeight="1">
      <c r="B49" s="17"/>
      <c r="C49" s="169" t="s">
        <v>179</v>
      </c>
      <c r="D49" s="170"/>
      <c r="E49" s="170"/>
      <c r="F49" s="170"/>
      <c r="G49" s="170"/>
      <c r="H49" s="170"/>
      <c r="I49" s="171"/>
      <c r="J49" s="41" t="s">
        <v>158</v>
      </c>
      <c r="K49" s="42"/>
      <c r="L49" s="42"/>
      <c r="M49" s="42"/>
      <c r="N49" s="42"/>
      <c r="O49" s="42"/>
      <c r="P49" s="42"/>
      <c r="Q49" s="42"/>
      <c r="R49" s="43"/>
      <c r="S49" s="169" t="s">
        <v>303</v>
      </c>
      <c r="T49" s="170"/>
      <c r="U49" s="170"/>
      <c r="V49" s="171"/>
      <c r="W49" s="41" t="s">
        <v>329</v>
      </c>
      <c r="X49" s="42"/>
      <c r="Y49" s="42" t="s">
        <v>329</v>
      </c>
      <c r="Z49" s="42"/>
      <c r="AA49" s="42"/>
      <c r="AB49" s="42"/>
      <c r="AC49" s="42"/>
      <c r="AD49" s="42"/>
      <c r="AE49" s="42"/>
      <c r="AF49" s="42"/>
      <c r="AG49" s="42">
        <v>300</v>
      </c>
      <c r="AH49" s="42"/>
      <c r="AI49" s="43"/>
      <c r="AJ49" s="127">
        <v>300</v>
      </c>
      <c r="AK49" s="128"/>
      <c r="AL49" s="128"/>
      <c r="AM49" s="128"/>
      <c r="AN49" s="128"/>
      <c r="AO49" s="129"/>
      <c r="AP49" s="127">
        <v>525</v>
      </c>
      <c r="AQ49" s="128"/>
      <c r="AR49" s="128"/>
      <c r="AS49" s="128"/>
      <c r="AT49" s="128"/>
      <c r="AU49" s="129"/>
      <c r="AV49" s="127">
        <v>525</v>
      </c>
      <c r="AW49" s="128"/>
      <c r="AX49" s="128"/>
      <c r="AY49" s="128"/>
      <c r="AZ49" s="128"/>
      <c r="BA49" s="129"/>
      <c r="BB49" s="130" t="s">
        <v>150</v>
      </c>
      <c r="BC49" s="131"/>
      <c r="BD49" s="131"/>
      <c r="BE49" s="131"/>
      <c r="BF49" s="131"/>
      <c r="BG49" s="131"/>
      <c r="BH49" s="132"/>
      <c r="BI49" s="24"/>
    </row>
    <row r="50" spans="2:61" s="25" customFormat="1" ht="16.5" customHeight="1">
      <c r="B50" s="17"/>
      <c r="C50" s="189" t="s">
        <v>179</v>
      </c>
      <c r="D50" s="190"/>
      <c r="E50" s="190"/>
      <c r="F50" s="190"/>
      <c r="G50" s="190"/>
      <c r="H50" s="190"/>
      <c r="I50" s="191"/>
      <c r="J50" s="44" t="s">
        <v>158</v>
      </c>
      <c r="K50" s="45"/>
      <c r="L50" s="45"/>
      <c r="M50" s="45"/>
      <c r="N50" s="45"/>
      <c r="O50" s="45"/>
      <c r="P50" s="45"/>
      <c r="Q50" s="45"/>
      <c r="R50" s="46"/>
      <c r="S50" s="189" t="s">
        <v>303</v>
      </c>
      <c r="T50" s="190"/>
      <c r="U50" s="190"/>
      <c r="V50" s="191"/>
      <c r="W50" s="44" t="s">
        <v>330</v>
      </c>
      <c r="X50" s="45"/>
      <c r="Y50" s="45" t="s">
        <v>330</v>
      </c>
      <c r="Z50" s="45"/>
      <c r="AA50" s="45"/>
      <c r="AB50" s="45"/>
      <c r="AC50" s="45"/>
      <c r="AD50" s="45"/>
      <c r="AE50" s="45"/>
      <c r="AF50" s="45"/>
      <c r="AG50" s="45">
        <v>350</v>
      </c>
      <c r="AH50" s="45"/>
      <c r="AI50" s="46"/>
      <c r="AJ50" s="192">
        <v>350</v>
      </c>
      <c r="AK50" s="193"/>
      <c r="AL50" s="193"/>
      <c r="AM50" s="193"/>
      <c r="AN50" s="193"/>
      <c r="AO50" s="194"/>
      <c r="AP50" s="192">
        <v>475</v>
      </c>
      <c r="AQ50" s="193"/>
      <c r="AR50" s="193"/>
      <c r="AS50" s="193"/>
      <c r="AT50" s="193"/>
      <c r="AU50" s="194"/>
      <c r="AV50" s="192">
        <v>475</v>
      </c>
      <c r="AW50" s="193"/>
      <c r="AX50" s="193"/>
      <c r="AY50" s="193"/>
      <c r="AZ50" s="193"/>
      <c r="BA50" s="194"/>
      <c r="BB50" s="195" t="s">
        <v>150</v>
      </c>
      <c r="BC50" s="196"/>
      <c r="BD50" s="196"/>
      <c r="BE50" s="196"/>
      <c r="BF50" s="196"/>
      <c r="BG50" s="196"/>
      <c r="BH50" s="197"/>
      <c r="BI50" s="24"/>
    </row>
    <row r="51" spans="2:61" s="25" customFormat="1" ht="16.5" customHeight="1">
      <c r="B51" s="17"/>
      <c r="C51" s="169" t="s">
        <v>179</v>
      </c>
      <c r="D51" s="170"/>
      <c r="E51" s="170"/>
      <c r="F51" s="170"/>
      <c r="G51" s="170"/>
      <c r="H51" s="170"/>
      <c r="I51" s="171"/>
      <c r="J51" s="41" t="s">
        <v>156</v>
      </c>
      <c r="K51" s="42"/>
      <c r="L51" s="42"/>
      <c r="M51" s="42"/>
      <c r="N51" s="42"/>
      <c r="O51" s="42"/>
      <c r="P51" s="42"/>
      <c r="Q51" s="42"/>
      <c r="R51" s="43"/>
      <c r="S51" s="169" t="s">
        <v>303</v>
      </c>
      <c r="T51" s="170"/>
      <c r="U51" s="170"/>
      <c r="V51" s="171"/>
      <c r="W51" s="41" t="s">
        <v>331</v>
      </c>
      <c r="X51" s="42"/>
      <c r="Y51" s="42" t="s">
        <v>331</v>
      </c>
      <c r="Z51" s="42"/>
      <c r="AA51" s="42"/>
      <c r="AB51" s="42"/>
      <c r="AC51" s="42"/>
      <c r="AD51" s="42"/>
      <c r="AE51" s="42"/>
      <c r="AF51" s="42"/>
      <c r="AG51" s="42">
        <v>225</v>
      </c>
      <c r="AH51" s="42"/>
      <c r="AI51" s="43"/>
      <c r="AJ51" s="127">
        <v>225</v>
      </c>
      <c r="AK51" s="128"/>
      <c r="AL51" s="128"/>
      <c r="AM51" s="128"/>
      <c r="AN51" s="128"/>
      <c r="AO51" s="129"/>
      <c r="AP51" s="127">
        <v>325</v>
      </c>
      <c r="AQ51" s="128"/>
      <c r="AR51" s="128"/>
      <c r="AS51" s="128"/>
      <c r="AT51" s="128"/>
      <c r="AU51" s="129"/>
      <c r="AV51" s="127">
        <v>325</v>
      </c>
      <c r="AW51" s="128"/>
      <c r="AX51" s="128"/>
      <c r="AY51" s="128"/>
      <c r="AZ51" s="128"/>
      <c r="BA51" s="129"/>
      <c r="BB51" s="130" t="s">
        <v>150</v>
      </c>
      <c r="BC51" s="131"/>
      <c r="BD51" s="131"/>
      <c r="BE51" s="131"/>
      <c r="BF51" s="131"/>
      <c r="BG51" s="131"/>
      <c r="BH51" s="132"/>
      <c r="BI51" s="24"/>
    </row>
    <row r="52" spans="2:61" s="25" customFormat="1" ht="16.5" customHeight="1">
      <c r="B52" s="17"/>
      <c r="C52" s="189" t="s">
        <v>179</v>
      </c>
      <c r="D52" s="190"/>
      <c r="E52" s="190"/>
      <c r="F52" s="190"/>
      <c r="G52" s="190"/>
      <c r="H52" s="190"/>
      <c r="I52" s="191"/>
      <c r="J52" s="44" t="s">
        <v>154</v>
      </c>
      <c r="K52" s="45"/>
      <c r="L52" s="45"/>
      <c r="M52" s="45"/>
      <c r="N52" s="45"/>
      <c r="O52" s="45"/>
      <c r="P52" s="45"/>
      <c r="Q52" s="45"/>
      <c r="R52" s="46"/>
      <c r="S52" s="189" t="s">
        <v>303</v>
      </c>
      <c r="T52" s="190"/>
      <c r="U52" s="190"/>
      <c r="V52" s="191"/>
      <c r="W52" s="44" t="s">
        <v>332</v>
      </c>
      <c r="X52" s="45"/>
      <c r="Y52" s="45" t="s">
        <v>332</v>
      </c>
      <c r="Z52" s="45"/>
      <c r="AA52" s="45"/>
      <c r="AB52" s="45"/>
      <c r="AC52" s="45"/>
      <c r="AD52" s="45"/>
      <c r="AE52" s="45"/>
      <c r="AF52" s="45"/>
      <c r="AG52" s="45">
        <v>250</v>
      </c>
      <c r="AH52" s="45"/>
      <c r="AI52" s="46"/>
      <c r="AJ52" s="192">
        <v>250</v>
      </c>
      <c r="AK52" s="193"/>
      <c r="AL52" s="193"/>
      <c r="AM52" s="193"/>
      <c r="AN52" s="193"/>
      <c r="AO52" s="194"/>
      <c r="AP52" s="192">
        <v>425</v>
      </c>
      <c r="AQ52" s="193"/>
      <c r="AR52" s="193"/>
      <c r="AS52" s="193"/>
      <c r="AT52" s="193"/>
      <c r="AU52" s="194"/>
      <c r="AV52" s="192">
        <v>425</v>
      </c>
      <c r="AW52" s="193"/>
      <c r="AX52" s="193"/>
      <c r="AY52" s="193"/>
      <c r="AZ52" s="193"/>
      <c r="BA52" s="194"/>
      <c r="BB52" s="195" t="s">
        <v>150</v>
      </c>
      <c r="BC52" s="196"/>
      <c r="BD52" s="196"/>
      <c r="BE52" s="196"/>
      <c r="BF52" s="196"/>
      <c r="BG52" s="196"/>
      <c r="BH52" s="197"/>
      <c r="BI52" s="24"/>
    </row>
    <row r="53" spans="2:61" s="25" customFormat="1" ht="16.5" customHeight="1">
      <c r="B53" s="17"/>
      <c r="C53" s="169" t="s">
        <v>179</v>
      </c>
      <c r="D53" s="170"/>
      <c r="E53" s="170"/>
      <c r="F53" s="170"/>
      <c r="G53" s="170"/>
      <c r="H53" s="170"/>
      <c r="I53" s="171"/>
      <c r="J53" s="41" t="s">
        <v>154</v>
      </c>
      <c r="K53" s="42"/>
      <c r="L53" s="42"/>
      <c r="M53" s="42"/>
      <c r="N53" s="42"/>
      <c r="O53" s="42"/>
      <c r="P53" s="42"/>
      <c r="Q53" s="42"/>
      <c r="R53" s="43"/>
      <c r="S53" s="169" t="s">
        <v>303</v>
      </c>
      <c r="T53" s="170"/>
      <c r="U53" s="170"/>
      <c r="V53" s="171"/>
      <c r="W53" s="41" t="s">
        <v>333</v>
      </c>
      <c r="X53" s="42"/>
      <c r="Y53" s="42" t="s">
        <v>333</v>
      </c>
      <c r="Z53" s="42"/>
      <c r="AA53" s="42"/>
      <c r="AB53" s="42"/>
      <c r="AC53" s="42"/>
      <c r="AD53" s="42"/>
      <c r="AE53" s="42"/>
      <c r="AF53" s="42"/>
      <c r="AG53" s="42">
        <v>150</v>
      </c>
      <c r="AH53" s="42"/>
      <c r="AI53" s="43"/>
      <c r="AJ53" s="127">
        <v>150</v>
      </c>
      <c r="AK53" s="128"/>
      <c r="AL53" s="128"/>
      <c r="AM53" s="128"/>
      <c r="AN53" s="128"/>
      <c r="AO53" s="129"/>
      <c r="AP53" s="127">
        <v>250</v>
      </c>
      <c r="AQ53" s="128"/>
      <c r="AR53" s="128"/>
      <c r="AS53" s="128"/>
      <c r="AT53" s="128"/>
      <c r="AU53" s="129"/>
      <c r="AV53" s="127">
        <v>250</v>
      </c>
      <c r="AW53" s="128"/>
      <c r="AX53" s="128"/>
      <c r="AY53" s="128"/>
      <c r="AZ53" s="128"/>
      <c r="BA53" s="129"/>
      <c r="BB53" s="130" t="s">
        <v>150</v>
      </c>
      <c r="BC53" s="131"/>
      <c r="BD53" s="131"/>
      <c r="BE53" s="131"/>
      <c r="BF53" s="131"/>
      <c r="BG53" s="131"/>
      <c r="BH53" s="132"/>
      <c r="BI53" s="24"/>
    </row>
    <row r="54" spans="2:61" s="25" customFormat="1" ht="16.5" customHeight="1">
      <c r="B54" s="17"/>
      <c r="C54" s="189" t="s">
        <v>179</v>
      </c>
      <c r="D54" s="190"/>
      <c r="E54" s="190"/>
      <c r="F54" s="190"/>
      <c r="G54" s="190"/>
      <c r="H54" s="190"/>
      <c r="I54" s="191"/>
      <c r="J54" s="44" t="s">
        <v>317</v>
      </c>
      <c r="K54" s="45"/>
      <c r="L54" s="45"/>
      <c r="M54" s="45"/>
      <c r="N54" s="45"/>
      <c r="O54" s="45"/>
      <c r="P54" s="45"/>
      <c r="Q54" s="45"/>
      <c r="R54" s="46"/>
      <c r="S54" s="189" t="s">
        <v>318</v>
      </c>
      <c r="T54" s="190"/>
      <c r="U54" s="190"/>
      <c r="V54" s="191"/>
      <c r="W54" s="44" t="s">
        <v>334</v>
      </c>
      <c r="X54" s="45"/>
      <c r="Y54" s="45" t="s">
        <v>334</v>
      </c>
      <c r="Z54" s="45"/>
      <c r="AA54" s="45"/>
      <c r="AB54" s="45"/>
      <c r="AC54" s="45"/>
      <c r="AD54" s="45"/>
      <c r="AE54" s="45"/>
      <c r="AF54" s="45"/>
      <c r="AG54" s="45">
        <v>200</v>
      </c>
      <c r="AH54" s="45"/>
      <c r="AI54" s="46"/>
      <c r="AJ54" s="192">
        <v>200</v>
      </c>
      <c r="AK54" s="193"/>
      <c r="AL54" s="193"/>
      <c r="AM54" s="193"/>
      <c r="AN54" s="193"/>
      <c r="AO54" s="194"/>
      <c r="AP54" s="192">
        <v>250</v>
      </c>
      <c r="AQ54" s="193"/>
      <c r="AR54" s="193"/>
      <c r="AS54" s="193"/>
      <c r="AT54" s="193"/>
      <c r="AU54" s="194"/>
      <c r="AV54" s="192">
        <v>250</v>
      </c>
      <c r="AW54" s="193"/>
      <c r="AX54" s="193"/>
      <c r="AY54" s="193"/>
      <c r="AZ54" s="193"/>
      <c r="BA54" s="194"/>
      <c r="BB54" s="195" t="s">
        <v>150</v>
      </c>
      <c r="BC54" s="196"/>
      <c r="BD54" s="196"/>
      <c r="BE54" s="196"/>
      <c r="BF54" s="196"/>
      <c r="BG54" s="196"/>
      <c r="BH54" s="197"/>
      <c r="BI54" s="24"/>
    </row>
    <row r="55" spans="2:61" s="25" customFormat="1" ht="16.5" customHeight="1">
      <c r="B55" s="17"/>
      <c r="C55" s="169" t="s">
        <v>179</v>
      </c>
      <c r="D55" s="170"/>
      <c r="E55" s="170"/>
      <c r="F55" s="170"/>
      <c r="G55" s="170"/>
      <c r="H55" s="170"/>
      <c r="I55" s="171"/>
      <c r="J55" s="41" t="s">
        <v>158</v>
      </c>
      <c r="K55" s="42"/>
      <c r="L55" s="42"/>
      <c r="M55" s="42"/>
      <c r="N55" s="42"/>
      <c r="O55" s="42"/>
      <c r="P55" s="42"/>
      <c r="Q55" s="42"/>
      <c r="R55" s="43"/>
      <c r="S55" s="169" t="s">
        <v>303</v>
      </c>
      <c r="T55" s="170"/>
      <c r="U55" s="170"/>
      <c r="V55" s="171"/>
      <c r="W55" s="41" t="s">
        <v>335</v>
      </c>
      <c r="X55" s="42"/>
      <c r="Y55" s="42" t="s">
        <v>335</v>
      </c>
      <c r="Z55" s="42"/>
      <c r="AA55" s="42"/>
      <c r="AB55" s="42"/>
      <c r="AC55" s="42"/>
      <c r="AD55" s="42"/>
      <c r="AE55" s="42"/>
      <c r="AF55" s="42"/>
      <c r="AG55" s="42">
        <v>375</v>
      </c>
      <c r="AH55" s="42"/>
      <c r="AI55" s="43"/>
      <c r="AJ55" s="127">
        <v>375</v>
      </c>
      <c r="AK55" s="128"/>
      <c r="AL55" s="128"/>
      <c r="AM55" s="128"/>
      <c r="AN55" s="128"/>
      <c r="AO55" s="129"/>
      <c r="AP55" s="127">
        <v>550</v>
      </c>
      <c r="AQ55" s="128"/>
      <c r="AR55" s="128"/>
      <c r="AS55" s="128"/>
      <c r="AT55" s="128"/>
      <c r="AU55" s="129"/>
      <c r="AV55" s="127">
        <v>550</v>
      </c>
      <c r="AW55" s="128"/>
      <c r="AX55" s="128"/>
      <c r="AY55" s="128"/>
      <c r="AZ55" s="128"/>
      <c r="BA55" s="129"/>
      <c r="BB55" s="130" t="s">
        <v>150</v>
      </c>
      <c r="BC55" s="131"/>
      <c r="BD55" s="131"/>
      <c r="BE55" s="131"/>
      <c r="BF55" s="131"/>
      <c r="BG55" s="131"/>
      <c r="BH55" s="132"/>
      <c r="BI55" s="24"/>
    </row>
    <row r="56" spans="2:61" s="25" customFormat="1" ht="16.5" customHeight="1">
      <c r="B56" s="17"/>
      <c r="C56" s="189" t="s">
        <v>179</v>
      </c>
      <c r="D56" s="190"/>
      <c r="E56" s="190"/>
      <c r="F56" s="190"/>
      <c r="G56" s="190"/>
      <c r="H56" s="190"/>
      <c r="I56" s="191"/>
      <c r="J56" s="44" t="s">
        <v>154</v>
      </c>
      <c r="K56" s="45"/>
      <c r="L56" s="45"/>
      <c r="M56" s="45"/>
      <c r="N56" s="45"/>
      <c r="O56" s="45"/>
      <c r="P56" s="45"/>
      <c r="Q56" s="45"/>
      <c r="R56" s="46"/>
      <c r="S56" s="189" t="s">
        <v>303</v>
      </c>
      <c r="T56" s="190"/>
      <c r="U56" s="190"/>
      <c r="V56" s="191"/>
      <c r="W56" s="44" t="s">
        <v>336</v>
      </c>
      <c r="X56" s="45"/>
      <c r="Y56" s="45" t="s">
        <v>336</v>
      </c>
      <c r="Z56" s="45"/>
      <c r="AA56" s="45"/>
      <c r="AB56" s="45"/>
      <c r="AC56" s="45"/>
      <c r="AD56" s="45"/>
      <c r="AE56" s="45"/>
      <c r="AF56" s="45"/>
      <c r="AG56" s="45">
        <v>150</v>
      </c>
      <c r="AH56" s="45"/>
      <c r="AI56" s="46"/>
      <c r="AJ56" s="192">
        <v>150</v>
      </c>
      <c r="AK56" s="193"/>
      <c r="AL56" s="193"/>
      <c r="AM56" s="193"/>
      <c r="AN56" s="193"/>
      <c r="AO56" s="194"/>
      <c r="AP56" s="192">
        <v>250</v>
      </c>
      <c r="AQ56" s="193"/>
      <c r="AR56" s="193"/>
      <c r="AS56" s="193"/>
      <c r="AT56" s="193"/>
      <c r="AU56" s="194"/>
      <c r="AV56" s="192">
        <v>250</v>
      </c>
      <c r="AW56" s="193"/>
      <c r="AX56" s="193"/>
      <c r="AY56" s="193"/>
      <c r="AZ56" s="193"/>
      <c r="BA56" s="194"/>
      <c r="BB56" s="195" t="s">
        <v>150</v>
      </c>
      <c r="BC56" s="196"/>
      <c r="BD56" s="196"/>
      <c r="BE56" s="196"/>
      <c r="BF56" s="196"/>
      <c r="BG56" s="196"/>
      <c r="BH56" s="197"/>
      <c r="BI56" s="24"/>
    </row>
    <row r="57" spans="2:61" s="25" customFormat="1" ht="16.5" customHeight="1">
      <c r="B57" s="17"/>
      <c r="C57" s="169" t="s">
        <v>179</v>
      </c>
      <c r="D57" s="170"/>
      <c r="E57" s="170"/>
      <c r="F57" s="170"/>
      <c r="G57" s="170"/>
      <c r="H57" s="170"/>
      <c r="I57" s="171"/>
      <c r="J57" s="41" t="s">
        <v>156</v>
      </c>
      <c r="K57" s="42"/>
      <c r="L57" s="42"/>
      <c r="M57" s="42"/>
      <c r="N57" s="42"/>
      <c r="O57" s="42"/>
      <c r="P57" s="42"/>
      <c r="Q57" s="42"/>
      <c r="R57" s="43"/>
      <c r="S57" s="169" t="s">
        <v>303</v>
      </c>
      <c r="T57" s="170"/>
      <c r="U57" s="170"/>
      <c r="V57" s="171"/>
      <c r="W57" s="41" t="s">
        <v>337</v>
      </c>
      <c r="X57" s="42"/>
      <c r="Y57" s="42" t="s">
        <v>337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3"/>
      <c r="AJ57" s="127">
        <v>200</v>
      </c>
      <c r="AK57" s="128"/>
      <c r="AL57" s="128"/>
      <c r="AM57" s="128"/>
      <c r="AN57" s="128"/>
      <c r="AO57" s="129"/>
      <c r="AP57" s="127">
        <v>300</v>
      </c>
      <c r="AQ57" s="128"/>
      <c r="AR57" s="128"/>
      <c r="AS57" s="128"/>
      <c r="AT57" s="128"/>
      <c r="AU57" s="129"/>
      <c r="AV57" s="127">
        <v>300</v>
      </c>
      <c r="AW57" s="128"/>
      <c r="AX57" s="128"/>
      <c r="AY57" s="128"/>
      <c r="AZ57" s="128"/>
      <c r="BA57" s="129"/>
      <c r="BB57" s="130" t="s">
        <v>150</v>
      </c>
      <c r="BC57" s="131"/>
      <c r="BD57" s="131"/>
      <c r="BE57" s="131"/>
      <c r="BF57" s="131"/>
      <c r="BG57" s="131"/>
      <c r="BH57" s="132"/>
      <c r="BI57" s="24"/>
    </row>
    <row r="58" spans="2:61" s="25" customFormat="1" ht="16.5" customHeight="1">
      <c r="B58" s="17"/>
      <c r="C58" s="189" t="s">
        <v>179</v>
      </c>
      <c r="D58" s="190"/>
      <c r="E58" s="190"/>
      <c r="F58" s="190"/>
      <c r="G58" s="190"/>
      <c r="H58" s="190"/>
      <c r="I58" s="191"/>
      <c r="J58" s="44" t="s">
        <v>154</v>
      </c>
      <c r="K58" s="45"/>
      <c r="L58" s="45"/>
      <c r="M58" s="45"/>
      <c r="N58" s="45"/>
      <c r="O58" s="45"/>
      <c r="P58" s="45"/>
      <c r="Q58" s="45"/>
      <c r="R58" s="46"/>
      <c r="S58" s="189" t="s">
        <v>303</v>
      </c>
      <c r="T58" s="190"/>
      <c r="U58" s="190"/>
      <c r="V58" s="191"/>
      <c r="W58" s="44" t="s">
        <v>338</v>
      </c>
      <c r="X58" s="45"/>
      <c r="Y58" s="45" t="s">
        <v>338</v>
      </c>
      <c r="Z58" s="45"/>
      <c r="AA58" s="45"/>
      <c r="AB58" s="45"/>
      <c r="AC58" s="45"/>
      <c r="AD58" s="45"/>
      <c r="AE58" s="45"/>
      <c r="AF58" s="45"/>
      <c r="AG58" s="45">
        <v>150</v>
      </c>
      <c r="AH58" s="45"/>
      <c r="AI58" s="46"/>
      <c r="AJ58" s="192">
        <v>150</v>
      </c>
      <c r="AK58" s="193"/>
      <c r="AL58" s="193"/>
      <c r="AM58" s="193"/>
      <c r="AN58" s="193"/>
      <c r="AO58" s="194"/>
      <c r="AP58" s="192">
        <v>250</v>
      </c>
      <c r="AQ58" s="193"/>
      <c r="AR58" s="193"/>
      <c r="AS58" s="193"/>
      <c r="AT58" s="193"/>
      <c r="AU58" s="194"/>
      <c r="AV58" s="192">
        <v>250</v>
      </c>
      <c r="AW58" s="193"/>
      <c r="AX58" s="193"/>
      <c r="AY58" s="193"/>
      <c r="AZ58" s="193"/>
      <c r="BA58" s="194"/>
      <c r="BB58" s="195" t="s">
        <v>150</v>
      </c>
      <c r="BC58" s="196"/>
      <c r="BD58" s="196"/>
      <c r="BE58" s="196"/>
      <c r="BF58" s="196"/>
      <c r="BG58" s="196"/>
      <c r="BH58" s="197"/>
      <c r="BI58" s="24"/>
    </row>
    <row r="59" spans="2:61" s="25" customFormat="1" ht="16.5" customHeight="1">
      <c r="B59" s="17"/>
      <c r="C59" s="169" t="s">
        <v>179</v>
      </c>
      <c r="D59" s="170"/>
      <c r="E59" s="170"/>
      <c r="F59" s="170"/>
      <c r="G59" s="170"/>
      <c r="H59" s="170"/>
      <c r="I59" s="171"/>
      <c r="J59" s="41" t="s">
        <v>158</v>
      </c>
      <c r="K59" s="42"/>
      <c r="L59" s="42"/>
      <c r="M59" s="42"/>
      <c r="N59" s="42"/>
      <c r="O59" s="42"/>
      <c r="P59" s="42"/>
      <c r="Q59" s="42"/>
      <c r="R59" s="43"/>
      <c r="S59" s="169" t="s">
        <v>303</v>
      </c>
      <c r="T59" s="170"/>
      <c r="U59" s="170"/>
      <c r="V59" s="171"/>
      <c r="W59" s="41" t="s">
        <v>339</v>
      </c>
      <c r="X59" s="42"/>
      <c r="Y59" s="42" t="s">
        <v>339</v>
      </c>
      <c r="Z59" s="42"/>
      <c r="AA59" s="42"/>
      <c r="AB59" s="42"/>
      <c r="AC59" s="42"/>
      <c r="AD59" s="42"/>
      <c r="AE59" s="42"/>
      <c r="AF59" s="42"/>
      <c r="AG59" s="42">
        <v>350</v>
      </c>
      <c r="AH59" s="42"/>
      <c r="AI59" s="43"/>
      <c r="AJ59" s="127">
        <v>350</v>
      </c>
      <c r="AK59" s="128"/>
      <c r="AL59" s="128"/>
      <c r="AM59" s="128"/>
      <c r="AN59" s="128"/>
      <c r="AO59" s="129"/>
      <c r="AP59" s="127">
        <v>550</v>
      </c>
      <c r="AQ59" s="128"/>
      <c r="AR59" s="128"/>
      <c r="AS59" s="128"/>
      <c r="AT59" s="128"/>
      <c r="AU59" s="129"/>
      <c r="AV59" s="127">
        <v>550</v>
      </c>
      <c r="AW59" s="128"/>
      <c r="AX59" s="128"/>
      <c r="AY59" s="128"/>
      <c r="AZ59" s="128"/>
      <c r="BA59" s="129"/>
      <c r="BB59" s="130" t="s">
        <v>150</v>
      </c>
      <c r="BC59" s="131"/>
      <c r="BD59" s="131"/>
      <c r="BE59" s="131"/>
      <c r="BF59" s="131"/>
      <c r="BG59" s="131"/>
      <c r="BH59" s="132"/>
      <c r="BI59" s="24"/>
    </row>
    <row r="60" spans="2:61" s="25" customFormat="1" ht="16.5" customHeight="1">
      <c r="B60" s="17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8"/>
      <c r="BC60" s="159"/>
      <c r="BD60" s="159"/>
      <c r="BE60" s="159"/>
      <c r="BF60" s="159"/>
      <c r="BG60" s="159"/>
      <c r="BH60" s="159"/>
      <c r="BI60" s="24"/>
    </row>
    <row r="61" spans="2:61" s="25" customFormat="1" ht="16.5" customHeight="1">
      <c r="B61" s="17"/>
      <c r="C61" s="180" t="s">
        <v>340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2"/>
      <c r="W61" s="150" t="s">
        <v>195</v>
      </c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2"/>
      <c r="BI61" s="24"/>
    </row>
    <row r="62" spans="2:61" s="25" customFormat="1" ht="16.5" customHeight="1">
      <c r="B62" s="17"/>
      <c r="C62" s="183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5"/>
      <c r="W62" s="153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5"/>
      <c r="BI62" s="24"/>
    </row>
    <row r="63" spans="2:61" s="25" customFormat="1" ht="16.5" customHeight="1">
      <c r="B63" s="17"/>
      <c r="C63" s="186" t="s">
        <v>140</v>
      </c>
      <c r="D63" s="187"/>
      <c r="E63" s="187"/>
      <c r="F63" s="187"/>
      <c r="G63" s="187"/>
      <c r="H63" s="187"/>
      <c r="I63" s="187"/>
      <c r="J63" s="186" t="s">
        <v>141</v>
      </c>
      <c r="K63" s="187"/>
      <c r="L63" s="187"/>
      <c r="M63" s="187"/>
      <c r="N63" s="187"/>
      <c r="O63" s="187"/>
      <c r="P63" s="187"/>
      <c r="Q63" s="187"/>
      <c r="R63" s="188"/>
      <c r="S63" s="186" t="s">
        <v>301</v>
      </c>
      <c r="T63" s="187"/>
      <c r="U63" s="187"/>
      <c r="V63" s="187"/>
      <c r="W63" s="186" t="s">
        <v>302</v>
      </c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8"/>
      <c r="AJ63" s="187" t="s">
        <v>143</v>
      </c>
      <c r="AK63" s="187"/>
      <c r="AL63" s="187"/>
      <c r="AM63" s="187"/>
      <c r="AN63" s="187"/>
      <c r="AO63" s="188"/>
      <c r="AP63" s="186" t="s">
        <v>144</v>
      </c>
      <c r="AQ63" s="187"/>
      <c r="AR63" s="187"/>
      <c r="AS63" s="187"/>
      <c r="AT63" s="187"/>
      <c r="AU63" s="188"/>
      <c r="AV63" s="186" t="s">
        <v>145</v>
      </c>
      <c r="AW63" s="187"/>
      <c r="AX63" s="187"/>
      <c r="AY63" s="187"/>
      <c r="AZ63" s="187"/>
      <c r="BA63" s="188"/>
      <c r="BB63" s="186" t="s">
        <v>146</v>
      </c>
      <c r="BC63" s="187"/>
      <c r="BD63" s="187"/>
      <c r="BE63" s="187"/>
      <c r="BF63" s="187"/>
      <c r="BG63" s="187"/>
      <c r="BH63" s="188"/>
      <c r="BI63" s="24"/>
    </row>
    <row r="64" spans="2:61" s="25" customFormat="1" ht="16.5" customHeight="1">
      <c r="B64" s="17"/>
      <c r="C64" s="198" t="s">
        <v>147</v>
      </c>
      <c r="D64" s="199"/>
      <c r="E64" s="199"/>
      <c r="F64" s="199"/>
      <c r="G64" s="199"/>
      <c r="H64" s="199"/>
      <c r="I64" s="200"/>
      <c r="J64" s="198" t="s">
        <v>341</v>
      </c>
      <c r="K64" s="199"/>
      <c r="L64" s="199"/>
      <c r="M64" s="199"/>
      <c r="N64" s="199"/>
      <c r="O64" s="199"/>
      <c r="P64" s="199"/>
      <c r="Q64" s="199"/>
      <c r="R64" s="200"/>
      <c r="S64" s="201" t="s">
        <v>342</v>
      </c>
      <c r="T64" s="202"/>
      <c r="U64" s="202"/>
      <c r="V64" s="203"/>
      <c r="W64" s="204" t="s">
        <v>343</v>
      </c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6"/>
      <c r="AJ64" s="207">
        <v>210</v>
      </c>
      <c r="AK64" s="208"/>
      <c r="AL64" s="208"/>
      <c r="AM64" s="208"/>
      <c r="AN64" s="208"/>
      <c r="AO64" s="209"/>
      <c r="AP64" s="207">
        <v>270</v>
      </c>
      <c r="AQ64" s="208"/>
      <c r="AR64" s="208"/>
      <c r="AS64" s="208"/>
      <c r="AT64" s="208"/>
      <c r="AU64" s="209"/>
      <c r="AV64" s="207">
        <v>270</v>
      </c>
      <c r="AW64" s="208"/>
      <c r="AX64" s="208"/>
      <c r="AY64" s="208"/>
      <c r="AZ64" s="208"/>
      <c r="BA64" s="209"/>
      <c r="BB64" s="210" t="s">
        <v>150</v>
      </c>
      <c r="BC64" s="211"/>
      <c r="BD64" s="211"/>
      <c r="BE64" s="211"/>
      <c r="BF64" s="211"/>
      <c r="BG64" s="211"/>
      <c r="BH64" s="212"/>
      <c r="BI64" s="24"/>
    </row>
    <row r="65" spans="2:61" s="25" customFormat="1" ht="5.45" customHeight="1">
      <c r="B65" s="17"/>
      <c r="C65" s="213"/>
      <c r="D65" s="214"/>
      <c r="E65" s="214"/>
      <c r="F65" s="214"/>
      <c r="G65" s="214"/>
      <c r="H65" s="214"/>
      <c r="I65" s="215"/>
      <c r="J65" s="213"/>
      <c r="K65" s="214"/>
      <c r="L65" s="214"/>
      <c r="M65" s="214"/>
      <c r="N65" s="214"/>
      <c r="O65" s="214"/>
      <c r="P65" s="214"/>
      <c r="Q65" s="214"/>
      <c r="R65" s="215"/>
      <c r="S65" s="216"/>
      <c r="T65" s="217"/>
      <c r="U65" s="217"/>
      <c r="V65" s="218"/>
      <c r="W65" s="219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1"/>
      <c r="AJ65" s="222"/>
      <c r="AK65" s="223"/>
      <c r="AL65" s="223"/>
      <c r="AM65" s="223"/>
      <c r="AN65" s="223"/>
      <c r="AO65" s="224"/>
      <c r="AP65" s="222"/>
      <c r="AQ65" s="223"/>
      <c r="AR65" s="223"/>
      <c r="AS65" s="223"/>
      <c r="AT65" s="223"/>
      <c r="AU65" s="224"/>
      <c r="AV65" s="222"/>
      <c r="AW65" s="223"/>
      <c r="AX65" s="223"/>
      <c r="AY65" s="223"/>
      <c r="AZ65" s="223"/>
      <c r="BA65" s="224"/>
      <c r="BB65" s="225"/>
      <c r="BC65" s="226"/>
      <c r="BD65" s="226"/>
      <c r="BE65" s="226"/>
      <c r="BF65" s="226"/>
      <c r="BG65" s="226"/>
      <c r="BH65" s="227"/>
      <c r="BI65" s="24"/>
    </row>
    <row r="66" spans="2:61" s="25" customFormat="1" ht="16.5" customHeight="1">
      <c r="B66" s="17"/>
      <c r="C66" s="228" t="s">
        <v>344</v>
      </c>
      <c r="D66" s="229"/>
      <c r="E66" s="229"/>
      <c r="F66" s="229"/>
      <c r="G66" s="229"/>
      <c r="H66" s="229"/>
      <c r="I66" s="230"/>
      <c r="J66" s="228" t="s">
        <v>345</v>
      </c>
      <c r="K66" s="229"/>
      <c r="L66" s="229"/>
      <c r="M66" s="229"/>
      <c r="N66" s="229"/>
      <c r="O66" s="229"/>
      <c r="P66" s="229"/>
      <c r="Q66" s="229"/>
      <c r="R66" s="230"/>
      <c r="S66" s="178" t="s">
        <v>342</v>
      </c>
      <c r="T66" s="231"/>
      <c r="U66" s="231"/>
      <c r="V66" s="176"/>
      <c r="W66" s="232" t="s">
        <v>346</v>
      </c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4"/>
      <c r="AJ66" s="235">
        <v>360</v>
      </c>
      <c r="AK66" s="236"/>
      <c r="AL66" s="236"/>
      <c r="AM66" s="236"/>
      <c r="AN66" s="236"/>
      <c r="AO66" s="237"/>
      <c r="AP66" s="235">
        <v>420</v>
      </c>
      <c r="AQ66" s="236"/>
      <c r="AR66" s="236"/>
      <c r="AS66" s="236"/>
      <c r="AT66" s="236"/>
      <c r="AU66" s="237"/>
      <c r="AV66" s="235">
        <v>420</v>
      </c>
      <c r="AW66" s="236"/>
      <c r="AX66" s="236"/>
      <c r="AY66" s="236"/>
      <c r="AZ66" s="236"/>
      <c r="BA66" s="237"/>
      <c r="BB66" s="238" t="s">
        <v>150</v>
      </c>
      <c r="BC66" s="239"/>
      <c r="BD66" s="239"/>
      <c r="BE66" s="239"/>
      <c r="BF66" s="239"/>
      <c r="BG66" s="239"/>
      <c r="BH66" s="240"/>
      <c r="BI66" s="24"/>
    </row>
    <row r="67" spans="2:61" s="25" customFormat="1" ht="6" customHeight="1">
      <c r="B67" s="17"/>
      <c r="C67" s="241"/>
      <c r="D67" s="242"/>
      <c r="E67" s="242"/>
      <c r="F67" s="242"/>
      <c r="G67" s="242"/>
      <c r="H67" s="242"/>
      <c r="I67" s="243"/>
      <c r="J67" s="241"/>
      <c r="K67" s="242"/>
      <c r="L67" s="242"/>
      <c r="M67" s="242"/>
      <c r="N67" s="242"/>
      <c r="O67" s="242"/>
      <c r="P67" s="242"/>
      <c r="Q67" s="242"/>
      <c r="R67" s="243"/>
      <c r="S67" s="244"/>
      <c r="T67" s="149"/>
      <c r="U67" s="149"/>
      <c r="V67" s="245"/>
      <c r="W67" s="246"/>
      <c r="X67" s="247"/>
      <c r="Y67" s="247"/>
      <c r="Z67" s="247"/>
      <c r="AA67" s="247"/>
      <c r="AB67" s="247"/>
      <c r="AC67" s="247"/>
      <c r="AD67" s="247"/>
      <c r="AE67" s="247"/>
      <c r="AF67" s="247"/>
      <c r="AG67" s="247"/>
      <c r="AH67" s="247"/>
      <c r="AI67" s="248"/>
      <c r="AJ67" s="249"/>
      <c r="AK67" s="250"/>
      <c r="AL67" s="250"/>
      <c r="AM67" s="250"/>
      <c r="AN67" s="250"/>
      <c r="AO67" s="251"/>
      <c r="AP67" s="249"/>
      <c r="AQ67" s="250"/>
      <c r="AR67" s="250"/>
      <c r="AS67" s="250"/>
      <c r="AT67" s="250"/>
      <c r="AU67" s="251"/>
      <c r="AV67" s="249"/>
      <c r="AW67" s="250"/>
      <c r="AX67" s="250"/>
      <c r="AY67" s="250"/>
      <c r="AZ67" s="250"/>
      <c r="BA67" s="251"/>
      <c r="BB67" s="252"/>
      <c r="BC67" s="253"/>
      <c r="BD67" s="253"/>
      <c r="BE67" s="253"/>
      <c r="BF67" s="253"/>
      <c r="BG67" s="253"/>
      <c r="BH67" s="254"/>
      <c r="BI67" s="24"/>
    </row>
    <row r="68" spans="2:61" s="25" customFormat="1" ht="16.5" customHeight="1">
      <c r="B68" s="17"/>
      <c r="C68" s="189" t="s">
        <v>179</v>
      </c>
      <c r="D68" s="190"/>
      <c r="E68" s="190"/>
      <c r="F68" s="190"/>
      <c r="G68" s="190"/>
      <c r="H68" s="190"/>
      <c r="I68" s="191"/>
      <c r="J68" s="133" t="s">
        <v>317</v>
      </c>
      <c r="K68" s="133"/>
      <c r="L68" s="133"/>
      <c r="M68" s="133"/>
      <c r="N68" s="133"/>
      <c r="O68" s="133"/>
      <c r="P68" s="133"/>
      <c r="Q68" s="133"/>
      <c r="R68" s="133"/>
      <c r="S68" s="189" t="s">
        <v>321</v>
      </c>
      <c r="T68" s="190"/>
      <c r="U68" s="190"/>
      <c r="V68" s="190"/>
      <c r="W68" s="44" t="s">
        <v>347</v>
      </c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6"/>
      <c r="AJ68" s="134">
        <v>450</v>
      </c>
      <c r="AK68" s="134"/>
      <c r="AL68" s="134"/>
      <c r="AM68" s="134"/>
      <c r="AN68" s="134"/>
      <c r="AO68" s="134"/>
      <c r="AP68" s="134">
        <v>750</v>
      </c>
      <c r="AQ68" s="134"/>
      <c r="AR68" s="134"/>
      <c r="AS68" s="134"/>
      <c r="AT68" s="134"/>
      <c r="AU68" s="134"/>
      <c r="AV68" s="134">
        <v>750</v>
      </c>
      <c r="AW68" s="134"/>
      <c r="AX68" s="134"/>
      <c r="AY68" s="134"/>
      <c r="AZ68" s="134"/>
      <c r="BA68" s="134"/>
      <c r="BB68" s="195" t="s">
        <v>150</v>
      </c>
      <c r="BC68" s="196"/>
      <c r="BD68" s="196"/>
      <c r="BE68" s="196"/>
      <c r="BF68" s="196"/>
      <c r="BG68" s="196"/>
      <c r="BH68" s="197"/>
      <c r="BI68" s="24"/>
    </row>
    <row r="69" spans="2:61" s="25" customFormat="1" ht="16.5" customHeight="1">
      <c r="B69" s="17"/>
      <c r="C69" s="169" t="s">
        <v>179</v>
      </c>
      <c r="D69" s="170"/>
      <c r="E69" s="170"/>
      <c r="F69" s="170"/>
      <c r="G69" s="170"/>
      <c r="H69" s="170"/>
      <c r="I69" s="171"/>
      <c r="J69" s="137" t="s">
        <v>317</v>
      </c>
      <c r="K69" s="137"/>
      <c r="L69" s="137"/>
      <c r="M69" s="137"/>
      <c r="N69" s="137"/>
      <c r="O69" s="137"/>
      <c r="P69" s="137"/>
      <c r="Q69" s="137"/>
      <c r="R69" s="137"/>
      <c r="S69" s="169" t="s">
        <v>321</v>
      </c>
      <c r="T69" s="170"/>
      <c r="U69" s="170"/>
      <c r="V69" s="170"/>
      <c r="W69" s="41" t="s">
        <v>348</v>
      </c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3"/>
      <c r="AJ69" s="138">
        <v>1160</v>
      </c>
      <c r="AK69" s="138"/>
      <c r="AL69" s="138"/>
      <c r="AM69" s="138"/>
      <c r="AN69" s="138"/>
      <c r="AO69" s="138"/>
      <c r="AP69" s="138">
        <v>2110</v>
      </c>
      <c r="AQ69" s="138"/>
      <c r="AR69" s="138"/>
      <c r="AS69" s="138"/>
      <c r="AT69" s="138"/>
      <c r="AU69" s="138"/>
      <c r="AV69" s="138">
        <v>2110</v>
      </c>
      <c r="AW69" s="138"/>
      <c r="AX69" s="138"/>
      <c r="AY69" s="138"/>
      <c r="AZ69" s="138"/>
      <c r="BA69" s="138"/>
      <c r="BB69" s="130" t="s">
        <v>150</v>
      </c>
      <c r="BC69" s="131"/>
      <c r="BD69" s="131"/>
      <c r="BE69" s="131"/>
      <c r="BF69" s="131"/>
      <c r="BG69" s="131"/>
      <c r="BH69" s="132"/>
      <c r="BI69" s="24"/>
    </row>
    <row r="70" spans="2:61" s="25" customFormat="1" ht="16.5" customHeight="1">
      <c r="B70" s="17"/>
      <c r="C70" s="189" t="s">
        <v>179</v>
      </c>
      <c r="D70" s="190"/>
      <c r="E70" s="190"/>
      <c r="F70" s="190"/>
      <c r="G70" s="190"/>
      <c r="H70" s="190"/>
      <c r="I70" s="191"/>
      <c r="J70" s="133" t="s">
        <v>317</v>
      </c>
      <c r="K70" s="133"/>
      <c r="L70" s="133"/>
      <c r="M70" s="133"/>
      <c r="N70" s="133"/>
      <c r="O70" s="133"/>
      <c r="P70" s="133"/>
      <c r="Q70" s="133"/>
      <c r="R70" s="133"/>
      <c r="S70" s="189" t="s">
        <v>321</v>
      </c>
      <c r="T70" s="190"/>
      <c r="U70" s="190"/>
      <c r="V70" s="190"/>
      <c r="W70" s="44" t="s">
        <v>349</v>
      </c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6"/>
      <c r="AJ70" s="134">
        <v>780</v>
      </c>
      <c r="AK70" s="134"/>
      <c r="AL70" s="134"/>
      <c r="AM70" s="134"/>
      <c r="AN70" s="134"/>
      <c r="AO70" s="134"/>
      <c r="AP70" s="134">
        <v>1430</v>
      </c>
      <c r="AQ70" s="134"/>
      <c r="AR70" s="134"/>
      <c r="AS70" s="134"/>
      <c r="AT70" s="134"/>
      <c r="AU70" s="134"/>
      <c r="AV70" s="134">
        <v>1430</v>
      </c>
      <c r="AW70" s="134"/>
      <c r="AX70" s="134"/>
      <c r="AY70" s="134"/>
      <c r="AZ70" s="134"/>
      <c r="BA70" s="134"/>
      <c r="BB70" s="195" t="s">
        <v>150</v>
      </c>
      <c r="BC70" s="196"/>
      <c r="BD70" s="196"/>
      <c r="BE70" s="196"/>
      <c r="BF70" s="196"/>
      <c r="BG70" s="196"/>
      <c r="BH70" s="197"/>
      <c r="BI70" s="24"/>
    </row>
    <row r="71" spans="2:61" s="25" customFormat="1" ht="16.5" customHeight="1">
      <c r="B71" s="17"/>
      <c r="C71" s="169" t="s">
        <v>179</v>
      </c>
      <c r="D71" s="170"/>
      <c r="E71" s="170"/>
      <c r="F71" s="170"/>
      <c r="G71" s="170"/>
      <c r="H71" s="170"/>
      <c r="I71" s="171"/>
      <c r="J71" s="137" t="s">
        <v>345</v>
      </c>
      <c r="K71" s="137"/>
      <c r="L71" s="137"/>
      <c r="M71" s="137"/>
      <c r="N71" s="137"/>
      <c r="O71" s="137"/>
      <c r="P71" s="137"/>
      <c r="Q71" s="137"/>
      <c r="R71" s="137"/>
      <c r="S71" s="169" t="s">
        <v>350</v>
      </c>
      <c r="T71" s="170"/>
      <c r="U71" s="170"/>
      <c r="V71" s="170"/>
      <c r="W71" s="41" t="s">
        <v>351</v>
      </c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3"/>
      <c r="AJ71" s="138">
        <v>200</v>
      </c>
      <c r="AK71" s="138"/>
      <c r="AL71" s="138"/>
      <c r="AM71" s="138"/>
      <c r="AN71" s="138"/>
      <c r="AO71" s="138"/>
      <c r="AP71" s="138">
        <v>200</v>
      </c>
      <c r="AQ71" s="138"/>
      <c r="AR71" s="138"/>
      <c r="AS71" s="138"/>
      <c r="AT71" s="138"/>
      <c r="AU71" s="138"/>
      <c r="AV71" s="138">
        <v>200</v>
      </c>
      <c r="AW71" s="138"/>
      <c r="AX71" s="138"/>
      <c r="AY71" s="138"/>
      <c r="AZ71" s="138"/>
      <c r="BA71" s="138"/>
      <c r="BB71" s="130" t="s">
        <v>150</v>
      </c>
      <c r="BC71" s="131"/>
      <c r="BD71" s="131"/>
      <c r="BE71" s="131"/>
      <c r="BF71" s="131"/>
      <c r="BG71" s="131"/>
      <c r="BH71" s="132"/>
      <c r="BI71" s="24"/>
    </row>
    <row r="72" spans="2:61" s="25" customFormat="1" ht="16.5" customHeight="1">
      <c r="B72" s="17"/>
      <c r="C72" s="255" t="s">
        <v>179</v>
      </c>
      <c r="D72" s="256"/>
      <c r="E72" s="256"/>
      <c r="F72" s="256"/>
      <c r="G72" s="256"/>
      <c r="H72" s="256"/>
      <c r="I72" s="257"/>
      <c r="J72" s="258" t="s">
        <v>317</v>
      </c>
      <c r="K72" s="258"/>
      <c r="L72" s="258"/>
      <c r="M72" s="258"/>
      <c r="N72" s="258"/>
      <c r="O72" s="258"/>
      <c r="P72" s="258"/>
      <c r="Q72" s="258"/>
      <c r="R72" s="258"/>
      <c r="S72" s="255" t="s">
        <v>303</v>
      </c>
      <c r="T72" s="256"/>
      <c r="U72" s="256"/>
      <c r="V72" s="256"/>
      <c r="W72" s="259" t="s">
        <v>352</v>
      </c>
      <c r="X72" s="260"/>
      <c r="Y72" s="260"/>
      <c r="Z72" s="260"/>
      <c r="AA72" s="260"/>
      <c r="AB72" s="260"/>
      <c r="AC72" s="260"/>
      <c r="AD72" s="260"/>
      <c r="AE72" s="260"/>
      <c r="AF72" s="260"/>
      <c r="AG72" s="260"/>
      <c r="AH72" s="260"/>
      <c r="AI72" s="261"/>
      <c r="AJ72" s="262">
        <v>440</v>
      </c>
      <c r="AK72" s="262"/>
      <c r="AL72" s="262"/>
      <c r="AM72" s="262"/>
      <c r="AN72" s="262"/>
      <c r="AO72" s="262"/>
      <c r="AP72" s="262">
        <v>480</v>
      </c>
      <c r="AQ72" s="262"/>
      <c r="AR72" s="262"/>
      <c r="AS72" s="262"/>
      <c r="AT72" s="262"/>
      <c r="AU72" s="262"/>
      <c r="AV72" s="262">
        <v>480</v>
      </c>
      <c r="AW72" s="262"/>
      <c r="AX72" s="262"/>
      <c r="AY72" s="262"/>
      <c r="AZ72" s="262"/>
      <c r="BA72" s="262"/>
      <c r="BB72" s="263" t="s">
        <v>150</v>
      </c>
      <c r="BC72" s="264"/>
      <c r="BD72" s="264"/>
      <c r="BE72" s="264"/>
      <c r="BF72" s="264"/>
      <c r="BG72" s="264"/>
      <c r="BH72" s="265"/>
      <c r="BI72" s="24"/>
    </row>
    <row r="73" spans="2:61" s="25" customFormat="1" ht="16.5" customHeight="1">
      <c r="B73" s="17"/>
      <c r="C73" s="169" t="s">
        <v>179</v>
      </c>
      <c r="D73" s="170"/>
      <c r="E73" s="170"/>
      <c r="F73" s="170"/>
      <c r="G73" s="170"/>
      <c r="H73" s="170"/>
      <c r="I73" s="171"/>
      <c r="J73" s="137" t="s">
        <v>317</v>
      </c>
      <c r="K73" s="137"/>
      <c r="L73" s="137"/>
      <c r="M73" s="137"/>
      <c r="N73" s="137"/>
      <c r="O73" s="137"/>
      <c r="P73" s="137"/>
      <c r="Q73" s="137"/>
      <c r="R73" s="137"/>
      <c r="S73" s="169" t="s">
        <v>321</v>
      </c>
      <c r="T73" s="170"/>
      <c r="U73" s="170"/>
      <c r="V73" s="170"/>
      <c r="W73" s="41" t="s">
        <v>353</v>
      </c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3"/>
      <c r="AJ73" s="138">
        <v>425</v>
      </c>
      <c r="AK73" s="138"/>
      <c r="AL73" s="138"/>
      <c r="AM73" s="138"/>
      <c r="AN73" s="138"/>
      <c r="AO73" s="138"/>
      <c r="AP73" s="138">
        <v>650</v>
      </c>
      <c r="AQ73" s="138"/>
      <c r="AR73" s="138"/>
      <c r="AS73" s="138"/>
      <c r="AT73" s="138"/>
      <c r="AU73" s="138"/>
      <c r="AV73" s="138">
        <v>650</v>
      </c>
      <c r="AW73" s="138"/>
      <c r="AX73" s="138"/>
      <c r="AY73" s="138"/>
      <c r="AZ73" s="138"/>
      <c r="BA73" s="138"/>
      <c r="BB73" s="130" t="s">
        <v>150</v>
      </c>
      <c r="BC73" s="131"/>
      <c r="BD73" s="131"/>
      <c r="BE73" s="131"/>
      <c r="BF73" s="131"/>
      <c r="BG73" s="131"/>
      <c r="BH73" s="132"/>
      <c r="BI73" s="24"/>
    </row>
    <row r="74" spans="2:61" s="25" customFormat="1" ht="16.5" customHeight="1">
      <c r="B74" s="17"/>
      <c r="C74" s="198" t="s">
        <v>344</v>
      </c>
      <c r="D74" s="199"/>
      <c r="E74" s="199"/>
      <c r="F74" s="199"/>
      <c r="G74" s="199"/>
      <c r="H74" s="199"/>
      <c r="I74" s="200"/>
      <c r="J74" s="198" t="s">
        <v>345</v>
      </c>
      <c r="K74" s="199"/>
      <c r="L74" s="199"/>
      <c r="M74" s="199"/>
      <c r="N74" s="199"/>
      <c r="O74" s="199"/>
      <c r="P74" s="199"/>
      <c r="Q74" s="199"/>
      <c r="R74" s="200"/>
      <c r="S74" s="201" t="s">
        <v>342</v>
      </c>
      <c r="T74" s="202"/>
      <c r="U74" s="202"/>
      <c r="V74" s="203"/>
      <c r="W74" s="204" t="s">
        <v>354</v>
      </c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6"/>
      <c r="AJ74" s="207">
        <v>200</v>
      </c>
      <c r="AK74" s="208"/>
      <c r="AL74" s="208"/>
      <c r="AM74" s="208"/>
      <c r="AN74" s="208"/>
      <c r="AO74" s="209"/>
      <c r="AP74" s="207">
        <v>200</v>
      </c>
      <c r="AQ74" s="208"/>
      <c r="AR74" s="208"/>
      <c r="AS74" s="208"/>
      <c r="AT74" s="208"/>
      <c r="AU74" s="209"/>
      <c r="AV74" s="207">
        <v>200</v>
      </c>
      <c r="AW74" s="208"/>
      <c r="AX74" s="208"/>
      <c r="AY74" s="208"/>
      <c r="AZ74" s="208"/>
      <c r="BA74" s="209"/>
      <c r="BB74" s="210" t="s">
        <v>150</v>
      </c>
      <c r="BC74" s="211"/>
      <c r="BD74" s="211"/>
      <c r="BE74" s="211"/>
      <c r="BF74" s="211"/>
      <c r="BG74" s="211"/>
      <c r="BH74" s="212"/>
      <c r="BI74" s="24"/>
    </row>
    <row r="75" spans="2:61" s="25" customFormat="1" ht="16.5" customHeight="1">
      <c r="B75" s="17"/>
      <c r="C75" s="213"/>
      <c r="D75" s="214"/>
      <c r="E75" s="214"/>
      <c r="F75" s="214"/>
      <c r="G75" s="214"/>
      <c r="H75" s="214"/>
      <c r="I75" s="215"/>
      <c r="J75" s="213"/>
      <c r="K75" s="214"/>
      <c r="L75" s="214"/>
      <c r="M75" s="214"/>
      <c r="N75" s="214"/>
      <c r="O75" s="214"/>
      <c r="P75" s="214"/>
      <c r="Q75" s="214"/>
      <c r="R75" s="215"/>
      <c r="S75" s="216"/>
      <c r="T75" s="217"/>
      <c r="U75" s="217"/>
      <c r="V75" s="218"/>
      <c r="W75" s="219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1"/>
      <c r="AJ75" s="222"/>
      <c r="AK75" s="223"/>
      <c r="AL75" s="223"/>
      <c r="AM75" s="223"/>
      <c r="AN75" s="223"/>
      <c r="AO75" s="224"/>
      <c r="AP75" s="222"/>
      <c r="AQ75" s="223"/>
      <c r="AR75" s="223"/>
      <c r="AS75" s="223"/>
      <c r="AT75" s="223"/>
      <c r="AU75" s="224"/>
      <c r="AV75" s="222"/>
      <c r="AW75" s="223"/>
      <c r="AX75" s="223"/>
      <c r="AY75" s="223"/>
      <c r="AZ75" s="223"/>
      <c r="BA75" s="224"/>
      <c r="BB75" s="225"/>
      <c r="BC75" s="226"/>
      <c r="BD75" s="226"/>
      <c r="BE75" s="226"/>
      <c r="BF75" s="226"/>
      <c r="BG75" s="226"/>
      <c r="BH75" s="227"/>
      <c r="BI75" s="24"/>
    </row>
    <row r="76" spans="2:61" s="25" customFormat="1" ht="16.5" customHeight="1">
      <c r="B76" s="17"/>
      <c r="C76" s="228" t="s">
        <v>147</v>
      </c>
      <c r="D76" s="229"/>
      <c r="E76" s="229"/>
      <c r="F76" s="229"/>
      <c r="G76" s="229"/>
      <c r="H76" s="229"/>
      <c r="I76" s="230"/>
      <c r="J76" s="228" t="s">
        <v>167</v>
      </c>
      <c r="K76" s="229"/>
      <c r="L76" s="229"/>
      <c r="M76" s="229"/>
      <c r="N76" s="229"/>
      <c r="O76" s="229"/>
      <c r="P76" s="229"/>
      <c r="Q76" s="229"/>
      <c r="R76" s="230"/>
      <c r="S76" s="178" t="s">
        <v>342</v>
      </c>
      <c r="T76" s="231"/>
      <c r="U76" s="231"/>
      <c r="V76" s="176"/>
      <c r="W76" s="232" t="s">
        <v>355</v>
      </c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4"/>
      <c r="AJ76" s="235">
        <v>210</v>
      </c>
      <c r="AK76" s="236"/>
      <c r="AL76" s="236"/>
      <c r="AM76" s="236"/>
      <c r="AN76" s="236"/>
      <c r="AO76" s="237"/>
      <c r="AP76" s="235">
        <v>270</v>
      </c>
      <c r="AQ76" s="236"/>
      <c r="AR76" s="236"/>
      <c r="AS76" s="236"/>
      <c r="AT76" s="236"/>
      <c r="AU76" s="237"/>
      <c r="AV76" s="235">
        <v>270</v>
      </c>
      <c r="AW76" s="236"/>
      <c r="AX76" s="236"/>
      <c r="AY76" s="236"/>
      <c r="AZ76" s="236"/>
      <c r="BA76" s="237"/>
      <c r="BB76" s="238" t="s">
        <v>150</v>
      </c>
      <c r="BC76" s="239"/>
      <c r="BD76" s="239"/>
      <c r="BE76" s="239"/>
      <c r="BF76" s="239"/>
      <c r="BG76" s="239"/>
      <c r="BH76" s="240"/>
      <c r="BI76" s="24"/>
    </row>
    <row r="77" spans="2:61" s="25" customFormat="1" ht="16.5" customHeight="1">
      <c r="B77" s="17"/>
      <c r="C77" s="241"/>
      <c r="D77" s="242"/>
      <c r="E77" s="242"/>
      <c r="F77" s="242"/>
      <c r="G77" s="242"/>
      <c r="H77" s="242"/>
      <c r="I77" s="243"/>
      <c r="J77" s="241"/>
      <c r="K77" s="242"/>
      <c r="L77" s="242"/>
      <c r="M77" s="242"/>
      <c r="N77" s="242"/>
      <c r="O77" s="242"/>
      <c r="P77" s="242"/>
      <c r="Q77" s="242"/>
      <c r="R77" s="243"/>
      <c r="S77" s="244"/>
      <c r="T77" s="149"/>
      <c r="U77" s="149"/>
      <c r="V77" s="245"/>
      <c r="W77" s="246"/>
      <c r="X77" s="247"/>
      <c r="Y77" s="247"/>
      <c r="Z77" s="247"/>
      <c r="AA77" s="247"/>
      <c r="AB77" s="247"/>
      <c r="AC77" s="247"/>
      <c r="AD77" s="247"/>
      <c r="AE77" s="247"/>
      <c r="AF77" s="247"/>
      <c r="AG77" s="247"/>
      <c r="AH77" s="247"/>
      <c r="AI77" s="248"/>
      <c r="AJ77" s="249"/>
      <c r="AK77" s="250"/>
      <c r="AL77" s="250"/>
      <c r="AM77" s="250"/>
      <c r="AN77" s="250"/>
      <c r="AO77" s="251"/>
      <c r="AP77" s="249"/>
      <c r="AQ77" s="250"/>
      <c r="AR77" s="250"/>
      <c r="AS77" s="250"/>
      <c r="AT77" s="250"/>
      <c r="AU77" s="251"/>
      <c r="AV77" s="249"/>
      <c r="AW77" s="250"/>
      <c r="AX77" s="250"/>
      <c r="AY77" s="250"/>
      <c r="AZ77" s="250"/>
      <c r="BA77" s="251"/>
      <c r="BB77" s="252"/>
      <c r="BC77" s="253"/>
      <c r="BD77" s="253"/>
      <c r="BE77" s="253"/>
      <c r="BF77" s="253"/>
      <c r="BG77" s="253"/>
      <c r="BH77" s="254"/>
      <c r="BI77" s="24"/>
    </row>
    <row r="78" spans="2:61" s="25" customFormat="1" ht="16.5" customHeight="1">
      <c r="B78" s="17"/>
      <c r="C78" s="47" t="s">
        <v>151</v>
      </c>
      <c r="D78" s="51"/>
      <c r="E78" s="51"/>
      <c r="F78" s="51"/>
      <c r="G78" s="51"/>
      <c r="H78" s="51"/>
      <c r="I78" s="52"/>
      <c r="J78" s="133" t="s">
        <v>152</v>
      </c>
      <c r="K78" s="133"/>
      <c r="L78" s="133"/>
      <c r="M78" s="133"/>
      <c r="N78" s="133"/>
      <c r="O78" s="133"/>
      <c r="P78" s="133"/>
      <c r="Q78" s="133"/>
      <c r="R78" s="133"/>
      <c r="S78" s="189" t="s">
        <v>356</v>
      </c>
      <c r="T78" s="190"/>
      <c r="U78" s="190"/>
      <c r="V78" s="190"/>
      <c r="W78" s="44" t="s">
        <v>357</v>
      </c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6"/>
      <c r="AJ78" s="134">
        <v>350</v>
      </c>
      <c r="AK78" s="134"/>
      <c r="AL78" s="134"/>
      <c r="AM78" s="134"/>
      <c r="AN78" s="134"/>
      <c r="AO78" s="134"/>
      <c r="AP78" s="134">
        <v>450</v>
      </c>
      <c r="AQ78" s="134"/>
      <c r="AR78" s="134"/>
      <c r="AS78" s="134"/>
      <c r="AT78" s="134"/>
      <c r="AU78" s="134"/>
      <c r="AV78" s="134">
        <v>450</v>
      </c>
      <c r="AW78" s="134"/>
      <c r="AX78" s="134"/>
      <c r="AY78" s="134"/>
      <c r="AZ78" s="134"/>
      <c r="BA78" s="134"/>
      <c r="BB78" s="195" t="s">
        <v>150</v>
      </c>
      <c r="BC78" s="196"/>
      <c r="BD78" s="196"/>
      <c r="BE78" s="196"/>
      <c r="BF78" s="196"/>
      <c r="BG78" s="196"/>
      <c r="BH78" s="197"/>
      <c r="BI78" s="24"/>
    </row>
    <row r="79" spans="2:61" s="25" customFormat="1" ht="16.5" customHeight="1">
      <c r="B79" s="17"/>
      <c r="C79" s="47" t="s">
        <v>179</v>
      </c>
      <c r="D79" s="48"/>
      <c r="E79" s="48"/>
      <c r="F79" s="48"/>
      <c r="G79" s="48"/>
      <c r="H79" s="48"/>
      <c r="I79" s="49"/>
      <c r="J79" s="137" t="s">
        <v>317</v>
      </c>
      <c r="K79" s="137"/>
      <c r="L79" s="137"/>
      <c r="M79" s="137"/>
      <c r="N79" s="137"/>
      <c r="O79" s="137"/>
      <c r="P79" s="137"/>
      <c r="Q79" s="137"/>
      <c r="R79" s="137"/>
      <c r="S79" s="169" t="s">
        <v>321</v>
      </c>
      <c r="T79" s="170"/>
      <c r="U79" s="170"/>
      <c r="V79" s="170"/>
      <c r="W79" s="41" t="s">
        <v>358</v>
      </c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3"/>
      <c r="AJ79" s="138">
        <v>250</v>
      </c>
      <c r="AK79" s="138"/>
      <c r="AL79" s="138"/>
      <c r="AM79" s="138"/>
      <c r="AN79" s="138"/>
      <c r="AO79" s="138"/>
      <c r="AP79" s="138">
        <v>425</v>
      </c>
      <c r="AQ79" s="138"/>
      <c r="AR79" s="138"/>
      <c r="AS79" s="138"/>
      <c r="AT79" s="138"/>
      <c r="AU79" s="138"/>
      <c r="AV79" s="138">
        <v>425</v>
      </c>
      <c r="AW79" s="138"/>
      <c r="AX79" s="138"/>
      <c r="AY79" s="138"/>
      <c r="AZ79" s="138"/>
      <c r="BA79" s="138"/>
      <c r="BB79" s="130" t="s">
        <v>150</v>
      </c>
      <c r="BC79" s="131"/>
      <c r="BD79" s="131"/>
      <c r="BE79" s="131"/>
      <c r="BF79" s="131"/>
      <c r="BG79" s="131"/>
      <c r="BH79" s="132"/>
      <c r="BI79" s="24"/>
    </row>
    <row r="80" spans="2:61" s="25" customFormat="1" ht="16.5" customHeight="1">
      <c r="B80" s="17"/>
      <c r="C80" s="50" t="s">
        <v>179</v>
      </c>
      <c r="D80" s="51"/>
      <c r="E80" s="51"/>
      <c r="F80" s="51"/>
      <c r="G80" s="51"/>
      <c r="H80" s="51"/>
      <c r="I80" s="52"/>
      <c r="J80" s="133" t="s">
        <v>317</v>
      </c>
      <c r="K80" s="133"/>
      <c r="L80" s="133"/>
      <c r="M80" s="133"/>
      <c r="N80" s="133"/>
      <c r="O80" s="133"/>
      <c r="P80" s="133"/>
      <c r="Q80" s="133"/>
      <c r="R80" s="133"/>
      <c r="S80" s="189" t="s">
        <v>321</v>
      </c>
      <c r="T80" s="190"/>
      <c r="U80" s="190"/>
      <c r="V80" s="190"/>
      <c r="W80" s="44" t="s">
        <v>359</v>
      </c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6"/>
      <c r="AJ80" s="134">
        <v>475</v>
      </c>
      <c r="AK80" s="134"/>
      <c r="AL80" s="134"/>
      <c r="AM80" s="134"/>
      <c r="AN80" s="134"/>
      <c r="AO80" s="134"/>
      <c r="AP80" s="134">
        <v>785</v>
      </c>
      <c r="AQ80" s="134"/>
      <c r="AR80" s="134"/>
      <c r="AS80" s="134"/>
      <c r="AT80" s="134"/>
      <c r="AU80" s="134"/>
      <c r="AV80" s="134">
        <v>785</v>
      </c>
      <c r="AW80" s="134"/>
      <c r="AX80" s="134"/>
      <c r="AY80" s="134"/>
      <c r="AZ80" s="134"/>
      <c r="BA80" s="134"/>
      <c r="BB80" s="195" t="s">
        <v>150</v>
      </c>
      <c r="BC80" s="196"/>
      <c r="BD80" s="196"/>
      <c r="BE80" s="196"/>
      <c r="BF80" s="196"/>
      <c r="BG80" s="196"/>
      <c r="BH80" s="197"/>
      <c r="BI80" s="24"/>
    </row>
    <row r="81" spans="2:61" s="25" customFormat="1" ht="16.5" customHeight="1">
      <c r="B81" s="17"/>
      <c r="C81" s="47" t="s">
        <v>179</v>
      </c>
      <c r="D81" s="48"/>
      <c r="E81" s="48"/>
      <c r="F81" s="48"/>
      <c r="G81" s="48"/>
      <c r="H81" s="48"/>
      <c r="I81" s="49"/>
      <c r="J81" s="137" t="s">
        <v>317</v>
      </c>
      <c r="K81" s="137"/>
      <c r="L81" s="137"/>
      <c r="M81" s="137"/>
      <c r="N81" s="137"/>
      <c r="O81" s="137"/>
      <c r="P81" s="137"/>
      <c r="Q81" s="137"/>
      <c r="R81" s="137"/>
      <c r="S81" s="169" t="s">
        <v>321</v>
      </c>
      <c r="T81" s="170"/>
      <c r="U81" s="170"/>
      <c r="V81" s="170"/>
      <c r="W81" s="41" t="s">
        <v>360</v>
      </c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3"/>
      <c r="AJ81" s="138">
        <v>625</v>
      </c>
      <c r="AK81" s="138"/>
      <c r="AL81" s="138"/>
      <c r="AM81" s="138"/>
      <c r="AN81" s="138"/>
      <c r="AO81" s="138"/>
      <c r="AP81" s="138">
        <v>1025</v>
      </c>
      <c r="AQ81" s="138"/>
      <c r="AR81" s="138"/>
      <c r="AS81" s="138"/>
      <c r="AT81" s="138"/>
      <c r="AU81" s="138"/>
      <c r="AV81" s="138">
        <v>1025</v>
      </c>
      <c r="AW81" s="138"/>
      <c r="AX81" s="138"/>
      <c r="AY81" s="138"/>
      <c r="AZ81" s="138"/>
      <c r="BA81" s="138"/>
      <c r="BB81" s="130" t="s">
        <v>150</v>
      </c>
      <c r="BC81" s="131"/>
      <c r="BD81" s="131"/>
      <c r="BE81" s="131"/>
      <c r="BF81" s="131"/>
      <c r="BG81" s="131"/>
      <c r="BH81" s="132"/>
      <c r="BI81" s="24"/>
    </row>
    <row r="82" spans="2:61" s="25" customFormat="1" ht="16.5" customHeight="1">
      <c r="B82" s="17"/>
      <c r="C82" s="50" t="s">
        <v>179</v>
      </c>
      <c r="D82" s="51"/>
      <c r="E82" s="51"/>
      <c r="F82" s="51"/>
      <c r="G82" s="51"/>
      <c r="H82" s="51"/>
      <c r="I82" s="52"/>
      <c r="J82" s="133" t="s">
        <v>317</v>
      </c>
      <c r="K82" s="133"/>
      <c r="L82" s="133"/>
      <c r="M82" s="133"/>
      <c r="N82" s="133"/>
      <c r="O82" s="133"/>
      <c r="P82" s="133"/>
      <c r="Q82" s="133"/>
      <c r="R82" s="133"/>
      <c r="S82" s="189" t="s">
        <v>321</v>
      </c>
      <c r="T82" s="190"/>
      <c r="U82" s="190"/>
      <c r="V82" s="190"/>
      <c r="W82" s="44" t="s">
        <v>361</v>
      </c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6"/>
      <c r="AJ82" s="134">
        <v>500</v>
      </c>
      <c r="AK82" s="134"/>
      <c r="AL82" s="134"/>
      <c r="AM82" s="134"/>
      <c r="AN82" s="134"/>
      <c r="AO82" s="134"/>
      <c r="AP82" s="134">
        <v>800</v>
      </c>
      <c r="AQ82" s="134"/>
      <c r="AR82" s="134"/>
      <c r="AS82" s="134"/>
      <c r="AT82" s="134"/>
      <c r="AU82" s="134"/>
      <c r="AV82" s="134">
        <v>800</v>
      </c>
      <c r="AW82" s="134"/>
      <c r="AX82" s="134"/>
      <c r="AY82" s="134"/>
      <c r="AZ82" s="134"/>
      <c r="BA82" s="134"/>
      <c r="BB82" s="195" t="s">
        <v>150</v>
      </c>
      <c r="BC82" s="196"/>
      <c r="BD82" s="196"/>
      <c r="BE82" s="196"/>
      <c r="BF82" s="196"/>
      <c r="BG82" s="196"/>
      <c r="BH82" s="197"/>
      <c r="BI82" s="24"/>
    </row>
    <row r="83" spans="2:61" s="25" customFormat="1" ht="23.25" customHeight="1">
      <c r="B83" s="17"/>
      <c r="C83" s="169" t="s">
        <v>179</v>
      </c>
      <c r="D83" s="170"/>
      <c r="E83" s="170"/>
      <c r="F83" s="170"/>
      <c r="G83" s="170"/>
      <c r="H83" s="170"/>
      <c r="I83" s="171"/>
      <c r="J83" s="137" t="s">
        <v>317</v>
      </c>
      <c r="K83" s="137"/>
      <c r="L83" s="137"/>
      <c r="M83" s="137"/>
      <c r="N83" s="137"/>
      <c r="O83" s="137"/>
      <c r="P83" s="137"/>
      <c r="Q83" s="137"/>
      <c r="R83" s="137"/>
      <c r="S83" s="169" t="s">
        <v>321</v>
      </c>
      <c r="T83" s="170"/>
      <c r="U83" s="170"/>
      <c r="V83" s="170"/>
      <c r="W83" s="266" t="s">
        <v>362</v>
      </c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3"/>
      <c r="AJ83" s="138">
        <v>425</v>
      </c>
      <c r="AK83" s="138"/>
      <c r="AL83" s="138"/>
      <c r="AM83" s="138"/>
      <c r="AN83" s="138"/>
      <c r="AO83" s="138"/>
      <c r="AP83" s="138">
        <v>680</v>
      </c>
      <c r="AQ83" s="138"/>
      <c r="AR83" s="138"/>
      <c r="AS83" s="138"/>
      <c r="AT83" s="138"/>
      <c r="AU83" s="138"/>
      <c r="AV83" s="138">
        <v>680</v>
      </c>
      <c r="AW83" s="138"/>
      <c r="AX83" s="138"/>
      <c r="AY83" s="138"/>
      <c r="AZ83" s="138"/>
      <c r="BA83" s="138"/>
      <c r="BB83" s="130" t="s">
        <v>150</v>
      </c>
      <c r="BC83" s="131"/>
      <c r="BD83" s="131"/>
      <c r="BE83" s="131"/>
      <c r="BF83" s="131"/>
      <c r="BG83" s="131"/>
      <c r="BH83" s="132"/>
      <c r="BI83" s="24"/>
    </row>
    <row r="84" spans="2:61" s="25" customFormat="1" ht="23.25" customHeight="1">
      <c r="B84" s="17"/>
      <c r="C84" s="50" t="s">
        <v>179</v>
      </c>
      <c r="D84" s="51"/>
      <c r="E84" s="51"/>
      <c r="F84" s="51"/>
      <c r="G84" s="51"/>
      <c r="H84" s="51"/>
      <c r="I84" s="52"/>
      <c r="J84" s="133" t="s">
        <v>317</v>
      </c>
      <c r="K84" s="133"/>
      <c r="L84" s="133"/>
      <c r="M84" s="133"/>
      <c r="N84" s="133"/>
      <c r="O84" s="133"/>
      <c r="P84" s="133"/>
      <c r="Q84" s="133"/>
      <c r="R84" s="133"/>
      <c r="S84" s="189" t="s">
        <v>321</v>
      </c>
      <c r="T84" s="190"/>
      <c r="U84" s="190"/>
      <c r="V84" s="190"/>
      <c r="W84" s="267" t="s">
        <v>363</v>
      </c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6"/>
      <c r="AJ84" s="134">
        <v>300</v>
      </c>
      <c r="AK84" s="134"/>
      <c r="AL84" s="134"/>
      <c r="AM84" s="134"/>
      <c r="AN84" s="134"/>
      <c r="AO84" s="134"/>
      <c r="AP84" s="134">
        <v>480</v>
      </c>
      <c r="AQ84" s="134"/>
      <c r="AR84" s="134"/>
      <c r="AS84" s="134"/>
      <c r="AT84" s="134"/>
      <c r="AU84" s="134"/>
      <c r="AV84" s="134">
        <v>480</v>
      </c>
      <c r="AW84" s="134"/>
      <c r="AX84" s="134"/>
      <c r="AY84" s="134"/>
      <c r="AZ84" s="134"/>
      <c r="BA84" s="134"/>
      <c r="BB84" s="195" t="s">
        <v>150</v>
      </c>
      <c r="BC84" s="196"/>
      <c r="BD84" s="196"/>
      <c r="BE84" s="196"/>
      <c r="BF84" s="196"/>
      <c r="BG84" s="196"/>
      <c r="BH84" s="197"/>
      <c r="BI84" s="24"/>
    </row>
    <row r="85" spans="2:61" s="25" customFormat="1" ht="16.5" customHeight="1">
      <c r="B85" s="17"/>
      <c r="C85" s="169" t="s">
        <v>179</v>
      </c>
      <c r="D85" s="170"/>
      <c r="E85" s="170"/>
      <c r="F85" s="170"/>
      <c r="G85" s="170"/>
      <c r="H85" s="170"/>
      <c r="I85" s="171"/>
      <c r="J85" s="137" t="s">
        <v>317</v>
      </c>
      <c r="K85" s="137"/>
      <c r="L85" s="137"/>
      <c r="M85" s="137"/>
      <c r="N85" s="137"/>
      <c r="O85" s="137"/>
      <c r="P85" s="137"/>
      <c r="Q85" s="137"/>
      <c r="R85" s="137"/>
      <c r="S85" s="169" t="s">
        <v>321</v>
      </c>
      <c r="T85" s="170"/>
      <c r="U85" s="170"/>
      <c r="V85" s="170"/>
      <c r="W85" s="41" t="s">
        <v>364</v>
      </c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3"/>
      <c r="AJ85" s="138">
        <v>570</v>
      </c>
      <c r="AK85" s="138"/>
      <c r="AL85" s="138"/>
      <c r="AM85" s="138"/>
      <c r="AN85" s="138"/>
      <c r="AO85" s="138"/>
      <c r="AP85" s="138">
        <v>1140</v>
      </c>
      <c r="AQ85" s="138"/>
      <c r="AR85" s="138"/>
      <c r="AS85" s="138"/>
      <c r="AT85" s="138"/>
      <c r="AU85" s="138"/>
      <c r="AV85" s="138">
        <v>1140</v>
      </c>
      <c r="AW85" s="138"/>
      <c r="AX85" s="138"/>
      <c r="AY85" s="138"/>
      <c r="AZ85" s="138"/>
      <c r="BA85" s="138"/>
      <c r="BB85" s="130" t="s">
        <v>150</v>
      </c>
      <c r="BC85" s="131"/>
      <c r="BD85" s="131"/>
      <c r="BE85" s="131"/>
      <c r="BF85" s="131"/>
      <c r="BG85" s="131"/>
      <c r="BH85" s="132"/>
      <c r="BI85" s="24"/>
    </row>
    <row r="86" spans="2:61" s="25" customFormat="1" ht="16.5" customHeight="1">
      <c r="B86" s="17"/>
      <c r="C86" s="189" t="s">
        <v>179</v>
      </c>
      <c r="D86" s="190"/>
      <c r="E86" s="190"/>
      <c r="F86" s="190"/>
      <c r="G86" s="190"/>
      <c r="H86" s="190"/>
      <c r="I86" s="191"/>
      <c r="J86" s="133" t="s">
        <v>317</v>
      </c>
      <c r="K86" s="133"/>
      <c r="L86" s="133"/>
      <c r="M86" s="133"/>
      <c r="N86" s="133"/>
      <c r="O86" s="133"/>
      <c r="P86" s="133"/>
      <c r="Q86" s="133"/>
      <c r="R86" s="133"/>
      <c r="S86" s="189" t="s">
        <v>321</v>
      </c>
      <c r="T86" s="190"/>
      <c r="U86" s="190"/>
      <c r="V86" s="190"/>
      <c r="W86" s="44" t="s">
        <v>365</v>
      </c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6"/>
      <c r="AJ86" s="134">
        <v>480</v>
      </c>
      <c r="AK86" s="134"/>
      <c r="AL86" s="134"/>
      <c r="AM86" s="134"/>
      <c r="AN86" s="134"/>
      <c r="AO86" s="134"/>
      <c r="AP86" s="134">
        <v>810</v>
      </c>
      <c r="AQ86" s="134"/>
      <c r="AR86" s="134"/>
      <c r="AS86" s="134"/>
      <c r="AT86" s="134"/>
      <c r="AU86" s="134"/>
      <c r="AV86" s="134">
        <v>810</v>
      </c>
      <c r="AW86" s="134"/>
      <c r="AX86" s="134"/>
      <c r="AY86" s="134"/>
      <c r="AZ86" s="134"/>
      <c r="BA86" s="134"/>
      <c r="BB86" s="195" t="s">
        <v>150</v>
      </c>
      <c r="BC86" s="196"/>
      <c r="BD86" s="196"/>
      <c r="BE86" s="196"/>
      <c r="BF86" s="196"/>
      <c r="BG86" s="196"/>
      <c r="BH86" s="197"/>
      <c r="BI86" s="24"/>
    </row>
    <row r="87" spans="2:61" s="25" customFormat="1" ht="16.5" customHeight="1">
      <c r="B87" s="17"/>
      <c r="C87" s="169" t="s">
        <v>179</v>
      </c>
      <c r="D87" s="170"/>
      <c r="E87" s="170"/>
      <c r="F87" s="170"/>
      <c r="G87" s="170"/>
      <c r="H87" s="170"/>
      <c r="I87" s="171"/>
      <c r="J87" s="137" t="s">
        <v>317</v>
      </c>
      <c r="K87" s="137"/>
      <c r="L87" s="137"/>
      <c r="M87" s="137"/>
      <c r="N87" s="137"/>
      <c r="O87" s="137"/>
      <c r="P87" s="137"/>
      <c r="Q87" s="137"/>
      <c r="R87" s="137"/>
      <c r="S87" s="169" t="s">
        <v>321</v>
      </c>
      <c r="T87" s="170"/>
      <c r="U87" s="170"/>
      <c r="V87" s="170"/>
      <c r="W87" s="41" t="s">
        <v>366</v>
      </c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3"/>
      <c r="AJ87" s="138">
        <v>375</v>
      </c>
      <c r="AK87" s="138"/>
      <c r="AL87" s="138"/>
      <c r="AM87" s="138"/>
      <c r="AN87" s="138"/>
      <c r="AO87" s="138"/>
      <c r="AP87" s="138">
        <v>600</v>
      </c>
      <c r="AQ87" s="138"/>
      <c r="AR87" s="138"/>
      <c r="AS87" s="138"/>
      <c r="AT87" s="138"/>
      <c r="AU87" s="138"/>
      <c r="AV87" s="138">
        <v>600</v>
      </c>
      <c r="AW87" s="138"/>
      <c r="AX87" s="138"/>
      <c r="AY87" s="138"/>
      <c r="AZ87" s="138"/>
      <c r="BA87" s="138"/>
      <c r="BB87" s="130" t="s">
        <v>150</v>
      </c>
      <c r="BC87" s="131"/>
      <c r="BD87" s="131"/>
      <c r="BE87" s="131"/>
      <c r="BF87" s="131"/>
      <c r="BG87" s="131"/>
      <c r="BH87" s="132"/>
      <c r="BI87" s="24"/>
    </row>
    <row r="88" spans="2:61" s="25" customFormat="1" ht="16.5" customHeight="1">
      <c r="B88" s="17"/>
      <c r="C88" s="189" t="s">
        <v>179</v>
      </c>
      <c r="D88" s="190"/>
      <c r="E88" s="190"/>
      <c r="F88" s="190"/>
      <c r="G88" s="190"/>
      <c r="H88" s="190"/>
      <c r="I88" s="191"/>
      <c r="J88" s="133" t="s">
        <v>317</v>
      </c>
      <c r="K88" s="133"/>
      <c r="L88" s="133"/>
      <c r="M88" s="133"/>
      <c r="N88" s="133"/>
      <c r="O88" s="133"/>
      <c r="P88" s="133"/>
      <c r="Q88" s="133"/>
      <c r="R88" s="133"/>
      <c r="S88" s="189" t="s">
        <v>321</v>
      </c>
      <c r="T88" s="190"/>
      <c r="U88" s="190"/>
      <c r="V88" s="190"/>
      <c r="W88" s="44" t="s">
        <v>367</v>
      </c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6"/>
      <c r="AJ88" s="134">
        <v>500</v>
      </c>
      <c r="AK88" s="134"/>
      <c r="AL88" s="134"/>
      <c r="AM88" s="134"/>
      <c r="AN88" s="134"/>
      <c r="AO88" s="134"/>
      <c r="AP88" s="134">
        <v>700</v>
      </c>
      <c r="AQ88" s="134"/>
      <c r="AR88" s="134"/>
      <c r="AS88" s="134"/>
      <c r="AT88" s="134"/>
      <c r="AU88" s="134"/>
      <c r="AV88" s="134">
        <v>700</v>
      </c>
      <c r="AW88" s="134"/>
      <c r="AX88" s="134"/>
      <c r="AY88" s="134"/>
      <c r="AZ88" s="134"/>
      <c r="BA88" s="134"/>
      <c r="BB88" s="195" t="s">
        <v>150</v>
      </c>
      <c r="BC88" s="196"/>
      <c r="BD88" s="196"/>
      <c r="BE88" s="196"/>
      <c r="BF88" s="196"/>
      <c r="BG88" s="196"/>
      <c r="BH88" s="197"/>
      <c r="BI88" s="24"/>
    </row>
    <row r="89" spans="2:61" s="25" customFormat="1" ht="16.5" customHeight="1">
      <c r="B89" s="17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  <c r="AH89" s="268"/>
      <c r="AI89" s="268"/>
      <c r="AJ89" s="268"/>
      <c r="AK89" s="268"/>
      <c r="AL89" s="268"/>
      <c r="AM89" s="268"/>
      <c r="AN89" s="268"/>
      <c r="AO89" s="268"/>
      <c r="AP89" s="268"/>
      <c r="AQ89" s="268"/>
      <c r="AR89" s="268"/>
      <c r="AS89" s="268"/>
      <c r="AT89" s="268"/>
      <c r="AU89" s="268"/>
      <c r="AV89" s="268"/>
      <c r="AW89" s="268"/>
      <c r="AX89" s="268"/>
      <c r="AY89" s="268"/>
      <c r="AZ89" s="268"/>
      <c r="BA89" s="268"/>
      <c r="BB89" s="268"/>
      <c r="BC89" s="268"/>
      <c r="BD89" s="268"/>
      <c r="BE89" s="268"/>
      <c r="BF89" s="268"/>
      <c r="BG89" s="268"/>
      <c r="BH89" s="268"/>
      <c r="BI89" s="24"/>
    </row>
    <row r="90" spans="2:61" s="25" customFormat="1" ht="16.5" customHeight="1">
      <c r="B90" s="17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68"/>
      <c r="AJ90" s="268"/>
      <c r="AK90" s="268"/>
      <c r="AL90" s="268"/>
      <c r="AM90" s="268"/>
      <c r="AN90" s="268"/>
      <c r="AO90" s="268"/>
      <c r="AP90" s="268"/>
      <c r="AQ90" s="268"/>
      <c r="AR90" s="268"/>
      <c r="AS90" s="268"/>
      <c r="AT90" s="268"/>
      <c r="AU90" s="268"/>
      <c r="AV90" s="268"/>
      <c r="AW90" s="268"/>
      <c r="AX90" s="268"/>
      <c r="AY90" s="268"/>
      <c r="AZ90" s="268"/>
      <c r="BA90" s="268"/>
      <c r="BB90" s="268"/>
      <c r="BC90" s="268"/>
      <c r="BD90" s="268"/>
      <c r="BE90" s="268"/>
      <c r="BF90" s="268"/>
      <c r="BG90" s="268"/>
      <c r="BH90" s="268"/>
      <c r="BI90" s="24"/>
    </row>
    <row r="91" spans="2:61" s="25" customFormat="1" ht="16.5" customHeight="1">
      <c r="B91" s="17"/>
      <c r="C91" s="160" t="s">
        <v>214</v>
      </c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1"/>
      <c r="R91" s="162" t="s">
        <v>215</v>
      </c>
      <c r="S91" s="161"/>
      <c r="T91" s="163" t="s">
        <v>216</v>
      </c>
      <c r="U91" s="164"/>
      <c r="V91" s="164"/>
      <c r="W91" s="165"/>
      <c r="X91" s="156"/>
      <c r="Y91" s="156"/>
      <c r="Z91" s="156"/>
      <c r="AA91" s="156"/>
      <c r="AB91" s="156"/>
      <c r="AC91" s="156"/>
      <c r="AD91" s="156"/>
      <c r="AE91" s="156"/>
      <c r="AF91" s="156"/>
      <c r="AG91" s="157"/>
      <c r="AH91" s="157"/>
      <c r="AI91" s="157"/>
      <c r="AJ91" s="157"/>
      <c r="AK91" s="157"/>
      <c r="AL91" s="160" t="s">
        <v>217</v>
      </c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60"/>
      <c r="AZ91" s="161"/>
      <c r="BA91" s="162" t="s">
        <v>215</v>
      </c>
      <c r="BB91" s="161"/>
      <c r="BC91" s="163" t="s">
        <v>216</v>
      </c>
      <c r="BD91" s="164"/>
      <c r="BE91" s="164"/>
      <c r="BF91" s="165"/>
      <c r="BG91" s="268"/>
      <c r="BH91" s="268"/>
      <c r="BI91" s="24"/>
    </row>
    <row r="92" spans="2:61" s="25" customFormat="1" ht="16.5" customHeight="1">
      <c r="B92" s="17"/>
      <c r="C92" s="140" t="s">
        <v>218</v>
      </c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66" t="s">
        <v>219</v>
      </c>
      <c r="S92" s="166"/>
      <c r="T92" s="166" t="s">
        <v>220</v>
      </c>
      <c r="U92" s="166"/>
      <c r="V92" s="166"/>
      <c r="W92" s="166"/>
      <c r="X92" s="156"/>
      <c r="Y92" s="156"/>
      <c r="Z92" s="156"/>
      <c r="AA92" s="156"/>
      <c r="AB92" s="156"/>
      <c r="AC92" s="156"/>
      <c r="AD92" s="156"/>
      <c r="AE92" s="156"/>
      <c r="AF92" s="156"/>
      <c r="AG92" s="157"/>
      <c r="AH92" s="157"/>
      <c r="AI92" s="157"/>
      <c r="AJ92" s="157"/>
      <c r="AK92" s="157"/>
      <c r="AL92" s="140" t="s">
        <v>221</v>
      </c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67" t="s">
        <v>219</v>
      </c>
      <c r="BB92" s="167"/>
      <c r="BC92" s="167" t="s">
        <v>222</v>
      </c>
      <c r="BD92" s="167"/>
      <c r="BE92" s="167"/>
      <c r="BF92" s="167"/>
      <c r="BG92" s="268"/>
      <c r="BH92" s="268"/>
      <c r="BI92" s="24"/>
    </row>
    <row r="93" spans="2:61" s="25" customFormat="1" ht="16.5" customHeight="1">
      <c r="B93" s="17"/>
      <c r="C93" s="140" t="s">
        <v>223</v>
      </c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68" t="s">
        <v>224</v>
      </c>
      <c r="S93" s="168"/>
      <c r="T93" s="166" t="s">
        <v>225</v>
      </c>
      <c r="U93" s="166"/>
      <c r="V93" s="166"/>
      <c r="W93" s="166"/>
      <c r="X93" s="156"/>
      <c r="Y93" s="156"/>
      <c r="Z93" s="156"/>
      <c r="AA93" s="156"/>
      <c r="AB93" s="156"/>
      <c r="AC93" s="156"/>
      <c r="AD93" s="156"/>
      <c r="AE93" s="156"/>
      <c r="AF93" s="156"/>
      <c r="AG93" s="157"/>
      <c r="AH93" s="157"/>
      <c r="AI93" s="157"/>
      <c r="AJ93" s="157"/>
      <c r="AK93" s="157"/>
      <c r="AL93" s="140" t="s">
        <v>226</v>
      </c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67" t="s">
        <v>219</v>
      </c>
      <c r="BB93" s="167"/>
      <c r="BC93" s="167" t="s">
        <v>222</v>
      </c>
      <c r="BD93" s="167"/>
      <c r="BE93" s="167"/>
      <c r="BF93" s="167"/>
      <c r="BG93" s="268"/>
      <c r="BH93" s="268"/>
      <c r="BI93" s="24"/>
    </row>
    <row r="94" spans="2:61" s="25" customFormat="1" ht="16.5" customHeight="1">
      <c r="B94" s="17"/>
      <c r="C94" s="140" t="s">
        <v>227</v>
      </c>
      <c r="D94" s="140"/>
      <c r="E94" s="140" t="s">
        <v>228</v>
      </c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68" t="s">
        <v>219</v>
      </c>
      <c r="S94" s="168"/>
      <c r="T94" s="166" t="s">
        <v>225</v>
      </c>
      <c r="U94" s="166"/>
      <c r="V94" s="166"/>
      <c r="W94" s="166"/>
      <c r="X94" s="156"/>
      <c r="Y94" s="156"/>
      <c r="Z94" s="156"/>
      <c r="AA94" s="156"/>
      <c r="AB94" s="156"/>
      <c r="AC94" s="156"/>
      <c r="AD94" s="156"/>
      <c r="AE94" s="156"/>
      <c r="AF94" s="156"/>
      <c r="AG94" s="157"/>
      <c r="AH94" s="157"/>
      <c r="AI94" s="157"/>
      <c r="AJ94" s="157"/>
      <c r="AK94" s="157"/>
      <c r="AL94" s="140" t="s">
        <v>229</v>
      </c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67" t="s">
        <v>219</v>
      </c>
      <c r="BB94" s="167"/>
      <c r="BC94" s="167" t="s">
        <v>230</v>
      </c>
      <c r="BD94" s="167"/>
      <c r="BE94" s="167"/>
      <c r="BF94" s="167"/>
      <c r="BG94" s="268"/>
      <c r="BH94" s="268"/>
      <c r="BI94" s="24"/>
    </row>
    <row r="95" spans="2:61" s="25" customFormat="1" ht="16.5" customHeight="1">
      <c r="B95" s="17"/>
      <c r="C95" s="140" t="s">
        <v>231</v>
      </c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66" t="s">
        <v>232</v>
      </c>
      <c r="S95" s="166"/>
      <c r="T95" s="166" t="s">
        <v>233</v>
      </c>
      <c r="U95" s="166"/>
      <c r="V95" s="166"/>
      <c r="W95" s="166"/>
      <c r="X95" s="156"/>
      <c r="Y95" s="156"/>
      <c r="Z95" s="156"/>
      <c r="AA95" s="156"/>
      <c r="AB95" s="156"/>
      <c r="AC95" s="156"/>
      <c r="AD95" s="156"/>
      <c r="AE95" s="156"/>
      <c r="AF95" s="156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9"/>
      <c r="BC95" s="159"/>
      <c r="BD95" s="159"/>
      <c r="BE95" s="159"/>
      <c r="BF95" s="159"/>
      <c r="BG95" s="268"/>
      <c r="BH95" s="268"/>
      <c r="BI95" s="24"/>
    </row>
    <row r="96" spans="2:61" s="25" customFormat="1" ht="16.5" customHeight="1">
      <c r="B96" s="17"/>
      <c r="C96" s="140" t="s">
        <v>234</v>
      </c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68" t="s">
        <v>232</v>
      </c>
      <c r="S96" s="168"/>
      <c r="T96" s="166" t="s">
        <v>235</v>
      </c>
      <c r="U96" s="166"/>
      <c r="V96" s="166"/>
      <c r="W96" s="166"/>
      <c r="X96" s="156"/>
      <c r="Y96" s="156"/>
      <c r="Z96" s="156"/>
      <c r="AA96" s="156"/>
      <c r="AB96" s="156"/>
      <c r="AC96" s="156"/>
      <c r="AD96" s="156"/>
      <c r="AE96" s="156"/>
      <c r="AF96" s="156"/>
      <c r="AG96" s="157"/>
      <c r="AH96" s="157"/>
      <c r="AI96" s="157"/>
      <c r="AJ96" s="157"/>
      <c r="AK96" s="157"/>
      <c r="AL96" s="160" t="s">
        <v>236</v>
      </c>
      <c r="AM96" s="160"/>
      <c r="AN96" s="160"/>
      <c r="AO96" s="160"/>
      <c r="AP96" s="160"/>
      <c r="AQ96" s="160"/>
      <c r="AR96" s="160"/>
      <c r="AS96" s="160"/>
      <c r="AT96" s="160"/>
      <c r="AU96" s="160"/>
      <c r="AV96" s="160"/>
      <c r="AW96" s="160"/>
      <c r="AX96" s="160"/>
      <c r="AY96" s="160" t="s">
        <v>215</v>
      </c>
      <c r="AZ96" s="160"/>
      <c r="BA96" s="160" t="s">
        <v>237</v>
      </c>
      <c r="BB96" s="160"/>
      <c r="BC96" s="160"/>
      <c r="BD96" s="160" t="s">
        <v>238</v>
      </c>
      <c r="BE96" s="160"/>
      <c r="BF96" s="160"/>
      <c r="BG96" s="268"/>
      <c r="BH96" s="268"/>
      <c r="BI96" s="24"/>
    </row>
    <row r="97" spans="2:61" s="25" customFormat="1" ht="16.5" customHeight="1">
      <c r="B97" s="17"/>
      <c r="C97" s="140" t="s">
        <v>239</v>
      </c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68" t="s">
        <v>219</v>
      </c>
      <c r="S97" s="168"/>
      <c r="T97" s="166" t="s">
        <v>240</v>
      </c>
      <c r="U97" s="166"/>
      <c r="V97" s="166"/>
      <c r="W97" s="166"/>
      <c r="X97" s="156"/>
      <c r="Y97" s="156"/>
      <c r="Z97" s="156"/>
      <c r="AA97" s="156"/>
      <c r="AB97" s="156"/>
      <c r="AC97" s="156"/>
      <c r="AD97" s="156"/>
      <c r="AE97" s="156"/>
      <c r="AF97" s="156"/>
      <c r="AG97" s="157"/>
      <c r="AH97" s="157"/>
      <c r="AI97" s="157"/>
      <c r="AJ97" s="157"/>
      <c r="AK97" s="157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268"/>
      <c r="BH97" s="268"/>
      <c r="BI97" s="24"/>
    </row>
    <row r="98" spans="2:61" s="25" customFormat="1" ht="16.5" customHeight="1">
      <c r="B98" s="17"/>
      <c r="C98" s="23"/>
      <c r="D98" s="23"/>
      <c r="E98" s="23"/>
      <c r="F98" s="23"/>
      <c r="G98" s="23"/>
      <c r="H98" s="23"/>
      <c r="I98" s="23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7"/>
      <c r="AH98" s="157"/>
      <c r="AI98" s="157"/>
      <c r="AJ98" s="157"/>
      <c r="AK98" s="157"/>
      <c r="AL98" s="169" t="s">
        <v>241</v>
      </c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1"/>
      <c r="AY98" s="169" t="s">
        <v>242</v>
      </c>
      <c r="AZ98" s="171"/>
      <c r="BA98" s="172">
        <v>1310</v>
      </c>
      <c r="BB98" s="173"/>
      <c r="BC98" s="173"/>
      <c r="BD98" s="173">
        <v>2045</v>
      </c>
      <c r="BE98" s="173"/>
      <c r="BF98" s="174"/>
      <c r="BG98" s="268"/>
      <c r="BH98" s="268"/>
      <c r="BI98" s="24"/>
    </row>
    <row r="99" spans="2:61" s="25" customFormat="1" ht="16.5" customHeight="1">
      <c r="B99" s="17"/>
      <c r="C99" s="160" t="s">
        <v>243</v>
      </c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1"/>
      <c r="R99" s="162" t="s">
        <v>215</v>
      </c>
      <c r="S99" s="161"/>
      <c r="T99" s="163" t="s">
        <v>216</v>
      </c>
      <c r="U99" s="164"/>
      <c r="V99" s="164"/>
      <c r="W99" s="165"/>
      <c r="X99" s="156"/>
      <c r="Y99" s="156"/>
      <c r="Z99" s="156"/>
      <c r="AA99" s="156"/>
      <c r="AB99" s="156"/>
      <c r="AC99" s="156"/>
      <c r="AD99" s="156"/>
      <c r="AE99" s="156"/>
      <c r="AF99" s="156"/>
      <c r="AG99" s="157"/>
      <c r="AH99" s="157"/>
      <c r="AI99" s="157"/>
      <c r="AJ99" s="157"/>
      <c r="AK99" s="157"/>
      <c r="AL99" s="169" t="s">
        <v>244</v>
      </c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1"/>
      <c r="AY99" s="169" t="s">
        <v>242</v>
      </c>
      <c r="AZ99" s="171"/>
      <c r="BA99" s="172">
        <v>690</v>
      </c>
      <c r="BB99" s="173"/>
      <c r="BC99" s="173"/>
      <c r="BD99" s="173">
        <v>1380</v>
      </c>
      <c r="BE99" s="173"/>
      <c r="BF99" s="174"/>
      <c r="BG99" s="159"/>
      <c r="BH99" s="159"/>
      <c r="BI99" s="24"/>
    </row>
    <row r="100" spans="2:61" s="25" customFormat="1" ht="16.5" customHeight="1">
      <c r="B100" s="17"/>
      <c r="C100" s="140" t="s">
        <v>245</v>
      </c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66" t="s">
        <v>232</v>
      </c>
      <c r="S100" s="166"/>
      <c r="T100" s="175" t="s">
        <v>246</v>
      </c>
      <c r="U100" s="175"/>
      <c r="V100" s="175"/>
      <c r="W100" s="175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7"/>
      <c r="AH100" s="157"/>
      <c r="AI100" s="157"/>
      <c r="AJ100" s="157"/>
      <c r="AK100" s="157"/>
      <c r="AL100" s="169" t="s">
        <v>247</v>
      </c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1"/>
      <c r="AY100" s="169" t="s">
        <v>242</v>
      </c>
      <c r="AZ100" s="171"/>
      <c r="BA100" s="172">
        <v>1110</v>
      </c>
      <c r="BB100" s="173"/>
      <c r="BC100" s="173"/>
      <c r="BD100" s="173">
        <v>1845</v>
      </c>
      <c r="BE100" s="173"/>
      <c r="BF100" s="174"/>
      <c r="BG100" s="159"/>
      <c r="BH100" s="159"/>
      <c r="BI100" s="24"/>
    </row>
    <row r="101" spans="2:61" s="25" customFormat="1" ht="16.5" customHeight="1">
      <c r="B101" s="17"/>
      <c r="C101" s="140" t="s">
        <v>248</v>
      </c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68" t="s">
        <v>232</v>
      </c>
      <c r="S101" s="168"/>
      <c r="T101" s="175" t="s">
        <v>249</v>
      </c>
      <c r="U101" s="175"/>
      <c r="V101" s="175"/>
      <c r="W101" s="175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 s="169" t="s">
        <v>250</v>
      </c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1"/>
      <c r="AY101" s="169" t="s">
        <v>242</v>
      </c>
      <c r="AZ101" s="171"/>
      <c r="BA101" s="172">
        <v>690</v>
      </c>
      <c r="BB101" s="173"/>
      <c r="BC101" s="173"/>
      <c r="BD101" s="173">
        <v>1380</v>
      </c>
      <c r="BE101" s="173"/>
      <c r="BF101" s="174"/>
      <c r="BG101"/>
      <c r="BH101"/>
      <c r="BI101" s="24"/>
    </row>
    <row r="102" spans="2:61" s="25" customFormat="1" ht="16.5" customHeight="1">
      <c r="B102" s="17"/>
      <c r="C102" s="140" t="s">
        <v>251</v>
      </c>
      <c r="D102" s="140"/>
      <c r="E102" s="140" t="s">
        <v>228</v>
      </c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68" t="s">
        <v>232</v>
      </c>
      <c r="S102" s="168"/>
      <c r="T102" s="175" t="s">
        <v>252</v>
      </c>
      <c r="U102" s="175"/>
      <c r="V102" s="175"/>
      <c r="W102" s="175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 s="176"/>
      <c r="AM102" s="177"/>
      <c r="AN102" s="177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177"/>
      <c r="AZ102" s="178"/>
      <c r="BA102"/>
      <c r="BB102"/>
      <c r="BC102"/>
      <c r="BD102"/>
      <c r="BE102"/>
      <c r="BF102"/>
      <c r="BG102"/>
      <c r="BH102"/>
      <c r="BI102" s="24"/>
    </row>
    <row r="103" spans="2:61" s="25" customFormat="1" ht="16.5" customHeight="1">
      <c r="B103" s="17"/>
      <c r="C103" s="23"/>
      <c r="D103" s="23"/>
      <c r="E103" s="23"/>
      <c r="F103" s="23"/>
      <c r="G103" s="23"/>
      <c r="H103" s="23"/>
      <c r="I103" s="23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 s="24"/>
    </row>
    <row r="104" spans="2:61" s="25" customFormat="1" ht="16.5" customHeight="1">
      <c r="B104" s="17"/>
      <c r="C104" s="15" t="s">
        <v>255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 s="24"/>
    </row>
    <row r="105" spans="2:61" s="25" customFormat="1" ht="16.5" customHeight="1">
      <c r="B105" s="17"/>
      <c r="C105" s="15" t="s">
        <v>256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 s="24"/>
    </row>
    <row r="106" spans="2:61" s="25" customFormat="1" ht="16.5" customHeight="1">
      <c r="B106" s="17"/>
      <c r="C106" s="15" t="s">
        <v>257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 s="24"/>
    </row>
    <row r="107" spans="2:61" s="25" customFormat="1" ht="16.5" customHeight="1">
      <c r="B107" s="17"/>
      <c r="C107" s="15" t="s">
        <v>259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 s="24"/>
    </row>
    <row r="108" spans="2:61" s="25" customFormat="1" ht="16.5" customHeight="1">
      <c r="B108" s="17"/>
      <c r="C108" s="15" t="s">
        <v>260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 s="24"/>
    </row>
    <row r="109" spans="2:61" s="25" customFormat="1" ht="16.5" customHeight="1">
      <c r="B109" s="17"/>
      <c r="C109" s="15" t="s">
        <v>261</v>
      </c>
      <c r="D109" s="15"/>
      <c r="E109" s="15"/>
      <c r="F109" s="15"/>
      <c r="G109" s="15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5"/>
      <c r="AK109" s="15"/>
      <c r="AL109" s="15"/>
      <c r="AM109" s="15"/>
      <c r="AN109" s="15"/>
      <c r="AO109" s="15"/>
      <c r="AP109" s="15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 s="24"/>
    </row>
    <row r="110" spans="2:61" s="25" customFormat="1" ht="16.5" customHeight="1">
      <c r="B110" s="17"/>
      <c r="C110" s="15" t="s">
        <v>262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79" t="s">
        <v>263</v>
      </c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5"/>
      <c r="AJ110" s="15"/>
      <c r="AK110" s="15"/>
      <c r="AL110" s="15"/>
      <c r="AM110" s="15"/>
      <c r="AN110" s="15"/>
      <c r="AO110" s="15"/>
      <c r="AP110" s="15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 s="24"/>
    </row>
    <row r="111" spans="2:61" s="25" customFormat="1" ht="16.5" customHeight="1">
      <c r="B111" s="17"/>
      <c r="C111" s="15" t="s">
        <v>264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 s="24"/>
    </row>
    <row r="112" spans="2:61" s="25" customFormat="1" ht="16.5" customHeight="1">
      <c r="B112" s="17"/>
      <c r="C112" s="15" t="s">
        <v>258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 s="24"/>
    </row>
    <row r="113" spans="2:61" s="25" customFormat="1" ht="16.5" customHeight="1">
      <c r="B113" s="17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 s="24"/>
    </row>
    <row r="114" spans="2:61" s="25" customFormat="1" ht="16.5" customHeight="1" thickBot="1">
      <c r="B114" s="63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5"/>
    </row>
  </sheetData>
  <mergeCells count="482">
    <mergeCell ref="BD101:BF101"/>
    <mergeCell ref="C102:Q102"/>
    <mergeCell ref="R102:S102"/>
    <mergeCell ref="T102:W102"/>
    <mergeCell ref="AL102:AZ102"/>
    <mergeCell ref="Q110:AH110"/>
    <mergeCell ref="C101:Q101"/>
    <mergeCell ref="R101:S101"/>
    <mergeCell ref="T101:W101"/>
    <mergeCell ref="AL101:AX101"/>
    <mergeCell ref="AY101:AZ101"/>
    <mergeCell ref="BA101:BC101"/>
    <mergeCell ref="BD99:BF99"/>
    <mergeCell ref="C100:Q100"/>
    <mergeCell ref="R100:S100"/>
    <mergeCell ref="T100:W100"/>
    <mergeCell ref="AL100:AX100"/>
    <mergeCell ref="AY100:AZ100"/>
    <mergeCell ref="BA100:BC100"/>
    <mergeCell ref="BD100:BF100"/>
    <mergeCell ref="AL98:AX98"/>
    <mergeCell ref="AY98:AZ98"/>
    <mergeCell ref="BA98:BC98"/>
    <mergeCell ref="BD98:BF98"/>
    <mergeCell ref="C99:Q99"/>
    <mergeCell ref="R99:S99"/>
    <mergeCell ref="T99:W99"/>
    <mergeCell ref="AL99:AX99"/>
    <mergeCell ref="AY99:AZ99"/>
    <mergeCell ref="BA99:BC99"/>
    <mergeCell ref="AL96:AX97"/>
    <mergeCell ref="AY96:AZ97"/>
    <mergeCell ref="BA96:BC97"/>
    <mergeCell ref="BD96:BF97"/>
    <mergeCell ref="C97:Q97"/>
    <mergeCell ref="R97:S97"/>
    <mergeCell ref="T97:W97"/>
    <mergeCell ref="C95:Q95"/>
    <mergeCell ref="R95:S95"/>
    <mergeCell ref="T95:W95"/>
    <mergeCell ref="C96:Q96"/>
    <mergeCell ref="R96:S96"/>
    <mergeCell ref="T96:W96"/>
    <mergeCell ref="C94:Q94"/>
    <mergeCell ref="R94:S94"/>
    <mergeCell ref="T94:W94"/>
    <mergeCell ref="AL94:AZ94"/>
    <mergeCell ref="BA94:BB94"/>
    <mergeCell ref="BC94:BF94"/>
    <mergeCell ref="C93:Q93"/>
    <mergeCell ref="R93:S93"/>
    <mergeCell ref="T93:W93"/>
    <mergeCell ref="AL93:AZ93"/>
    <mergeCell ref="BA93:BB93"/>
    <mergeCell ref="BC93:BF93"/>
    <mergeCell ref="C92:Q92"/>
    <mergeCell ref="R92:S92"/>
    <mergeCell ref="T92:W92"/>
    <mergeCell ref="AL92:AZ92"/>
    <mergeCell ref="BA92:BB92"/>
    <mergeCell ref="BC92:BF92"/>
    <mergeCell ref="AV88:BA88"/>
    <mergeCell ref="BB88:BH88"/>
    <mergeCell ref="C91:Q91"/>
    <mergeCell ref="R91:S91"/>
    <mergeCell ref="T91:W91"/>
    <mergeCell ref="AL91:AZ91"/>
    <mergeCell ref="BA91:BB91"/>
    <mergeCell ref="BC91:BF91"/>
    <mergeCell ref="C88:I88"/>
    <mergeCell ref="J88:R88"/>
    <mergeCell ref="S88:V88"/>
    <mergeCell ref="W88:AI88"/>
    <mergeCell ref="AJ88:AO88"/>
    <mergeCell ref="AP88:AU88"/>
    <mergeCell ref="AV86:BA86"/>
    <mergeCell ref="BB86:BH86"/>
    <mergeCell ref="C87:I87"/>
    <mergeCell ref="J87:R87"/>
    <mergeCell ref="S87:V87"/>
    <mergeCell ref="W87:AI87"/>
    <mergeCell ref="AJ87:AO87"/>
    <mergeCell ref="AP87:AU87"/>
    <mergeCell ref="AV87:BA87"/>
    <mergeCell ref="BB87:BH87"/>
    <mergeCell ref="C86:I86"/>
    <mergeCell ref="J86:R86"/>
    <mergeCell ref="S86:V86"/>
    <mergeCell ref="W86:AI86"/>
    <mergeCell ref="AJ86:AO86"/>
    <mergeCell ref="AP86:AU86"/>
    <mergeCell ref="BB84:BH84"/>
    <mergeCell ref="C85:I85"/>
    <mergeCell ref="J85:R85"/>
    <mergeCell ref="S85:V85"/>
    <mergeCell ref="W85:AI85"/>
    <mergeCell ref="AJ85:AO85"/>
    <mergeCell ref="AP85:AU85"/>
    <mergeCell ref="AV85:BA85"/>
    <mergeCell ref="BB85:BH85"/>
    <mergeCell ref="J84:R84"/>
    <mergeCell ref="S84:V84"/>
    <mergeCell ref="W84:AI84"/>
    <mergeCell ref="AJ84:AO84"/>
    <mergeCell ref="AP84:AU84"/>
    <mergeCell ref="AV84:BA84"/>
    <mergeCell ref="BB82:BH82"/>
    <mergeCell ref="C83:I83"/>
    <mergeCell ref="J83:R83"/>
    <mergeCell ref="S83:V83"/>
    <mergeCell ref="W83:AI83"/>
    <mergeCell ref="AJ83:AO83"/>
    <mergeCell ref="AP83:AU83"/>
    <mergeCell ref="AV83:BA83"/>
    <mergeCell ref="BB83:BH83"/>
    <mergeCell ref="J82:R82"/>
    <mergeCell ref="S82:V82"/>
    <mergeCell ref="W82:AI82"/>
    <mergeCell ref="AJ82:AO82"/>
    <mergeCell ref="AP82:AU82"/>
    <mergeCell ref="AV82:BA82"/>
    <mergeCell ref="BB80:BH80"/>
    <mergeCell ref="J81:R81"/>
    <mergeCell ref="S81:V81"/>
    <mergeCell ref="W81:AI81"/>
    <mergeCell ref="AJ81:AO81"/>
    <mergeCell ref="AP81:AU81"/>
    <mergeCell ref="AV81:BA81"/>
    <mergeCell ref="BB81:BH81"/>
    <mergeCell ref="J80:R80"/>
    <mergeCell ref="S80:V80"/>
    <mergeCell ref="W80:AI80"/>
    <mergeCell ref="AJ80:AO80"/>
    <mergeCell ref="AP80:AU80"/>
    <mergeCell ref="AV80:BA80"/>
    <mergeCell ref="BB78:BH78"/>
    <mergeCell ref="J79:R79"/>
    <mergeCell ref="S79:V79"/>
    <mergeCell ref="W79:AI79"/>
    <mergeCell ref="AJ79:AO79"/>
    <mergeCell ref="AP79:AU79"/>
    <mergeCell ref="AV79:BA79"/>
    <mergeCell ref="BB79:BH79"/>
    <mergeCell ref="J78:R78"/>
    <mergeCell ref="S78:V78"/>
    <mergeCell ref="W78:AI78"/>
    <mergeCell ref="AJ78:AO78"/>
    <mergeCell ref="AP78:AU78"/>
    <mergeCell ref="AV78:BA78"/>
    <mergeCell ref="AV74:BA75"/>
    <mergeCell ref="BB74:BH75"/>
    <mergeCell ref="C76:I77"/>
    <mergeCell ref="J76:R77"/>
    <mergeCell ref="S76:V77"/>
    <mergeCell ref="W76:AI77"/>
    <mergeCell ref="AJ76:AO77"/>
    <mergeCell ref="AP76:AU77"/>
    <mergeCell ref="AV76:BA77"/>
    <mergeCell ref="BB76:BH77"/>
    <mergeCell ref="C74:I75"/>
    <mergeCell ref="J74:R75"/>
    <mergeCell ref="S74:V75"/>
    <mergeCell ref="W74:AI75"/>
    <mergeCell ref="AJ74:AO75"/>
    <mergeCell ref="AP74:AU75"/>
    <mergeCell ref="AV72:BA72"/>
    <mergeCell ref="BB72:BH72"/>
    <mergeCell ref="C73:I73"/>
    <mergeCell ref="J73:R73"/>
    <mergeCell ref="S73:V73"/>
    <mergeCell ref="W73:AI73"/>
    <mergeCell ref="AJ73:AO73"/>
    <mergeCell ref="AP73:AU73"/>
    <mergeCell ref="AV73:BA73"/>
    <mergeCell ref="BB73:BH73"/>
    <mergeCell ref="C72:I72"/>
    <mergeCell ref="J72:R72"/>
    <mergeCell ref="S72:V72"/>
    <mergeCell ref="W72:AI72"/>
    <mergeCell ref="AJ72:AO72"/>
    <mergeCell ref="AP72:AU72"/>
    <mergeCell ref="AV70:BA70"/>
    <mergeCell ref="BB70:BH70"/>
    <mergeCell ref="C71:I71"/>
    <mergeCell ref="J71:R71"/>
    <mergeCell ref="S71:V71"/>
    <mergeCell ref="W71:AI71"/>
    <mergeCell ref="AJ71:AO71"/>
    <mergeCell ref="AP71:AU71"/>
    <mergeCell ref="AV71:BA71"/>
    <mergeCell ref="BB71:BH71"/>
    <mergeCell ref="C70:I70"/>
    <mergeCell ref="J70:R70"/>
    <mergeCell ref="S70:V70"/>
    <mergeCell ref="W70:AI70"/>
    <mergeCell ref="AJ70:AO70"/>
    <mergeCell ref="AP70:AU70"/>
    <mergeCell ref="AV68:BA68"/>
    <mergeCell ref="BB68:BH68"/>
    <mergeCell ref="C69:I69"/>
    <mergeCell ref="J69:R69"/>
    <mergeCell ref="S69:V69"/>
    <mergeCell ref="W69:AI69"/>
    <mergeCell ref="AJ69:AO69"/>
    <mergeCell ref="AP69:AU69"/>
    <mergeCell ref="AV69:BA69"/>
    <mergeCell ref="BB69:BH69"/>
    <mergeCell ref="C68:I68"/>
    <mergeCell ref="J68:R68"/>
    <mergeCell ref="S68:V68"/>
    <mergeCell ref="W68:AI68"/>
    <mergeCell ref="AJ68:AO68"/>
    <mergeCell ref="AP68:AU68"/>
    <mergeCell ref="AV64:BA65"/>
    <mergeCell ref="BB64:BH65"/>
    <mergeCell ref="C66:I67"/>
    <mergeCell ref="J66:R67"/>
    <mergeCell ref="S66:V67"/>
    <mergeCell ref="W66:AI67"/>
    <mergeCell ref="AJ66:AO67"/>
    <mergeCell ref="AP66:AU67"/>
    <mergeCell ref="AV66:BA67"/>
    <mergeCell ref="BB66:BH67"/>
    <mergeCell ref="C64:I65"/>
    <mergeCell ref="J64:R65"/>
    <mergeCell ref="S64:V65"/>
    <mergeCell ref="W64:AI65"/>
    <mergeCell ref="AJ64:AO65"/>
    <mergeCell ref="AP64:AU65"/>
    <mergeCell ref="C61:V62"/>
    <mergeCell ref="W61:BH62"/>
    <mergeCell ref="C63:I63"/>
    <mergeCell ref="J63:R63"/>
    <mergeCell ref="S63:V63"/>
    <mergeCell ref="W63:AI63"/>
    <mergeCell ref="AJ63:AO63"/>
    <mergeCell ref="AP63:AU63"/>
    <mergeCell ref="AV63:BA63"/>
    <mergeCell ref="BB63:BH63"/>
    <mergeCell ref="AV58:BA58"/>
    <mergeCell ref="BB58:BH58"/>
    <mergeCell ref="C59:I59"/>
    <mergeCell ref="J59:R59"/>
    <mergeCell ref="S59:V59"/>
    <mergeCell ref="W59:AI59"/>
    <mergeCell ref="AJ59:AO59"/>
    <mergeCell ref="AP59:AU59"/>
    <mergeCell ref="AV59:BA59"/>
    <mergeCell ref="BB59:BH59"/>
    <mergeCell ref="C58:I58"/>
    <mergeCell ref="J58:R58"/>
    <mergeCell ref="S58:V58"/>
    <mergeCell ref="W58:AI58"/>
    <mergeCell ref="AJ58:AO58"/>
    <mergeCell ref="AP58:AU58"/>
    <mergeCell ref="AV56:BA56"/>
    <mergeCell ref="BB56:BH56"/>
    <mergeCell ref="C57:I57"/>
    <mergeCell ref="J57:R57"/>
    <mergeCell ref="S57:V57"/>
    <mergeCell ref="W57:AI57"/>
    <mergeCell ref="AJ57:AO57"/>
    <mergeCell ref="AP57:AU57"/>
    <mergeCell ref="AV57:BA57"/>
    <mergeCell ref="BB57:BH57"/>
    <mergeCell ref="C56:I56"/>
    <mergeCell ref="J56:R56"/>
    <mergeCell ref="S56:V56"/>
    <mergeCell ref="W56:AI56"/>
    <mergeCell ref="AJ56:AO56"/>
    <mergeCell ref="AP56:AU56"/>
    <mergeCell ref="AV54:BA54"/>
    <mergeCell ref="BB54:BH54"/>
    <mergeCell ref="C55:I55"/>
    <mergeCell ref="J55:R55"/>
    <mergeCell ref="S55:V55"/>
    <mergeCell ref="W55:AI55"/>
    <mergeCell ref="AJ55:AO55"/>
    <mergeCell ref="AP55:AU55"/>
    <mergeCell ref="AV55:BA55"/>
    <mergeCell ref="BB55:BH55"/>
    <mergeCell ref="C54:I54"/>
    <mergeCell ref="J54:R54"/>
    <mergeCell ref="S54:V54"/>
    <mergeCell ref="W54:AI54"/>
    <mergeCell ref="AJ54:AO54"/>
    <mergeCell ref="AP54:AU54"/>
    <mergeCell ref="AV52:BA52"/>
    <mergeCell ref="BB52:BH52"/>
    <mergeCell ref="C53:I53"/>
    <mergeCell ref="J53:R53"/>
    <mergeCell ref="S53:V53"/>
    <mergeCell ref="W53:AI53"/>
    <mergeCell ref="AJ53:AO53"/>
    <mergeCell ref="AP53:AU53"/>
    <mergeCell ref="AV53:BA53"/>
    <mergeCell ref="BB53:BH53"/>
    <mergeCell ref="C52:I52"/>
    <mergeCell ref="J52:R52"/>
    <mergeCell ref="S52:V52"/>
    <mergeCell ref="W52:AI52"/>
    <mergeCell ref="AJ52:AO52"/>
    <mergeCell ref="AP52:AU52"/>
    <mergeCell ref="AV50:BA50"/>
    <mergeCell ref="BB50:BH50"/>
    <mergeCell ref="C51:I51"/>
    <mergeCell ref="J51:R51"/>
    <mergeCell ref="S51:V51"/>
    <mergeCell ref="W51:AI51"/>
    <mergeCell ref="AJ51:AO51"/>
    <mergeCell ref="AP51:AU51"/>
    <mergeCell ref="AV51:BA51"/>
    <mergeCell ref="BB51:BH51"/>
    <mergeCell ref="C50:I50"/>
    <mergeCell ref="J50:R50"/>
    <mergeCell ref="S50:V50"/>
    <mergeCell ref="W50:AI50"/>
    <mergeCell ref="AJ50:AO50"/>
    <mergeCell ref="AP50:AU50"/>
    <mergeCell ref="AV48:BA48"/>
    <mergeCell ref="BB48:BH48"/>
    <mergeCell ref="C49:I49"/>
    <mergeCell ref="J49:R49"/>
    <mergeCell ref="S49:V49"/>
    <mergeCell ref="W49:AI49"/>
    <mergeCell ref="AJ49:AO49"/>
    <mergeCell ref="AP49:AU49"/>
    <mergeCell ref="AV49:BA49"/>
    <mergeCell ref="BB49:BH49"/>
    <mergeCell ref="C48:I48"/>
    <mergeCell ref="J48:R48"/>
    <mergeCell ref="S48:V48"/>
    <mergeCell ref="W48:AI48"/>
    <mergeCell ref="AJ48:AO48"/>
    <mergeCell ref="AP48:AU48"/>
    <mergeCell ref="AV46:BA46"/>
    <mergeCell ref="BB46:BH46"/>
    <mergeCell ref="C47:I47"/>
    <mergeCell ref="J47:R47"/>
    <mergeCell ref="S47:V47"/>
    <mergeCell ref="W47:AI47"/>
    <mergeCell ref="AJ47:AO47"/>
    <mergeCell ref="AP47:AU47"/>
    <mergeCell ref="AV47:BA47"/>
    <mergeCell ref="BB47:BH47"/>
    <mergeCell ref="C46:I46"/>
    <mergeCell ref="J46:R46"/>
    <mergeCell ref="S46:V46"/>
    <mergeCell ref="W46:AI46"/>
    <mergeCell ref="AJ46:AO46"/>
    <mergeCell ref="AP46:AU46"/>
    <mergeCell ref="AV44:BA44"/>
    <mergeCell ref="BB44:BH44"/>
    <mergeCell ref="C45:I45"/>
    <mergeCell ref="J45:R45"/>
    <mergeCell ref="S45:V45"/>
    <mergeCell ref="W45:AI45"/>
    <mergeCell ref="AJ45:AO45"/>
    <mergeCell ref="AP45:AU45"/>
    <mergeCell ref="AV45:BA45"/>
    <mergeCell ref="BB45:BH45"/>
    <mergeCell ref="C44:I44"/>
    <mergeCell ref="J44:R44"/>
    <mergeCell ref="S44:V44"/>
    <mergeCell ref="W44:AI44"/>
    <mergeCell ref="AJ44:AO44"/>
    <mergeCell ref="AP44:AU44"/>
    <mergeCell ref="AV42:BA42"/>
    <mergeCell ref="BB42:BH42"/>
    <mergeCell ref="C43:I43"/>
    <mergeCell ref="J43:R43"/>
    <mergeCell ref="S43:V43"/>
    <mergeCell ref="W43:AI43"/>
    <mergeCell ref="AJ43:AO43"/>
    <mergeCell ref="AP43:AU43"/>
    <mergeCell ref="AV43:BA43"/>
    <mergeCell ref="BB43:BH43"/>
    <mergeCell ref="C42:I42"/>
    <mergeCell ref="J42:R42"/>
    <mergeCell ref="S42:V42"/>
    <mergeCell ref="W42:AI42"/>
    <mergeCell ref="AJ42:AO42"/>
    <mergeCell ref="AP42:AU42"/>
    <mergeCell ref="AV40:BA40"/>
    <mergeCell ref="BB40:BH40"/>
    <mergeCell ref="C41:I41"/>
    <mergeCell ref="J41:R41"/>
    <mergeCell ref="S41:V41"/>
    <mergeCell ref="W41:AI41"/>
    <mergeCell ref="AJ41:AO41"/>
    <mergeCell ref="AP41:AU41"/>
    <mergeCell ref="AV41:BA41"/>
    <mergeCell ref="BB41:BH41"/>
    <mergeCell ref="C40:I40"/>
    <mergeCell ref="J40:R40"/>
    <mergeCell ref="S40:V40"/>
    <mergeCell ref="W40:AI40"/>
    <mergeCell ref="AJ40:AO40"/>
    <mergeCell ref="AP40:AU40"/>
    <mergeCell ref="AV38:BA38"/>
    <mergeCell ref="BB38:BH38"/>
    <mergeCell ref="C39:I39"/>
    <mergeCell ref="J39:R39"/>
    <mergeCell ref="S39:V39"/>
    <mergeCell ref="W39:AI39"/>
    <mergeCell ref="AJ39:AO39"/>
    <mergeCell ref="AP39:AU39"/>
    <mergeCell ref="AV39:BA39"/>
    <mergeCell ref="BB39:BH39"/>
    <mergeCell ref="C38:I38"/>
    <mergeCell ref="J38:R38"/>
    <mergeCell ref="S38:V38"/>
    <mergeCell ref="W38:AI38"/>
    <mergeCell ref="AJ38:AO38"/>
    <mergeCell ref="AP38:AU38"/>
    <mergeCell ref="AV36:BA36"/>
    <mergeCell ref="BB36:BH36"/>
    <mergeCell ref="C37:I37"/>
    <mergeCell ref="J37:R37"/>
    <mergeCell ref="S37:V37"/>
    <mergeCell ref="W37:AI37"/>
    <mergeCell ref="AJ37:AO37"/>
    <mergeCell ref="AP37:AU37"/>
    <mergeCell ref="AV37:BA37"/>
    <mergeCell ref="BB37:BH37"/>
    <mergeCell ref="C36:I36"/>
    <mergeCell ref="J36:R36"/>
    <mergeCell ref="S36:V36"/>
    <mergeCell ref="W36:AI36"/>
    <mergeCell ref="AJ36:AO36"/>
    <mergeCell ref="AP36:AU36"/>
    <mergeCell ref="AV34:BA34"/>
    <mergeCell ref="BB34:BH34"/>
    <mergeCell ref="C35:I35"/>
    <mergeCell ref="J35:R35"/>
    <mergeCell ref="S35:V35"/>
    <mergeCell ref="W35:AI35"/>
    <mergeCell ref="AJ35:AO35"/>
    <mergeCell ref="AP35:AU35"/>
    <mergeCell ref="AV35:BA35"/>
    <mergeCell ref="BB35:BH35"/>
    <mergeCell ref="C34:I34"/>
    <mergeCell ref="J34:R34"/>
    <mergeCell ref="S34:V34"/>
    <mergeCell ref="W34:AI34"/>
    <mergeCell ref="AJ34:AO34"/>
    <mergeCell ref="AP34:AU34"/>
    <mergeCell ref="AV32:BA32"/>
    <mergeCell ref="BB32:BH32"/>
    <mergeCell ref="C33:I33"/>
    <mergeCell ref="J33:R33"/>
    <mergeCell ref="S33:V33"/>
    <mergeCell ref="W33:AI33"/>
    <mergeCell ref="AJ33:AO33"/>
    <mergeCell ref="AP33:AU33"/>
    <mergeCell ref="AV33:BA33"/>
    <mergeCell ref="BB33:BH33"/>
    <mergeCell ref="C32:I32"/>
    <mergeCell ref="J32:R32"/>
    <mergeCell ref="S32:V32"/>
    <mergeCell ref="W32:AI32"/>
    <mergeCell ref="AJ32:AO32"/>
    <mergeCell ref="AP32:AU32"/>
    <mergeCell ref="BB30:BH30"/>
    <mergeCell ref="C31:I31"/>
    <mergeCell ref="J31:R31"/>
    <mergeCell ref="S31:V31"/>
    <mergeCell ref="W31:AI31"/>
    <mergeCell ref="AJ31:AO31"/>
    <mergeCell ref="AP31:AU31"/>
    <mergeCell ref="AV31:BA31"/>
    <mergeCell ref="BB31:BH31"/>
    <mergeCell ref="BB9:BF9"/>
    <mergeCell ref="C28:V29"/>
    <mergeCell ref="W28:BH29"/>
    <mergeCell ref="C30:I30"/>
    <mergeCell ref="J30:R30"/>
    <mergeCell ref="S30:V30"/>
    <mergeCell ref="W30:AI30"/>
    <mergeCell ref="AJ30:AO30"/>
    <mergeCell ref="AP30:AU30"/>
    <mergeCell ref="AV30:BA30"/>
  </mergeCells>
  <hyperlinks>
    <hyperlink ref="Q110" r:id="rId1" xr:uid="{4533BE97-7028-48DD-BFE7-4E379161B60B}"/>
  </hyperlinks>
  <pageMargins left="0.25" right="0.25" top="0.75" bottom="0.75" header="0.3" footer="0.3"/>
  <pageSetup paperSize="9" scale="55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3E0B-4A61-4C9B-BA41-A5A5237C4772}">
  <sheetPr codeName="Sheet10">
    <tabColor rgb="FFEE312F"/>
    <pageSetUpPr fitToPage="1"/>
  </sheetPr>
  <dimension ref="B1:BI80"/>
  <sheetViews>
    <sheetView showGridLines="0" zoomScaleNormal="100" workbookViewId="0">
      <selection activeCell="BV31" sqref="BV31"/>
    </sheetView>
  </sheetViews>
  <sheetFormatPr defaultColWidth="3" defaultRowHeight="14.25"/>
  <cols>
    <col min="1" max="1" width="3" style="1"/>
    <col min="2" max="2" width="5.7109375" style="1" customWidth="1"/>
    <col min="3" max="60" width="2.85546875" style="1" customWidth="1"/>
    <col min="61" max="61" width="5.7109375" style="1" customWidth="1"/>
    <col min="62" max="65" width="3" style="1"/>
    <col min="66" max="66" width="4" style="1" bestFit="1" customWidth="1"/>
    <col min="67" max="16384" width="3" style="1"/>
  </cols>
  <sheetData>
    <row r="1" spans="2:61" ht="15" thickBot="1"/>
    <row r="2" spans="2:61" ht="16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</row>
    <row r="3" spans="2:61" ht="16.5" customHeight="1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7"/>
    </row>
    <row r="4" spans="2:61" ht="16.5" customHeigh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</row>
    <row r="5" spans="2:61" ht="16.5" customHeight="1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1" ht="14.25" customHeight="1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2:61" ht="3" customHeight="1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0"/>
    </row>
    <row r="8" spans="2:61" ht="16.5" customHeight="1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3"/>
    </row>
    <row r="9" spans="2:61" ht="16.5" customHeight="1">
      <c r="B9" s="11"/>
      <c r="C9" s="1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3</v>
      </c>
      <c r="BA9" s="12"/>
      <c r="BB9" s="120">
        <v>46041</v>
      </c>
      <c r="BC9" s="120"/>
      <c r="BD9" s="120"/>
      <c r="BE9" s="120"/>
      <c r="BF9" s="120"/>
      <c r="BG9" s="12"/>
      <c r="BH9" s="121"/>
      <c r="BI9" s="13"/>
    </row>
    <row r="10" spans="2:61" ht="16.5" customHeight="1">
      <c r="B10" s="11"/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3"/>
    </row>
    <row r="11" spans="2:61" ht="16.5" customHeight="1">
      <c r="B11" s="11"/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 ht="16.5" customHeight="1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3"/>
    </row>
    <row r="13" spans="2:61" ht="16.5" customHeight="1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3"/>
    </row>
    <row r="14" spans="2:61" ht="16.5" customHeight="1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</row>
    <row r="15" spans="2:61" ht="16.5" customHeight="1">
      <c r="B15" s="11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2"/>
      <c r="BA15" s="12"/>
      <c r="BB15" s="12"/>
      <c r="BC15" s="12"/>
      <c r="BD15" s="12"/>
      <c r="BE15" s="12"/>
      <c r="BF15" s="12"/>
      <c r="BG15" s="12"/>
      <c r="BH15" s="12"/>
      <c r="BI15" s="13"/>
    </row>
    <row r="16" spans="2:61" ht="16.5" customHeight="1"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3"/>
    </row>
    <row r="17" spans="2:61" ht="16.5" customHeight="1">
      <c r="B17" s="1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</row>
    <row r="18" spans="2:61" ht="16.5" customHeight="1">
      <c r="B18" s="11"/>
      <c r="C18" s="18" t="str">
        <f>('1. Intro'!$C$19)</f>
        <v>RATE AGREEMENT / SERVICE CONTRACT: AS OUTLINED BY ROUTE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</row>
    <row r="19" spans="2:61" s="25" customFormat="1" ht="16.5" customHeight="1">
      <c r="B19" s="17"/>
      <c r="C19" s="18" t="str">
        <f>('1. Intro'!$C$20)</f>
        <v>RATE VALIDITY: AS PER RDA DATE 01.02.2026 - 30.04.2026</v>
      </c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2"/>
      <c r="Y19" s="82"/>
      <c r="Z19" s="82"/>
      <c r="AA19" s="83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19"/>
      <c r="AP19" s="12"/>
      <c r="AQ19" s="19"/>
      <c r="AR19" s="20"/>
      <c r="AS19" s="21" t="str">
        <f>IFERROR(" ",'1. Intro'!AS19)</f>
        <v xml:space="preserve"> 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23"/>
      <c r="BD19" s="23"/>
      <c r="BE19" s="23"/>
      <c r="BF19" s="23"/>
      <c r="BG19" s="23"/>
      <c r="BH19" s="23"/>
      <c r="BI19" s="24"/>
    </row>
    <row r="20" spans="2:61" s="25" customFormat="1" ht="16.5" customHeight="1">
      <c r="B20" s="17"/>
      <c r="C20" s="18" t="str">
        <f>('1. Intro'!$C$21)</f>
        <v xml:space="preserve">RATE AND SURCHARGES APPLICATION: AS PER RATING DATE (RDA) 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23"/>
      <c r="AP20" s="23"/>
      <c r="AQ20" s="23"/>
      <c r="AR20" s="23"/>
      <c r="AS20" s="21" t="str">
        <f>IFERROR(" ",'1. Intro'!AS20)</f>
        <v xml:space="preserve"> 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19"/>
      <c r="BD20" s="19"/>
      <c r="BE20" s="19"/>
      <c r="BF20" s="19"/>
      <c r="BG20" s="19"/>
      <c r="BH20" s="19"/>
      <c r="BI20" s="24"/>
    </row>
    <row r="21" spans="2:61" s="29" customFormat="1" ht="16.5" customHeight="1">
      <c r="B21" s="26"/>
      <c r="C21" s="18" t="s">
        <v>9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27"/>
      <c r="AP21" s="27"/>
      <c r="AQ21" s="27"/>
      <c r="AR21" s="27"/>
      <c r="AS21" s="21"/>
      <c r="AT21" s="27"/>
      <c r="AU21" s="27"/>
      <c r="AV21" s="27"/>
      <c r="AW21" s="27"/>
      <c r="AX21" s="27"/>
      <c r="AY21" s="27"/>
      <c r="AZ21" s="27"/>
      <c r="BA21" s="27"/>
      <c r="BB21" s="27"/>
      <c r="BC21" s="23"/>
      <c r="BD21" s="23"/>
      <c r="BE21" s="23"/>
      <c r="BF21" s="23"/>
      <c r="BG21" s="23"/>
      <c r="BH21" s="23"/>
      <c r="BI21" s="28"/>
    </row>
    <row r="22" spans="2:61" s="29" customFormat="1" ht="16.5" customHeight="1">
      <c r="B22" s="26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27"/>
      <c r="AP22" s="27"/>
      <c r="AQ22" s="27"/>
      <c r="AR22" s="27"/>
      <c r="AS22" s="21" t="str">
        <f>IFERROR(" ",'1. Intro'!AS22)</f>
        <v xml:space="preserve"> </v>
      </c>
      <c r="AT22" s="27"/>
      <c r="AU22" s="27"/>
      <c r="AV22" s="27"/>
      <c r="AW22" s="27"/>
      <c r="AX22" s="27"/>
      <c r="AY22" s="27"/>
      <c r="AZ22" s="27"/>
      <c r="BA22" s="27"/>
      <c r="BB22" s="27"/>
      <c r="BC22" s="23"/>
      <c r="BD22" s="23"/>
      <c r="BE22" s="23"/>
      <c r="BF22" s="23"/>
      <c r="BG22" s="23"/>
      <c r="BH22" s="23"/>
      <c r="BI22" s="28"/>
    </row>
    <row r="23" spans="2:61" s="25" customFormat="1" ht="16.5" customHeight="1">
      <c r="B23" s="17"/>
      <c r="C23" s="23"/>
      <c r="D23" s="269"/>
      <c r="E23" s="269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24"/>
    </row>
    <row r="24" spans="2:61" s="25" customFormat="1" ht="16.5" customHeight="1">
      <c r="B24" s="17"/>
      <c r="C24" s="124" t="s">
        <v>368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80" t="s">
        <v>369</v>
      </c>
      <c r="V24" s="181"/>
      <c r="W24" s="181"/>
      <c r="X24" s="181"/>
      <c r="Y24" s="181"/>
      <c r="Z24" s="181"/>
      <c r="AA24" s="182"/>
      <c r="AB24" s="180" t="s">
        <v>215</v>
      </c>
      <c r="AC24" s="181"/>
      <c r="AD24" s="182"/>
      <c r="AE24" s="124" t="s">
        <v>370</v>
      </c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24"/>
    </row>
    <row r="25" spans="2:61" s="25" customFormat="1" ht="16.5" customHeight="1">
      <c r="B25" s="17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83"/>
      <c r="V25" s="184"/>
      <c r="W25" s="184"/>
      <c r="X25" s="184"/>
      <c r="Y25" s="184"/>
      <c r="Z25" s="184"/>
      <c r="AA25" s="185"/>
      <c r="AB25" s="183"/>
      <c r="AC25" s="184"/>
      <c r="AD25" s="185"/>
      <c r="AE25" s="124" t="s">
        <v>371</v>
      </c>
      <c r="AF25" s="124"/>
      <c r="AG25" s="124"/>
      <c r="AH25" s="124"/>
      <c r="AI25" s="124"/>
      <c r="AJ25" s="124"/>
      <c r="AK25" s="124"/>
      <c r="AL25" s="124"/>
      <c r="AM25" s="124"/>
      <c r="AN25" s="124"/>
      <c r="AO25" s="124" t="s">
        <v>372</v>
      </c>
      <c r="AP25" s="124"/>
      <c r="AQ25" s="124"/>
      <c r="AR25" s="124"/>
      <c r="AS25" s="124"/>
      <c r="AT25" s="124"/>
      <c r="AU25" s="124"/>
      <c r="AV25" s="124"/>
      <c r="AW25" s="124"/>
      <c r="AX25" s="124"/>
      <c r="AY25" s="124" t="s">
        <v>373</v>
      </c>
      <c r="AZ25" s="124"/>
      <c r="BA25" s="124"/>
      <c r="BB25" s="124"/>
      <c r="BC25" s="124"/>
      <c r="BD25" s="124"/>
      <c r="BE25" s="124"/>
      <c r="BF25" s="124"/>
      <c r="BG25" s="124"/>
      <c r="BH25" s="124"/>
      <c r="BI25" s="24"/>
    </row>
    <row r="26" spans="2:61" s="25" customFormat="1" ht="16.5" customHeight="1">
      <c r="B26" s="17"/>
      <c r="C26" s="136" t="s">
        <v>374</v>
      </c>
      <c r="D26" s="136"/>
      <c r="E26" s="136"/>
      <c r="F26" s="136"/>
      <c r="G26" s="136"/>
      <c r="H26" s="136" t="s">
        <v>375</v>
      </c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89" t="s">
        <v>376</v>
      </c>
      <c r="V26" s="190"/>
      <c r="W26" s="190"/>
      <c r="X26" s="190"/>
      <c r="Y26" s="190"/>
      <c r="Z26" s="190"/>
      <c r="AA26" s="191"/>
      <c r="AB26" s="189" t="s">
        <v>232</v>
      </c>
      <c r="AC26" s="190"/>
      <c r="AD26" s="191"/>
      <c r="AE26" s="270">
        <v>50</v>
      </c>
      <c r="AF26" s="270"/>
      <c r="AG26" s="270"/>
      <c r="AH26" s="270"/>
      <c r="AI26" s="270"/>
      <c r="AJ26" s="270"/>
      <c r="AK26" s="270"/>
      <c r="AL26" s="270"/>
      <c r="AM26" s="270"/>
      <c r="AN26" s="270"/>
      <c r="AO26" s="270">
        <v>100</v>
      </c>
      <c r="AP26" s="270"/>
      <c r="AQ26" s="270"/>
      <c r="AR26" s="270"/>
      <c r="AS26" s="270"/>
      <c r="AT26" s="270"/>
      <c r="AU26" s="270"/>
      <c r="AV26" s="270"/>
      <c r="AW26" s="270"/>
      <c r="AX26" s="270"/>
      <c r="AY26" s="270">
        <v>100</v>
      </c>
      <c r="AZ26" s="270"/>
      <c r="BA26" s="270"/>
      <c r="BB26" s="270"/>
      <c r="BC26" s="270"/>
      <c r="BD26" s="270"/>
      <c r="BE26" s="270"/>
      <c r="BF26" s="270"/>
      <c r="BG26" s="270"/>
      <c r="BH26" s="270"/>
      <c r="BI26" s="24"/>
    </row>
    <row r="27" spans="2:61" s="25" customFormat="1" ht="16.5" customHeight="1">
      <c r="B27" s="17"/>
      <c r="C27" s="140" t="s">
        <v>377</v>
      </c>
      <c r="D27" s="140"/>
      <c r="E27" s="140"/>
      <c r="F27" s="140"/>
      <c r="G27" s="140"/>
      <c r="H27" s="140" t="s">
        <v>378</v>
      </c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69" t="s">
        <v>379</v>
      </c>
      <c r="V27" s="170"/>
      <c r="W27" s="170"/>
      <c r="X27" s="170"/>
      <c r="Y27" s="170"/>
      <c r="Z27" s="170"/>
      <c r="AA27" s="171"/>
      <c r="AB27" s="169" t="s">
        <v>232</v>
      </c>
      <c r="AC27" s="170"/>
      <c r="AD27" s="171"/>
      <c r="AE27" s="271">
        <v>100</v>
      </c>
      <c r="AF27" s="271"/>
      <c r="AG27" s="271"/>
      <c r="AH27" s="271"/>
      <c r="AI27" s="271"/>
      <c r="AJ27" s="271"/>
      <c r="AK27" s="271"/>
      <c r="AL27" s="271"/>
      <c r="AM27" s="271"/>
      <c r="AN27" s="271"/>
      <c r="AO27" s="271">
        <v>100</v>
      </c>
      <c r="AP27" s="271"/>
      <c r="AQ27" s="271"/>
      <c r="AR27" s="271"/>
      <c r="AS27" s="271"/>
      <c r="AT27" s="271"/>
      <c r="AU27" s="271"/>
      <c r="AV27" s="271"/>
      <c r="AW27" s="271"/>
      <c r="AX27" s="271"/>
      <c r="AY27" s="271">
        <v>100</v>
      </c>
      <c r="AZ27" s="271"/>
      <c r="BA27" s="271"/>
      <c r="BB27" s="271"/>
      <c r="BC27" s="271"/>
      <c r="BD27" s="271"/>
      <c r="BE27" s="271"/>
      <c r="BF27" s="271"/>
      <c r="BG27" s="271"/>
      <c r="BH27" s="271"/>
      <c r="BI27" s="24"/>
    </row>
    <row r="28" spans="2:61" s="25" customFormat="1" ht="16.5" customHeight="1">
      <c r="B28" s="17"/>
      <c r="C28" s="136" t="s">
        <v>380</v>
      </c>
      <c r="D28" s="136"/>
      <c r="E28" s="136"/>
      <c r="F28" s="136"/>
      <c r="G28" s="136"/>
      <c r="H28" s="136" t="s">
        <v>381</v>
      </c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89" t="s">
        <v>382</v>
      </c>
      <c r="V28" s="190"/>
      <c r="W28" s="190"/>
      <c r="X28" s="190"/>
      <c r="Y28" s="190"/>
      <c r="Z28" s="190"/>
      <c r="AA28" s="191"/>
      <c r="AB28" s="189" t="s">
        <v>232</v>
      </c>
      <c r="AC28" s="190"/>
      <c r="AD28" s="191"/>
      <c r="AE28" s="270">
        <v>50</v>
      </c>
      <c r="AF28" s="270"/>
      <c r="AG28" s="270"/>
      <c r="AH28" s="270"/>
      <c r="AI28" s="270"/>
      <c r="AJ28" s="270"/>
      <c r="AK28" s="270"/>
      <c r="AL28" s="270"/>
      <c r="AM28" s="270"/>
      <c r="AN28" s="270"/>
      <c r="AO28" s="270">
        <v>100</v>
      </c>
      <c r="AP28" s="270"/>
      <c r="AQ28" s="270"/>
      <c r="AR28" s="270"/>
      <c r="AS28" s="270"/>
      <c r="AT28" s="270"/>
      <c r="AU28" s="270"/>
      <c r="AV28" s="270"/>
      <c r="AW28" s="270"/>
      <c r="AX28" s="270"/>
      <c r="AY28" s="270">
        <v>100</v>
      </c>
      <c r="AZ28" s="270"/>
      <c r="BA28" s="270"/>
      <c r="BB28" s="270"/>
      <c r="BC28" s="270"/>
      <c r="BD28" s="270"/>
      <c r="BE28" s="270"/>
      <c r="BF28" s="270"/>
      <c r="BG28" s="270"/>
      <c r="BH28" s="270"/>
      <c r="BI28" s="24"/>
    </row>
    <row r="29" spans="2:61" s="25" customFormat="1" ht="16.5" customHeight="1">
      <c r="B29" s="17"/>
      <c r="C29" s="140" t="s">
        <v>383</v>
      </c>
      <c r="D29" s="140"/>
      <c r="E29" s="140"/>
      <c r="F29" s="140"/>
      <c r="G29" s="140"/>
      <c r="H29" s="140" t="s">
        <v>384</v>
      </c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69" t="s">
        <v>383</v>
      </c>
      <c r="V29" s="170"/>
      <c r="W29" s="170"/>
      <c r="X29" s="170"/>
      <c r="Y29" s="170"/>
      <c r="Z29" s="170"/>
      <c r="AA29" s="171"/>
      <c r="AB29" s="169" t="s">
        <v>232</v>
      </c>
      <c r="AC29" s="170"/>
      <c r="AD29" s="171"/>
      <c r="AE29" s="271" t="s">
        <v>385</v>
      </c>
      <c r="AF29" s="271"/>
      <c r="AG29" s="271"/>
      <c r="AH29" s="271"/>
      <c r="AI29" s="271"/>
      <c r="AJ29" s="271"/>
      <c r="AK29" s="271"/>
      <c r="AL29" s="271"/>
      <c r="AM29" s="271"/>
      <c r="AN29" s="271"/>
      <c r="AO29" s="271" t="s">
        <v>385</v>
      </c>
      <c r="AP29" s="271"/>
      <c r="AQ29" s="271"/>
      <c r="AR29" s="271"/>
      <c r="AS29" s="271"/>
      <c r="AT29" s="271"/>
      <c r="AU29" s="271"/>
      <c r="AV29" s="271"/>
      <c r="AW29" s="271"/>
      <c r="AX29" s="271"/>
      <c r="AY29" s="271" t="s">
        <v>385</v>
      </c>
      <c r="AZ29" s="271"/>
      <c r="BA29" s="271"/>
      <c r="BB29" s="271"/>
      <c r="BC29" s="271"/>
      <c r="BD29" s="271"/>
      <c r="BE29" s="271"/>
      <c r="BF29" s="271"/>
      <c r="BG29" s="271"/>
      <c r="BH29" s="271"/>
      <c r="BI29" s="24"/>
    </row>
    <row r="30" spans="2:61" s="25" customFormat="1" ht="16.5" customHeight="1">
      <c r="B30" s="17"/>
      <c r="C30" s="136" t="s">
        <v>386</v>
      </c>
      <c r="D30" s="136"/>
      <c r="E30" s="136"/>
      <c r="F30" s="136"/>
      <c r="G30" s="136"/>
      <c r="H30" s="136" t="s">
        <v>387</v>
      </c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89" t="s">
        <v>379</v>
      </c>
      <c r="V30" s="190"/>
      <c r="W30" s="190"/>
      <c r="X30" s="190"/>
      <c r="Y30" s="190"/>
      <c r="Z30" s="190"/>
      <c r="AA30" s="191"/>
      <c r="AB30" s="189" t="s">
        <v>232</v>
      </c>
      <c r="AC30" s="190"/>
      <c r="AD30" s="191"/>
      <c r="AE30" s="270">
        <v>100</v>
      </c>
      <c r="AF30" s="270"/>
      <c r="AG30" s="270"/>
      <c r="AH30" s="270"/>
      <c r="AI30" s="270"/>
      <c r="AJ30" s="270"/>
      <c r="AK30" s="270"/>
      <c r="AL30" s="270"/>
      <c r="AM30" s="270"/>
      <c r="AN30" s="270"/>
      <c r="AO30" s="270">
        <v>100</v>
      </c>
      <c r="AP30" s="270"/>
      <c r="AQ30" s="270"/>
      <c r="AR30" s="270"/>
      <c r="AS30" s="270"/>
      <c r="AT30" s="270"/>
      <c r="AU30" s="270"/>
      <c r="AV30" s="270"/>
      <c r="AW30" s="270"/>
      <c r="AX30" s="270"/>
      <c r="AY30" s="270">
        <v>100</v>
      </c>
      <c r="AZ30" s="270"/>
      <c r="BA30" s="270"/>
      <c r="BB30" s="270"/>
      <c r="BC30" s="270"/>
      <c r="BD30" s="270"/>
      <c r="BE30" s="270"/>
      <c r="BF30" s="270"/>
      <c r="BG30" s="270"/>
      <c r="BH30" s="270"/>
      <c r="BI30" s="24"/>
    </row>
    <row r="31" spans="2:61" s="25" customFormat="1" ht="16.5" customHeight="1">
      <c r="B31" s="17"/>
      <c r="C31" s="146" t="s">
        <v>388</v>
      </c>
      <c r="D31" s="146"/>
      <c r="E31" s="146"/>
      <c r="F31" s="146"/>
      <c r="G31" s="146"/>
      <c r="H31" s="146" t="s">
        <v>389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272" t="s">
        <v>379</v>
      </c>
      <c r="V31" s="273"/>
      <c r="W31" s="273"/>
      <c r="X31" s="273"/>
      <c r="Y31" s="273"/>
      <c r="Z31" s="273"/>
      <c r="AA31" s="274"/>
      <c r="AB31" s="272" t="s">
        <v>232</v>
      </c>
      <c r="AC31" s="273"/>
      <c r="AD31" s="274"/>
      <c r="AE31" s="275">
        <v>50</v>
      </c>
      <c r="AF31" s="275"/>
      <c r="AG31" s="275"/>
      <c r="AH31" s="275"/>
      <c r="AI31" s="275"/>
      <c r="AJ31" s="275"/>
      <c r="AK31" s="275"/>
      <c r="AL31" s="275"/>
      <c r="AM31" s="275"/>
      <c r="AN31" s="275"/>
      <c r="AO31" s="275">
        <v>50</v>
      </c>
      <c r="AP31" s="275"/>
      <c r="AQ31" s="275"/>
      <c r="AR31" s="275"/>
      <c r="AS31" s="275"/>
      <c r="AT31" s="275"/>
      <c r="AU31" s="275"/>
      <c r="AV31" s="275"/>
      <c r="AW31" s="275"/>
      <c r="AX31" s="275"/>
      <c r="AY31" s="275">
        <v>50</v>
      </c>
      <c r="AZ31" s="275"/>
      <c r="BA31" s="275"/>
      <c r="BB31" s="275"/>
      <c r="BC31" s="275"/>
      <c r="BD31" s="275"/>
      <c r="BE31" s="275"/>
      <c r="BF31" s="275"/>
      <c r="BG31" s="275"/>
      <c r="BH31" s="275"/>
      <c r="BI31" s="24"/>
    </row>
    <row r="32" spans="2:61" s="25" customFormat="1" ht="16.5" customHeight="1">
      <c r="B32" s="17"/>
      <c r="C32" s="136" t="s">
        <v>390</v>
      </c>
      <c r="D32" s="136"/>
      <c r="E32" s="136"/>
      <c r="F32" s="136"/>
      <c r="G32" s="136"/>
      <c r="H32" s="136" t="s">
        <v>391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89" t="s">
        <v>379</v>
      </c>
      <c r="V32" s="190"/>
      <c r="W32" s="190"/>
      <c r="X32" s="190"/>
      <c r="Y32" s="190"/>
      <c r="Z32" s="190"/>
      <c r="AA32" s="191"/>
      <c r="AB32" s="189" t="s">
        <v>232</v>
      </c>
      <c r="AC32" s="190"/>
      <c r="AD32" s="191"/>
      <c r="AE32" s="270">
        <v>50</v>
      </c>
      <c r="AF32" s="270"/>
      <c r="AG32" s="270"/>
      <c r="AH32" s="270"/>
      <c r="AI32" s="270"/>
      <c r="AJ32" s="270"/>
      <c r="AK32" s="270"/>
      <c r="AL32" s="270"/>
      <c r="AM32" s="270"/>
      <c r="AN32" s="270"/>
      <c r="AO32" s="270" t="s">
        <v>385</v>
      </c>
      <c r="AP32" s="270"/>
      <c r="AQ32" s="270"/>
      <c r="AR32" s="270"/>
      <c r="AS32" s="270"/>
      <c r="AT32" s="270"/>
      <c r="AU32" s="270"/>
      <c r="AV32" s="270"/>
      <c r="AW32" s="270"/>
      <c r="AX32" s="270"/>
      <c r="AY32" s="270" t="s">
        <v>385</v>
      </c>
      <c r="AZ32" s="270"/>
      <c r="BA32" s="270"/>
      <c r="BB32" s="270"/>
      <c r="BC32" s="270"/>
      <c r="BD32" s="270"/>
      <c r="BE32" s="270"/>
      <c r="BF32" s="270"/>
      <c r="BG32" s="270"/>
      <c r="BH32" s="270"/>
      <c r="BI32" s="24"/>
    </row>
    <row r="33" spans="2:61" s="25" customFormat="1" ht="16.5" customHeight="1">
      <c r="B33" s="17"/>
      <c r="C33" s="140" t="s">
        <v>392</v>
      </c>
      <c r="D33" s="140"/>
      <c r="E33" s="140"/>
      <c r="F33" s="140"/>
      <c r="G33" s="140"/>
      <c r="H33" s="140" t="s">
        <v>393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69" t="s">
        <v>379</v>
      </c>
      <c r="V33" s="170"/>
      <c r="W33" s="170"/>
      <c r="X33" s="170"/>
      <c r="Y33" s="170"/>
      <c r="Z33" s="170"/>
      <c r="AA33" s="171"/>
      <c r="AB33" s="169" t="s">
        <v>232</v>
      </c>
      <c r="AC33" s="170"/>
      <c r="AD33" s="171"/>
      <c r="AE33" s="271">
        <v>0</v>
      </c>
      <c r="AF33" s="271"/>
      <c r="AG33" s="271"/>
      <c r="AH33" s="271"/>
      <c r="AI33" s="271"/>
      <c r="AJ33" s="271"/>
      <c r="AK33" s="271"/>
      <c r="AL33" s="271"/>
      <c r="AM33" s="271"/>
      <c r="AN33" s="271"/>
      <c r="AO33" s="271">
        <v>0</v>
      </c>
      <c r="AP33" s="271"/>
      <c r="AQ33" s="271"/>
      <c r="AR33" s="271"/>
      <c r="AS33" s="271"/>
      <c r="AT33" s="271"/>
      <c r="AU33" s="271"/>
      <c r="AV33" s="271"/>
      <c r="AW33" s="271"/>
      <c r="AX33" s="271"/>
      <c r="AY33" s="271">
        <v>0</v>
      </c>
      <c r="AZ33" s="271"/>
      <c r="BA33" s="271"/>
      <c r="BB33" s="271"/>
      <c r="BC33" s="271"/>
      <c r="BD33" s="271"/>
      <c r="BE33" s="271"/>
      <c r="BF33" s="271"/>
      <c r="BG33" s="271"/>
      <c r="BH33" s="271"/>
      <c r="BI33" s="24"/>
    </row>
    <row r="34" spans="2:61" s="25" customFormat="1" ht="16.5" customHeight="1">
      <c r="B34" s="17"/>
      <c r="C34" s="276" t="s">
        <v>379</v>
      </c>
      <c r="D34" s="276"/>
      <c r="E34" s="276"/>
      <c r="F34" s="276"/>
      <c r="G34" s="276"/>
      <c r="H34" s="276" t="s">
        <v>394</v>
      </c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7" t="s">
        <v>379</v>
      </c>
      <c r="V34" s="278"/>
      <c r="W34" s="278"/>
      <c r="X34" s="278"/>
      <c r="Y34" s="278"/>
      <c r="Z34" s="278"/>
      <c r="AA34" s="279"/>
      <c r="AB34" s="277" t="s">
        <v>232</v>
      </c>
      <c r="AC34" s="278"/>
      <c r="AD34" s="279"/>
      <c r="AE34" s="280">
        <v>50</v>
      </c>
      <c r="AF34" s="280"/>
      <c r="AG34" s="280"/>
      <c r="AH34" s="280"/>
      <c r="AI34" s="280"/>
      <c r="AJ34" s="280"/>
      <c r="AK34" s="280"/>
      <c r="AL34" s="280"/>
      <c r="AM34" s="280"/>
      <c r="AN34" s="280"/>
      <c r="AO34" s="280">
        <v>50</v>
      </c>
      <c r="AP34" s="280"/>
      <c r="AQ34" s="280"/>
      <c r="AR34" s="280"/>
      <c r="AS34" s="280"/>
      <c r="AT34" s="280"/>
      <c r="AU34" s="280"/>
      <c r="AV34" s="280"/>
      <c r="AW34" s="280"/>
      <c r="AX34" s="280"/>
      <c r="AY34" s="280">
        <v>50</v>
      </c>
      <c r="AZ34" s="280"/>
      <c r="BA34" s="280"/>
      <c r="BB34" s="280"/>
      <c r="BC34" s="280"/>
      <c r="BD34" s="280"/>
      <c r="BE34" s="280"/>
      <c r="BF34" s="280"/>
      <c r="BG34" s="280"/>
      <c r="BH34" s="280"/>
      <c r="BI34" s="24"/>
    </row>
    <row r="35" spans="2:61" s="25" customFormat="1" ht="16.5" customHeight="1">
      <c r="B35" s="17"/>
      <c r="C35" s="140" t="s">
        <v>395</v>
      </c>
      <c r="D35" s="140"/>
      <c r="E35" s="140"/>
      <c r="F35" s="140"/>
      <c r="G35" s="140"/>
      <c r="H35" s="140" t="s">
        <v>396</v>
      </c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69" t="s">
        <v>395</v>
      </c>
      <c r="V35" s="170"/>
      <c r="W35" s="170"/>
      <c r="X35" s="170"/>
      <c r="Y35" s="170"/>
      <c r="Z35" s="170"/>
      <c r="AA35" s="171"/>
      <c r="AB35" s="169" t="s">
        <v>232</v>
      </c>
      <c r="AC35" s="170"/>
      <c r="AD35" s="171"/>
      <c r="AE35" s="271">
        <v>50</v>
      </c>
      <c r="AF35" s="271"/>
      <c r="AG35" s="271"/>
      <c r="AH35" s="271"/>
      <c r="AI35" s="271"/>
      <c r="AJ35" s="271"/>
      <c r="AK35" s="271"/>
      <c r="AL35" s="271"/>
      <c r="AM35" s="271"/>
      <c r="AN35" s="271"/>
      <c r="AO35" s="271">
        <v>50</v>
      </c>
      <c r="AP35" s="271"/>
      <c r="AQ35" s="271"/>
      <c r="AR35" s="271"/>
      <c r="AS35" s="271"/>
      <c r="AT35" s="271"/>
      <c r="AU35" s="271"/>
      <c r="AV35" s="271"/>
      <c r="AW35" s="271"/>
      <c r="AX35" s="271"/>
      <c r="AY35" s="271">
        <v>50</v>
      </c>
      <c r="AZ35" s="271"/>
      <c r="BA35" s="271"/>
      <c r="BB35" s="271"/>
      <c r="BC35" s="271"/>
      <c r="BD35" s="271"/>
      <c r="BE35" s="271"/>
      <c r="BF35" s="271"/>
      <c r="BG35" s="271"/>
      <c r="BH35" s="271"/>
      <c r="BI35" s="24"/>
    </row>
    <row r="36" spans="2:61" s="25" customFormat="1" ht="16.5" customHeight="1">
      <c r="B36" s="17"/>
      <c r="C36" s="136" t="s">
        <v>382</v>
      </c>
      <c r="D36" s="136"/>
      <c r="E36" s="136"/>
      <c r="F36" s="136"/>
      <c r="G36" s="136"/>
      <c r="H36" s="136" t="s">
        <v>397</v>
      </c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89" t="s">
        <v>382</v>
      </c>
      <c r="V36" s="190"/>
      <c r="W36" s="190"/>
      <c r="X36" s="190"/>
      <c r="Y36" s="190"/>
      <c r="Z36" s="190"/>
      <c r="AA36" s="191"/>
      <c r="AB36" s="189" t="s">
        <v>232</v>
      </c>
      <c r="AC36" s="190"/>
      <c r="AD36" s="191"/>
      <c r="AE36" s="270" t="s">
        <v>385</v>
      </c>
      <c r="AF36" s="270"/>
      <c r="AG36" s="270"/>
      <c r="AH36" s="270"/>
      <c r="AI36" s="270"/>
      <c r="AJ36" s="270"/>
      <c r="AK36" s="270"/>
      <c r="AL36" s="270"/>
      <c r="AM36" s="270"/>
      <c r="AN36" s="270"/>
      <c r="AO36" s="270" t="s">
        <v>385</v>
      </c>
      <c r="AP36" s="270"/>
      <c r="AQ36" s="270"/>
      <c r="AR36" s="270"/>
      <c r="AS36" s="270"/>
      <c r="AT36" s="270"/>
      <c r="AU36" s="270"/>
      <c r="AV36" s="270"/>
      <c r="AW36" s="270"/>
      <c r="AX36" s="270"/>
      <c r="AY36" s="270" t="s">
        <v>385</v>
      </c>
      <c r="AZ36" s="270"/>
      <c r="BA36" s="270"/>
      <c r="BB36" s="270"/>
      <c r="BC36" s="270"/>
      <c r="BD36" s="270"/>
      <c r="BE36" s="270"/>
      <c r="BF36" s="270"/>
      <c r="BG36" s="270"/>
      <c r="BH36" s="270"/>
      <c r="BI36" s="24"/>
    </row>
    <row r="37" spans="2:61" s="25" customFormat="1" ht="16.5" customHeight="1">
      <c r="B37" s="17"/>
      <c r="C37" s="146" t="s">
        <v>398</v>
      </c>
      <c r="D37" s="146"/>
      <c r="E37" s="146"/>
      <c r="F37" s="146"/>
      <c r="G37" s="146"/>
      <c r="H37" s="146" t="s">
        <v>399</v>
      </c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272" t="s">
        <v>382</v>
      </c>
      <c r="V37" s="273"/>
      <c r="W37" s="273"/>
      <c r="X37" s="273"/>
      <c r="Y37" s="273"/>
      <c r="Z37" s="273"/>
      <c r="AA37" s="274"/>
      <c r="AB37" s="272" t="s">
        <v>232</v>
      </c>
      <c r="AC37" s="273"/>
      <c r="AD37" s="274"/>
      <c r="AE37" s="275">
        <v>50</v>
      </c>
      <c r="AF37" s="275"/>
      <c r="AG37" s="275"/>
      <c r="AH37" s="275"/>
      <c r="AI37" s="275"/>
      <c r="AJ37" s="275"/>
      <c r="AK37" s="275"/>
      <c r="AL37" s="275"/>
      <c r="AM37" s="275"/>
      <c r="AN37" s="275"/>
      <c r="AO37" s="275">
        <v>0</v>
      </c>
      <c r="AP37" s="275"/>
      <c r="AQ37" s="275"/>
      <c r="AR37" s="275"/>
      <c r="AS37" s="275"/>
      <c r="AT37" s="275"/>
      <c r="AU37" s="275"/>
      <c r="AV37" s="275"/>
      <c r="AW37" s="275"/>
      <c r="AX37" s="275"/>
      <c r="AY37" s="275">
        <v>0</v>
      </c>
      <c r="AZ37" s="275"/>
      <c r="BA37" s="275"/>
      <c r="BB37" s="275"/>
      <c r="BC37" s="275"/>
      <c r="BD37" s="275"/>
      <c r="BE37" s="275"/>
      <c r="BF37" s="275"/>
      <c r="BG37" s="275"/>
      <c r="BH37" s="275"/>
      <c r="BI37" s="24"/>
    </row>
    <row r="38" spans="2:61" s="25" customFormat="1" ht="16.5" customHeight="1">
      <c r="B38" s="17"/>
      <c r="C38" s="136" t="s">
        <v>398</v>
      </c>
      <c r="D38" s="136"/>
      <c r="E38" s="136"/>
      <c r="F38" s="136"/>
      <c r="G38" s="136"/>
      <c r="H38" s="136" t="s">
        <v>400</v>
      </c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89" t="s">
        <v>376</v>
      </c>
      <c r="V38" s="190"/>
      <c r="W38" s="190"/>
      <c r="X38" s="190"/>
      <c r="Y38" s="190"/>
      <c r="Z38" s="190"/>
      <c r="AA38" s="191"/>
      <c r="AB38" s="189" t="s">
        <v>232</v>
      </c>
      <c r="AC38" s="190"/>
      <c r="AD38" s="191"/>
      <c r="AE38" s="270">
        <v>100</v>
      </c>
      <c r="AF38" s="270"/>
      <c r="AG38" s="270"/>
      <c r="AH38" s="270"/>
      <c r="AI38" s="270"/>
      <c r="AJ38" s="270"/>
      <c r="AK38" s="270"/>
      <c r="AL38" s="270"/>
      <c r="AM38" s="270"/>
      <c r="AN38" s="270"/>
      <c r="AO38" s="270">
        <v>100</v>
      </c>
      <c r="AP38" s="270"/>
      <c r="AQ38" s="270"/>
      <c r="AR38" s="270"/>
      <c r="AS38" s="270"/>
      <c r="AT38" s="270"/>
      <c r="AU38" s="270"/>
      <c r="AV38" s="270"/>
      <c r="AW38" s="270"/>
      <c r="AX38" s="270"/>
      <c r="AY38" s="270">
        <v>100</v>
      </c>
      <c r="AZ38" s="270"/>
      <c r="BA38" s="270"/>
      <c r="BB38" s="270"/>
      <c r="BC38" s="270"/>
      <c r="BD38" s="270"/>
      <c r="BE38" s="270"/>
      <c r="BF38" s="270"/>
      <c r="BG38" s="270"/>
      <c r="BH38" s="270"/>
      <c r="BI38" s="24"/>
    </row>
    <row r="39" spans="2:61" s="25" customFormat="1" ht="16.5" customHeight="1">
      <c r="B39" s="17"/>
      <c r="C39" s="140" t="s">
        <v>401</v>
      </c>
      <c r="D39" s="140"/>
      <c r="E39" s="140"/>
      <c r="F39" s="140"/>
      <c r="G39" s="140"/>
      <c r="H39" s="140" t="s">
        <v>402</v>
      </c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69" t="s">
        <v>376</v>
      </c>
      <c r="V39" s="170"/>
      <c r="W39" s="170"/>
      <c r="X39" s="170"/>
      <c r="Y39" s="170"/>
      <c r="Z39" s="170"/>
      <c r="AA39" s="171"/>
      <c r="AB39" s="169" t="s">
        <v>232</v>
      </c>
      <c r="AC39" s="170"/>
      <c r="AD39" s="171"/>
      <c r="AE39" s="271">
        <v>0</v>
      </c>
      <c r="AF39" s="271"/>
      <c r="AG39" s="271"/>
      <c r="AH39" s="271"/>
      <c r="AI39" s="271"/>
      <c r="AJ39" s="271"/>
      <c r="AK39" s="271"/>
      <c r="AL39" s="271"/>
      <c r="AM39" s="271"/>
      <c r="AN39" s="271"/>
      <c r="AO39" s="271">
        <v>100</v>
      </c>
      <c r="AP39" s="271"/>
      <c r="AQ39" s="271"/>
      <c r="AR39" s="271"/>
      <c r="AS39" s="271"/>
      <c r="AT39" s="271"/>
      <c r="AU39" s="271"/>
      <c r="AV39" s="271"/>
      <c r="AW39" s="271"/>
      <c r="AX39" s="271"/>
      <c r="AY39" s="271">
        <v>100</v>
      </c>
      <c r="AZ39" s="271"/>
      <c r="BA39" s="271"/>
      <c r="BB39" s="271"/>
      <c r="BC39" s="271"/>
      <c r="BD39" s="271"/>
      <c r="BE39" s="271"/>
      <c r="BF39" s="271"/>
      <c r="BG39" s="271"/>
      <c r="BH39" s="271"/>
      <c r="BI39" s="24"/>
    </row>
    <row r="40" spans="2:61" s="25" customFormat="1" ht="16.5" customHeight="1">
      <c r="B40" s="17"/>
      <c r="C40" s="136" t="s">
        <v>403</v>
      </c>
      <c r="D40" s="136"/>
      <c r="E40" s="136"/>
      <c r="F40" s="136"/>
      <c r="G40" s="136"/>
      <c r="H40" s="136" t="s">
        <v>404</v>
      </c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89" t="s">
        <v>376</v>
      </c>
      <c r="V40" s="190"/>
      <c r="W40" s="190"/>
      <c r="X40" s="190"/>
      <c r="Y40" s="190"/>
      <c r="Z40" s="190"/>
      <c r="AA40" s="191"/>
      <c r="AB40" s="189" t="s">
        <v>232</v>
      </c>
      <c r="AC40" s="190"/>
      <c r="AD40" s="191"/>
      <c r="AE40" s="270">
        <v>0</v>
      </c>
      <c r="AF40" s="270"/>
      <c r="AG40" s="270"/>
      <c r="AH40" s="270"/>
      <c r="AI40" s="270"/>
      <c r="AJ40" s="270"/>
      <c r="AK40" s="270"/>
      <c r="AL40" s="270"/>
      <c r="AM40" s="270"/>
      <c r="AN40" s="270"/>
      <c r="AO40" s="270">
        <v>0</v>
      </c>
      <c r="AP40" s="270"/>
      <c r="AQ40" s="270"/>
      <c r="AR40" s="270"/>
      <c r="AS40" s="270"/>
      <c r="AT40" s="270"/>
      <c r="AU40" s="270"/>
      <c r="AV40" s="270"/>
      <c r="AW40" s="270"/>
      <c r="AX40" s="270"/>
      <c r="AY40" s="270">
        <v>0</v>
      </c>
      <c r="AZ40" s="270"/>
      <c r="BA40" s="270"/>
      <c r="BB40" s="270"/>
      <c r="BC40" s="270"/>
      <c r="BD40" s="270"/>
      <c r="BE40" s="270"/>
      <c r="BF40" s="270"/>
      <c r="BG40" s="270"/>
      <c r="BH40" s="270"/>
      <c r="BI40" s="24"/>
    </row>
    <row r="41" spans="2:61" s="25" customFormat="1" ht="16.5" customHeight="1">
      <c r="B41" s="17"/>
      <c r="C41" s="140" t="s">
        <v>405</v>
      </c>
      <c r="D41" s="140"/>
      <c r="E41" s="140"/>
      <c r="F41" s="140"/>
      <c r="G41" s="140"/>
      <c r="H41" s="140" t="s">
        <v>406</v>
      </c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69" t="s">
        <v>395</v>
      </c>
      <c r="V41" s="170"/>
      <c r="W41" s="170"/>
      <c r="X41" s="170"/>
      <c r="Y41" s="170"/>
      <c r="Z41" s="170"/>
      <c r="AA41" s="171"/>
      <c r="AB41" s="169" t="s">
        <v>232</v>
      </c>
      <c r="AC41" s="170"/>
      <c r="AD41" s="171"/>
      <c r="AE41" s="271">
        <v>100</v>
      </c>
      <c r="AF41" s="271"/>
      <c r="AG41" s="271"/>
      <c r="AH41" s="271"/>
      <c r="AI41" s="271"/>
      <c r="AJ41" s="271"/>
      <c r="AK41" s="271"/>
      <c r="AL41" s="271"/>
      <c r="AM41" s="271"/>
      <c r="AN41" s="271"/>
      <c r="AO41" s="271">
        <v>100</v>
      </c>
      <c r="AP41" s="271"/>
      <c r="AQ41" s="271"/>
      <c r="AR41" s="271"/>
      <c r="AS41" s="271"/>
      <c r="AT41" s="271"/>
      <c r="AU41" s="271"/>
      <c r="AV41" s="271"/>
      <c r="AW41" s="271"/>
      <c r="AX41" s="271"/>
      <c r="AY41" s="271">
        <v>100</v>
      </c>
      <c r="AZ41" s="271"/>
      <c r="BA41" s="271"/>
      <c r="BB41" s="271"/>
      <c r="BC41" s="271"/>
      <c r="BD41" s="271"/>
      <c r="BE41" s="271"/>
      <c r="BF41" s="271"/>
      <c r="BG41" s="271"/>
      <c r="BH41" s="271"/>
      <c r="BI41" s="24"/>
    </row>
    <row r="42" spans="2:61" s="25" customFormat="1" ht="16.5" customHeight="1">
      <c r="B42" s="17"/>
      <c r="C42" s="136" t="s">
        <v>407</v>
      </c>
      <c r="D42" s="136"/>
      <c r="E42" s="136"/>
      <c r="F42" s="136"/>
      <c r="G42" s="136"/>
      <c r="H42" s="136" t="s">
        <v>408</v>
      </c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89" t="s">
        <v>382</v>
      </c>
      <c r="V42" s="190"/>
      <c r="W42" s="190"/>
      <c r="X42" s="190"/>
      <c r="Y42" s="190"/>
      <c r="Z42" s="190"/>
      <c r="AA42" s="191"/>
      <c r="AB42" s="189" t="s">
        <v>232</v>
      </c>
      <c r="AC42" s="190"/>
      <c r="AD42" s="191"/>
      <c r="AE42" s="270">
        <v>50</v>
      </c>
      <c r="AF42" s="270"/>
      <c r="AG42" s="270"/>
      <c r="AH42" s="270"/>
      <c r="AI42" s="270"/>
      <c r="AJ42" s="270"/>
      <c r="AK42" s="270"/>
      <c r="AL42" s="270"/>
      <c r="AM42" s="270"/>
      <c r="AN42" s="270"/>
      <c r="AO42" s="270">
        <v>100</v>
      </c>
      <c r="AP42" s="270"/>
      <c r="AQ42" s="270"/>
      <c r="AR42" s="270"/>
      <c r="AS42" s="270"/>
      <c r="AT42" s="270"/>
      <c r="AU42" s="270"/>
      <c r="AV42" s="270"/>
      <c r="AW42" s="270"/>
      <c r="AX42" s="270"/>
      <c r="AY42" s="270">
        <v>100</v>
      </c>
      <c r="AZ42" s="270"/>
      <c r="BA42" s="270"/>
      <c r="BB42" s="270"/>
      <c r="BC42" s="270"/>
      <c r="BD42" s="270"/>
      <c r="BE42" s="270"/>
      <c r="BF42" s="270"/>
      <c r="BG42" s="270"/>
      <c r="BH42" s="270"/>
      <c r="BI42" s="24"/>
    </row>
    <row r="43" spans="2:61" s="25" customFormat="1" ht="16.5" customHeight="1">
      <c r="B43" s="17"/>
      <c r="C43" s="140" t="s">
        <v>409</v>
      </c>
      <c r="D43" s="140"/>
      <c r="E43" s="140"/>
      <c r="F43" s="140"/>
      <c r="G43" s="140"/>
      <c r="H43" s="140" t="s">
        <v>410</v>
      </c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69" t="s">
        <v>395</v>
      </c>
      <c r="V43" s="170"/>
      <c r="W43" s="170"/>
      <c r="X43" s="170"/>
      <c r="Y43" s="170"/>
      <c r="Z43" s="170"/>
      <c r="AA43" s="171"/>
      <c r="AB43" s="169" t="s">
        <v>232</v>
      </c>
      <c r="AC43" s="170"/>
      <c r="AD43" s="171"/>
      <c r="AE43" s="271">
        <v>100</v>
      </c>
      <c r="AF43" s="271"/>
      <c r="AG43" s="271"/>
      <c r="AH43" s="271"/>
      <c r="AI43" s="271"/>
      <c r="AJ43" s="271"/>
      <c r="AK43" s="271"/>
      <c r="AL43" s="271"/>
      <c r="AM43" s="271"/>
      <c r="AN43" s="271"/>
      <c r="AO43" s="271">
        <v>100</v>
      </c>
      <c r="AP43" s="271"/>
      <c r="AQ43" s="271"/>
      <c r="AR43" s="271"/>
      <c r="AS43" s="271"/>
      <c r="AT43" s="271"/>
      <c r="AU43" s="271"/>
      <c r="AV43" s="271"/>
      <c r="AW43" s="271"/>
      <c r="AX43" s="271"/>
      <c r="AY43" s="271">
        <v>100</v>
      </c>
      <c r="AZ43" s="271"/>
      <c r="BA43" s="271"/>
      <c r="BB43" s="271"/>
      <c r="BC43" s="271"/>
      <c r="BD43" s="271"/>
      <c r="BE43" s="271"/>
      <c r="BF43" s="271"/>
      <c r="BG43" s="271"/>
      <c r="BH43" s="271"/>
      <c r="BI43" s="24"/>
    </row>
    <row r="44" spans="2:61" s="25" customFormat="1" ht="16.5" customHeight="1">
      <c r="B44" s="17"/>
      <c r="C44" s="136" t="s">
        <v>411</v>
      </c>
      <c r="D44" s="136"/>
      <c r="E44" s="136"/>
      <c r="F44" s="136"/>
      <c r="G44" s="136"/>
      <c r="H44" s="136" t="s">
        <v>412</v>
      </c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89" t="s">
        <v>395</v>
      </c>
      <c r="V44" s="190"/>
      <c r="W44" s="190"/>
      <c r="X44" s="190"/>
      <c r="Y44" s="190"/>
      <c r="Z44" s="190"/>
      <c r="AA44" s="191"/>
      <c r="AB44" s="189" t="s">
        <v>232</v>
      </c>
      <c r="AC44" s="190"/>
      <c r="AD44" s="191"/>
      <c r="AE44" s="270">
        <v>50</v>
      </c>
      <c r="AF44" s="270"/>
      <c r="AG44" s="270"/>
      <c r="AH44" s="270"/>
      <c r="AI44" s="270"/>
      <c r="AJ44" s="270"/>
      <c r="AK44" s="270"/>
      <c r="AL44" s="270"/>
      <c r="AM44" s="270"/>
      <c r="AN44" s="270"/>
      <c r="AO44" s="270">
        <v>100</v>
      </c>
      <c r="AP44" s="270"/>
      <c r="AQ44" s="270"/>
      <c r="AR44" s="270"/>
      <c r="AS44" s="270"/>
      <c r="AT44" s="270"/>
      <c r="AU44" s="270"/>
      <c r="AV44" s="270"/>
      <c r="AW44" s="270"/>
      <c r="AX44" s="270"/>
      <c r="AY44" s="270">
        <v>100</v>
      </c>
      <c r="AZ44" s="270"/>
      <c r="BA44" s="270"/>
      <c r="BB44" s="270"/>
      <c r="BC44" s="270"/>
      <c r="BD44" s="270"/>
      <c r="BE44" s="270"/>
      <c r="BF44" s="270"/>
      <c r="BG44" s="270"/>
      <c r="BH44" s="270"/>
      <c r="BI44" s="24"/>
    </row>
    <row r="45" spans="2:61" s="25" customFormat="1" ht="16.5" customHeight="1">
      <c r="B45" s="17"/>
      <c r="C45" s="140" t="s">
        <v>413</v>
      </c>
      <c r="D45" s="140"/>
      <c r="E45" s="140"/>
      <c r="F45" s="140"/>
      <c r="G45" s="140"/>
      <c r="H45" s="140" t="s">
        <v>414</v>
      </c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69" t="s">
        <v>395</v>
      </c>
      <c r="V45" s="170"/>
      <c r="W45" s="170"/>
      <c r="X45" s="170"/>
      <c r="Y45" s="170"/>
      <c r="Z45" s="170"/>
      <c r="AA45" s="171"/>
      <c r="AB45" s="169" t="s">
        <v>232</v>
      </c>
      <c r="AC45" s="170"/>
      <c r="AD45" s="171"/>
      <c r="AE45" s="271">
        <v>100</v>
      </c>
      <c r="AF45" s="271"/>
      <c r="AG45" s="271"/>
      <c r="AH45" s="271"/>
      <c r="AI45" s="271"/>
      <c r="AJ45" s="271"/>
      <c r="AK45" s="271"/>
      <c r="AL45" s="271"/>
      <c r="AM45" s="271"/>
      <c r="AN45" s="271"/>
      <c r="AO45" s="271">
        <v>100</v>
      </c>
      <c r="AP45" s="271"/>
      <c r="AQ45" s="271"/>
      <c r="AR45" s="271"/>
      <c r="AS45" s="271"/>
      <c r="AT45" s="271"/>
      <c r="AU45" s="271"/>
      <c r="AV45" s="271"/>
      <c r="AW45" s="271"/>
      <c r="AX45" s="271"/>
      <c r="AY45" s="271" t="s">
        <v>415</v>
      </c>
      <c r="AZ45" s="271"/>
      <c r="BA45" s="271"/>
      <c r="BB45" s="271"/>
      <c r="BC45" s="271"/>
      <c r="BD45" s="271"/>
      <c r="BE45" s="271"/>
      <c r="BF45" s="271"/>
      <c r="BG45" s="271"/>
      <c r="BH45" s="271"/>
      <c r="BI45" s="24"/>
    </row>
    <row r="46" spans="2:61" s="25" customFormat="1" ht="16.5" customHeight="1">
      <c r="B46" s="17"/>
      <c r="C46" s="136" t="s">
        <v>376</v>
      </c>
      <c r="D46" s="136"/>
      <c r="E46" s="136"/>
      <c r="F46" s="136"/>
      <c r="G46" s="136"/>
      <c r="H46" s="136" t="s">
        <v>416</v>
      </c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89" t="s">
        <v>376</v>
      </c>
      <c r="V46" s="190"/>
      <c r="W46" s="190"/>
      <c r="X46" s="190"/>
      <c r="Y46" s="190"/>
      <c r="Z46" s="190"/>
      <c r="AA46" s="191"/>
      <c r="AB46" s="189" t="s">
        <v>232</v>
      </c>
      <c r="AC46" s="190"/>
      <c r="AD46" s="191"/>
      <c r="AE46" s="270">
        <v>50</v>
      </c>
      <c r="AF46" s="270"/>
      <c r="AG46" s="270"/>
      <c r="AH46" s="270"/>
      <c r="AI46" s="270"/>
      <c r="AJ46" s="270"/>
      <c r="AK46" s="270"/>
      <c r="AL46" s="270"/>
      <c r="AM46" s="270"/>
      <c r="AN46" s="270"/>
      <c r="AO46" s="270">
        <v>125</v>
      </c>
      <c r="AP46" s="270"/>
      <c r="AQ46" s="270"/>
      <c r="AR46" s="270"/>
      <c r="AS46" s="270"/>
      <c r="AT46" s="270"/>
      <c r="AU46" s="270"/>
      <c r="AV46" s="270"/>
      <c r="AW46" s="270"/>
      <c r="AX46" s="270"/>
      <c r="AY46" s="270">
        <v>125</v>
      </c>
      <c r="AZ46" s="270"/>
      <c r="BA46" s="270"/>
      <c r="BB46" s="270"/>
      <c r="BC46" s="270"/>
      <c r="BD46" s="270"/>
      <c r="BE46" s="270"/>
      <c r="BF46" s="270"/>
      <c r="BG46" s="270"/>
      <c r="BH46" s="270"/>
      <c r="BI46" s="24"/>
    </row>
    <row r="47" spans="2:61" s="25" customFormat="1" ht="16.5" customHeight="1">
      <c r="B47" s="17"/>
      <c r="C47" s="146" t="s">
        <v>417</v>
      </c>
      <c r="D47" s="146"/>
      <c r="E47" s="146"/>
      <c r="F47" s="146"/>
      <c r="G47" s="146"/>
      <c r="H47" s="146" t="s">
        <v>418</v>
      </c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272" t="s">
        <v>379</v>
      </c>
      <c r="V47" s="273"/>
      <c r="W47" s="273"/>
      <c r="X47" s="273"/>
      <c r="Y47" s="273"/>
      <c r="Z47" s="273"/>
      <c r="AA47" s="274"/>
      <c r="AB47" s="272" t="s">
        <v>232</v>
      </c>
      <c r="AC47" s="273"/>
      <c r="AD47" s="274"/>
      <c r="AE47" s="275">
        <v>50</v>
      </c>
      <c r="AF47" s="275"/>
      <c r="AG47" s="275"/>
      <c r="AH47" s="275"/>
      <c r="AI47" s="275"/>
      <c r="AJ47" s="275"/>
      <c r="AK47" s="275"/>
      <c r="AL47" s="275"/>
      <c r="AM47" s="275"/>
      <c r="AN47" s="275"/>
      <c r="AO47" s="275">
        <v>50</v>
      </c>
      <c r="AP47" s="275"/>
      <c r="AQ47" s="275"/>
      <c r="AR47" s="275"/>
      <c r="AS47" s="275"/>
      <c r="AT47" s="275"/>
      <c r="AU47" s="275"/>
      <c r="AV47" s="275"/>
      <c r="AW47" s="275"/>
      <c r="AX47" s="275"/>
      <c r="AY47" s="275">
        <v>50</v>
      </c>
      <c r="AZ47" s="275"/>
      <c r="BA47" s="275"/>
      <c r="BB47" s="275"/>
      <c r="BC47" s="275"/>
      <c r="BD47" s="275"/>
      <c r="BE47" s="275"/>
      <c r="BF47" s="275"/>
      <c r="BG47" s="275"/>
      <c r="BH47" s="275"/>
      <c r="BI47" s="24"/>
    </row>
    <row r="48" spans="2:61" s="25" customFormat="1" ht="16.5" customHeight="1">
      <c r="B48" s="17"/>
      <c r="C48" s="136" t="s">
        <v>419</v>
      </c>
      <c r="D48" s="136"/>
      <c r="E48" s="136"/>
      <c r="F48" s="136"/>
      <c r="G48" s="136"/>
      <c r="H48" s="136" t="s">
        <v>420</v>
      </c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89" t="s">
        <v>376</v>
      </c>
      <c r="V48" s="190"/>
      <c r="W48" s="190"/>
      <c r="X48" s="190"/>
      <c r="Y48" s="190"/>
      <c r="Z48" s="190"/>
      <c r="AA48" s="191"/>
      <c r="AB48" s="189" t="s">
        <v>232</v>
      </c>
      <c r="AC48" s="190"/>
      <c r="AD48" s="191"/>
      <c r="AE48" s="270">
        <v>0</v>
      </c>
      <c r="AF48" s="270"/>
      <c r="AG48" s="270"/>
      <c r="AH48" s="270"/>
      <c r="AI48" s="270"/>
      <c r="AJ48" s="270"/>
      <c r="AK48" s="270"/>
      <c r="AL48" s="270"/>
      <c r="AM48" s="270"/>
      <c r="AN48" s="270"/>
      <c r="AO48" s="270">
        <v>100</v>
      </c>
      <c r="AP48" s="270"/>
      <c r="AQ48" s="270"/>
      <c r="AR48" s="270"/>
      <c r="AS48" s="270"/>
      <c r="AT48" s="270"/>
      <c r="AU48" s="270"/>
      <c r="AV48" s="270"/>
      <c r="AW48" s="270"/>
      <c r="AX48" s="270"/>
      <c r="AY48" s="270">
        <v>100</v>
      </c>
      <c r="AZ48" s="270"/>
      <c r="BA48" s="270"/>
      <c r="BB48" s="270"/>
      <c r="BC48" s="270"/>
      <c r="BD48" s="270"/>
      <c r="BE48" s="270"/>
      <c r="BF48" s="270"/>
      <c r="BG48" s="270"/>
      <c r="BH48" s="270"/>
      <c r="BI48" s="24"/>
    </row>
    <row r="49" spans="2:61" s="25" customFormat="1" ht="16.5" customHeight="1">
      <c r="B49" s="17"/>
      <c r="C49" s="140" t="s">
        <v>421</v>
      </c>
      <c r="D49" s="140"/>
      <c r="E49" s="140"/>
      <c r="F49" s="140"/>
      <c r="G49" s="140"/>
      <c r="H49" s="140" t="s">
        <v>422</v>
      </c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69" t="s">
        <v>376</v>
      </c>
      <c r="V49" s="170"/>
      <c r="W49" s="170"/>
      <c r="X49" s="170"/>
      <c r="Y49" s="170"/>
      <c r="Z49" s="170"/>
      <c r="AA49" s="171"/>
      <c r="AB49" s="169" t="s">
        <v>232</v>
      </c>
      <c r="AC49" s="170"/>
      <c r="AD49" s="171"/>
      <c r="AE49" s="271">
        <v>50</v>
      </c>
      <c r="AF49" s="271"/>
      <c r="AG49" s="271"/>
      <c r="AH49" s="271"/>
      <c r="AI49" s="271"/>
      <c r="AJ49" s="271"/>
      <c r="AK49" s="271"/>
      <c r="AL49" s="271"/>
      <c r="AM49" s="271"/>
      <c r="AN49" s="271"/>
      <c r="AO49" s="271">
        <v>125</v>
      </c>
      <c r="AP49" s="271"/>
      <c r="AQ49" s="271"/>
      <c r="AR49" s="271"/>
      <c r="AS49" s="271"/>
      <c r="AT49" s="271"/>
      <c r="AU49" s="271"/>
      <c r="AV49" s="271"/>
      <c r="AW49" s="271"/>
      <c r="AX49" s="271"/>
      <c r="AY49" s="271">
        <v>125</v>
      </c>
      <c r="AZ49" s="271"/>
      <c r="BA49" s="271"/>
      <c r="BB49" s="271"/>
      <c r="BC49" s="271"/>
      <c r="BD49" s="271"/>
      <c r="BE49" s="271"/>
      <c r="BF49" s="271"/>
      <c r="BG49" s="271"/>
      <c r="BH49" s="271"/>
      <c r="BI49" s="24"/>
    </row>
    <row r="50" spans="2:61" s="25" customFormat="1" ht="16.5" customHeight="1">
      <c r="B50" s="17"/>
      <c r="C50" s="136" t="s">
        <v>423</v>
      </c>
      <c r="D50" s="136"/>
      <c r="E50" s="136"/>
      <c r="F50" s="136"/>
      <c r="G50" s="136"/>
      <c r="H50" s="136" t="s">
        <v>424</v>
      </c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89" t="s">
        <v>376</v>
      </c>
      <c r="V50" s="190"/>
      <c r="W50" s="190"/>
      <c r="X50" s="190"/>
      <c r="Y50" s="190"/>
      <c r="Z50" s="190"/>
      <c r="AA50" s="191"/>
      <c r="AB50" s="189" t="s">
        <v>232</v>
      </c>
      <c r="AC50" s="190"/>
      <c r="AD50" s="191"/>
      <c r="AE50" s="270">
        <v>50</v>
      </c>
      <c r="AF50" s="270"/>
      <c r="AG50" s="270"/>
      <c r="AH50" s="270"/>
      <c r="AI50" s="270"/>
      <c r="AJ50" s="270"/>
      <c r="AK50" s="270"/>
      <c r="AL50" s="270"/>
      <c r="AM50" s="270"/>
      <c r="AN50" s="270"/>
      <c r="AO50" s="270">
        <v>125</v>
      </c>
      <c r="AP50" s="270"/>
      <c r="AQ50" s="270"/>
      <c r="AR50" s="270"/>
      <c r="AS50" s="270"/>
      <c r="AT50" s="270"/>
      <c r="AU50" s="270"/>
      <c r="AV50" s="270"/>
      <c r="AW50" s="270"/>
      <c r="AX50" s="270"/>
      <c r="AY50" s="270">
        <v>125</v>
      </c>
      <c r="AZ50" s="270"/>
      <c r="BA50" s="270"/>
      <c r="BB50" s="270"/>
      <c r="BC50" s="270"/>
      <c r="BD50" s="270"/>
      <c r="BE50" s="270"/>
      <c r="BF50" s="270"/>
      <c r="BG50" s="270"/>
      <c r="BH50" s="270"/>
      <c r="BI50" s="24"/>
    </row>
    <row r="51" spans="2:61" s="25" customFormat="1" ht="16.5" customHeight="1">
      <c r="B51" s="17"/>
      <c r="C51" s="140" t="s">
        <v>425</v>
      </c>
      <c r="D51" s="140"/>
      <c r="E51" s="140"/>
      <c r="F51" s="140"/>
      <c r="G51" s="140"/>
      <c r="H51" s="140" t="s">
        <v>426</v>
      </c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69" t="s">
        <v>376</v>
      </c>
      <c r="V51" s="170"/>
      <c r="W51" s="170"/>
      <c r="X51" s="170"/>
      <c r="Y51" s="170"/>
      <c r="Z51" s="170"/>
      <c r="AA51" s="171"/>
      <c r="AB51" s="169" t="s">
        <v>232</v>
      </c>
      <c r="AC51" s="170"/>
      <c r="AD51" s="171"/>
      <c r="AE51" s="271">
        <v>100</v>
      </c>
      <c r="AF51" s="271"/>
      <c r="AG51" s="271"/>
      <c r="AH51" s="271"/>
      <c r="AI51" s="271"/>
      <c r="AJ51" s="271"/>
      <c r="AK51" s="271"/>
      <c r="AL51" s="271"/>
      <c r="AM51" s="271"/>
      <c r="AN51" s="271"/>
      <c r="AO51" s="271">
        <v>100</v>
      </c>
      <c r="AP51" s="271"/>
      <c r="AQ51" s="271"/>
      <c r="AR51" s="271"/>
      <c r="AS51" s="271"/>
      <c r="AT51" s="271"/>
      <c r="AU51" s="271"/>
      <c r="AV51" s="271"/>
      <c r="AW51" s="271"/>
      <c r="AX51" s="271"/>
      <c r="AY51" s="271">
        <v>100</v>
      </c>
      <c r="AZ51" s="271"/>
      <c r="BA51" s="271"/>
      <c r="BB51" s="271"/>
      <c r="BC51" s="271"/>
      <c r="BD51" s="271"/>
      <c r="BE51" s="271"/>
      <c r="BF51" s="271"/>
      <c r="BG51" s="271"/>
      <c r="BH51" s="271"/>
      <c r="BI51" s="24"/>
    </row>
    <row r="52" spans="2:61" s="25" customFormat="1" ht="16.5" customHeight="1">
      <c r="B52" s="17"/>
      <c r="C52" s="136" t="s">
        <v>427</v>
      </c>
      <c r="D52" s="136"/>
      <c r="E52" s="136"/>
      <c r="F52" s="136"/>
      <c r="G52" s="136"/>
      <c r="H52" s="136" t="s">
        <v>428</v>
      </c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89" t="s">
        <v>376</v>
      </c>
      <c r="V52" s="190"/>
      <c r="W52" s="190"/>
      <c r="X52" s="190"/>
      <c r="Y52" s="190"/>
      <c r="Z52" s="190"/>
      <c r="AA52" s="191"/>
      <c r="AB52" s="189" t="s">
        <v>232</v>
      </c>
      <c r="AC52" s="190"/>
      <c r="AD52" s="191"/>
      <c r="AE52" s="270">
        <v>0</v>
      </c>
      <c r="AF52" s="270"/>
      <c r="AG52" s="270"/>
      <c r="AH52" s="270"/>
      <c r="AI52" s="270"/>
      <c r="AJ52" s="270"/>
      <c r="AK52" s="270"/>
      <c r="AL52" s="270"/>
      <c r="AM52" s="270"/>
      <c r="AN52" s="270"/>
      <c r="AO52" s="270">
        <v>0</v>
      </c>
      <c r="AP52" s="270"/>
      <c r="AQ52" s="270"/>
      <c r="AR52" s="270"/>
      <c r="AS52" s="270"/>
      <c r="AT52" s="270"/>
      <c r="AU52" s="270"/>
      <c r="AV52" s="270"/>
      <c r="AW52" s="270"/>
      <c r="AX52" s="270"/>
      <c r="AY52" s="270">
        <v>0</v>
      </c>
      <c r="AZ52" s="270"/>
      <c r="BA52" s="270"/>
      <c r="BB52" s="270"/>
      <c r="BC52" s="270"/>
      <c r="BD52" s="270"/>
      <c r="BE52" s="270"/>
      <c r="BF52" s="270"/>
      <c r="BG52" s="270"/>
      <c r="BH52" s="270"/>
      <c r="BI52" s="24"/>
    </row>
    <row r="53" spans="2:61" s="25" customFormat="1" ht="16.5" customHeight="1">
      <c r="B53" s="17"/>
      <c r="C53" s="146" t="s">
        <v>429</v>
      </c>
      <c r="D53" s="146"/>
      <c r="E53" s="146"/>
      <c r="F53" s="146"/>
      <c r="G53" s="146"/>
      <c r="H53" s="146" t="s">
        <v>430</v>
      </c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272" t="s">
        <v>395</v>
      </c>
      <c r="V53" s="273"/>
      <c r="W53" s="273"/>
      <c r="X53" s="273"/>
      <c r="Y53" s="273"/>
      <c r="Z53" s="273"/>
      <c r="AA53" s="274"/>
      <c r="AB53" s="272" t="s">
        <v>232</v>
      </c>
      <c r="AC53" s="273"/>
      <c r="AD53" s="274"/>
      <c r="AE53" s="275" t="s">
        <v>431</v>
      </c>
      <c r="AF53" s="275"/>
      <c r="AG53" s="275"/>
      <c r="AH53" s="275"/>
      <c r="AI53" s="275"/>
      <c r="AJ53" s="275"/>
      <c r="AK53" s="275"/>
      <c r="AL53" s="275"/>
      <c r="AM53" s="275"/>
      <c r="AN53" s="275"/>
      <c r="AO53" s="275" t="s">
        <v>431</v>
      </c>
      <c r="AP53" s="275"/>
      <c r="AQ53" s="275"/>
      <c r="AR53" s="275"/>
      <c r="AS53" s="275"/>
      <c r="AT53" s="275"/>
      <c r="AU53" s="275"/>
      <c r="AV53" s="275"/>
      <c r="AW53" s="275"/>
      <c r="AX53" s="275"/>
      <c r="AY53" s="275">
        <v>100</v>
      </c>
      <c r="AZ53" s="275"/>
      <c r="BA53" s="275"/>
      <c r="BB53" s="275"/>
      <c r="BC53" s="275"/>
      <c r="BD53" s="275"/>
      <c r="BE53" s="275"/>
      <c r="BF53" s="275"/>
      <c r="BG53" s="275"/>
      <c r="BH53" s="275"/>
      <c r="BI53" s="24"/>
    </row>
    <row r="54" spans="2:61" s="25" customFormat="1" ht="16.5" customHeight="1">
      <c r="B54" s="17"/>
      <c r="C54" s="136" t="s">
        <v>432</v>
      </c>
      <c r="D54" s="136"/>
      <c r="E54" s="136"/>
      <c r="F54" s="136"/>
      <c r="G54" s="136"/>
      <c r="H54" s="136" t="s">
        <v>433</v>
      </c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89" t="s">
        <v>376</v>
      </c>
      <c r="V54" s="190"/>
      <c r="W54" s="190"/>
      <c r="X54" s="190"/>
      <c r="Y54" s="190"/>
      <c r="Z54" s="190"/>
      <c r="AA54" s="191"/>
      <c r="AB54" s="189" t="s">
        <v>232</v>
      </c>
      <c r="AC54" s="190"/>
      <c r="AD54" s="191"/>
      <c r="AE54" s="270">
        <v>100</v>
      </c>
      <c r="AF54" s="270"/>
      <c r="AG54" s="270"/>
      <c r="AH54" s="270"/>
      <c r="AI54" s="270"/>
      <c r="AJ54" s="270"/>
      <c r="AK54" s="270"/>
      <c r="AL54" s="270"/>
      <c r="AM54" s="270"/>
      <c r="AN54" s="270"/>
      <c r="AO54" s="270">
        <v>100</v>
      </c>
      <c r="AP54" s="270"/>
      <c r="AQ54" s="270"/>
      <c r="AR54" s="270"/>
      <c r="AS54" s="270"/>
      <c r="AT54" s="270"/>
      <c r="AU54" s="270"/>
      <c r="AV54" s="270"/>
      <c r="AW54" s="270"/>
      <c r="AX54" s="270"/>
      <c r="AY54" s="270">
        <v>100</v>
      </c>
      <c r="AZ54" s="270"/>
      <c r="BA54" s="270"/>
      <c r="BB54" s="270"/>
      <c r="BC54" s="270"/>
      <c r="BD54" s="270"/>
      <c r="BE54" s="270"/>
      <c r="BF54" s="270"/>
      <c r="BG54" s="270"/>
      <c r="BH54" s="270"/>
      <c r="BI54" s="61"/>
    </row>
    <row r="55" spans="2:61" s="25" customFormat="1" ht="16.5" customHeight="1">
      <c r="B55" s="17"/>
      <c r="C55" s="140" t="s">
        <v>434</v>
      </c>
      <c r="D55" s="140"/>
      <c r="E55" s="140"/>
      <c r="F55" s="140"/>
      <c r="G55" s="140"/>
      <c r="H55" s="140" t="s">
        <v>435</v>
      </c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69" t="s">
        <v>376</v>
      </c>
      <c r="V55" s="170"/>
      <c r="W55" s="170"/>
      <c r="X55" s="170"/>
      <c r="Y55" s="170"/>
      <c r="Z55" s="170"/>
      <c r="AA55" s="171"/>
      <c r="AB55" s="169" t="s">
        <v>232</v>
      </c>
      <c r="AC55" s="170"/>
      <c r="AD55" s="171"/>
      <c r="AE55" s="271">
        <v>65</v>
      </c>
      <c r="AF55" s="271"/>
      <c r="AG55" s="271"/>
      <c r="AH55" s="271"/>
      <c r="AI55" s="271"/>
      <c r="AJ55" s="271"/>
      <c r="AK55" s="271"/>
      <c r="AL55" s="271"/>
      <c r="AM55" s="271"/>
      <c r="AN55" s="271"/>
      <c r="AO55" s="271">
        <v>65</v>
      </c>
      <c r="AP55" s="271"/>
      <c r="AQ55" s="271"/>
      <c r="AR55" s="271"/>
      <c r="AS55" s="271"/>
      <c r="AT55" s="271"/>
      <c r="AU55" s="271"/>
      <c r="AV55" s="271"/>
      <c r="AW55" s="271"/>
      <c r="AX55" s="271"/>
      <c r="AY55" s="271">
        <v>65</v>
      </c>
      <c r="AZ55" s="271"/>
      <c r="BA55" s="271"/>
      <c r="BB55" s="271"/>
      <c r="BC55" s="271"/>
      <c r="BD55" s="271"/>
      <c r="BE55" s="271"/>
      <c r="BF55" s="271"/>
      <c r="BG55" s="271"/>
      <c r="BH55" s="271"/>
      <c r="BI55" s="61"/>
    </row>
    <row r="56" spans="2:61" s="25" customFormat="1" ht="16.5" customHeight="1">
      <c r="B56" s="17"/>
      <c r="C56" s="136" t="s">
        <v>436</v>
      </c>
      <c r="D56" s="136"/>
      <c r="E56" s="136"/>
      <c r="F56" s="136"/>
      <c r="G56" s="136"/>
      <c r="H56" s="136" t="s">
        <v>437</v>
      </c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89" t="s">
        <v>376</v>
      </c>
      <c r="V56" s="190"/>
      <c r="W56" s="190"/>
      <c r="X56" s="190"/>
      <c r="Y56" s="190"/>
      <c r="Z56" s="190"/>
      <c r="AA56" s="191"/>
      <c r="AB56" s="189" t="s">
        <v>232</v>
      </c>
      <c r="AC56" s="190"/>
      <c r="AD56" s="191"/>
      <c r="AE56" s="270">
        <v>100</v>
      </c>
      <c r="AF56" s="270"/>
      <c r="AG56" s="270"/>
      <c r="AH56" s="270"/>
      <c r="AI56" s="270"/>
      <c r="AJ56" s="270"/>
      <c r="AK56" s="270"/>
      <c r="AL56" s="270"/>
      <c r="AM56" s="270"/>
      <c r="AN56" s="270"/>
      <c r="AO56" s="270">
        <v>100</v>
      </c>
      <c r="AP56" s="270"/>
      <c r="AQ56" s="270"/>
      <c r="AR56" s="270"/>
      <c r="AS56" s="270"/>
      <c r="AT56" s="270"/>
      <c r="AU56" s="270"/>
      <c r="AV56" s="270"/>
      <c r="AW56" s="270"/>
      <c r="AX56" s="270"/>
      <c r="AY56" s="270">
        <v>100</v>
      </c>
      <c r="AZ56" s="270"/>
      <c r="BA56" s="270"/>
      <c r="BB56" s="270"/>
      <c r="BC56" s="270"/>
      <c r="BD56" s="270"/>
      <c r="BE56" s="270"/>
      <c r="BF56" s="270"/>
      <c r="BG56" s="270"/>
      <c r="BH56" s="270"/>
      <c r="BI56" s="61"/>
    </row>
    <row r="57" spans="2:61" s="25" customFormat="1" ht="16.5" customHeight="1">
      <c r="B57" s="17"/>
      <c r="C57" s="146" t="s">
        <v>438</v>
      </c>
      <c r="D57" s="146"/>
      <c r="E57" s="146"/>
      <c r="F57" s="146"/>
      <c r="G57" s="146"/>
      <c r="H57" s="146" t="s">
        <v>439</v>
      </c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272" t="s">
        <v>376</v>
      </c>
      <c r="V57" s="273"/>
      <c r="W57" s="273"/>
      <c r="X57" s="273"/>
      <c r="Y57" s="273"/>
      <c r="Z57" s="273"/>
      <c r="AA57" s="274"/>
      <c r="AB57" s="272" t="s">
        <v>232</v>
      </c>
      <c r="AC57" s="273"/>
      <c r="AD57" s="274"/>
      <c r="AE57" s="275">
        <v>100</v>
      </c>
      <c r="AF57" s="275"/>
      <c r="AG57" s="275"/>
      <c r="AH57" s="275"/>
      <c r="AI57" s="275"/>
      <c r="AJ57" s="275"/>
      <c r="AK57" s="275"/>
      <c r="AL57" s="275"/>
      <c r="AM57" s="275"/>
      <c r="AN57" s="275"/>
      <c r="AO57" s="275">
        <v>100</v>
      </c>
      <c r="AP57" s="275"/>
      <c r="AQ57" s="275"/>
      <c r="AR57" s="275"/>
      <c r="AS57" s="275"/>
      <c r="AT57" s="275"/>
      <c r="AU57" s="275"/>
      <c r="AV57" s="275"/>
      <c r="AW57" s="275"/>
      <c r="AX57" s="275"/>
      <c r="AY57" s="275">
        <v>100</v>
      </c>
      <c r="AZ57" s="275"/>
      <c r="BA57" s="275"/>
      <c r="BB57" s="275"/>
      <c r="BC57" s="275"/>
      <c r="BD57" s="275"/>
      <c r="BE57" s="275"/>
      <c r="BF57" s="275"/>
      <c r="BG57" s="275"/>
      <c r="BH57" s="275"/>
      <c r="BI57" s="24"/>
    </row>
    <row r="58" spans="2:61" s="25" customFormat="1" ht="16.5" customHeight="1">
      <c r="B58" s="17"/>
      <c r="C58" s="136" t="s">
        <v>440</v>
      </c>
      <c r="D58" s="136"/>
      <c r="E58" s="136"/>
      <c r="F58" s="136"/>
      <c r="G58" s="136"/>
      <c r="H58" s="136" t="s">
        <v>441</v>
      </c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89" t="s">
        <v>376</v>
      </c>
      <c r="V58" s="190"/>
      <c r="W58" s="190"/>
      <c r="X58" s="190"/>
      <c r="Y58" s="190"/>
      <c r="Z58" s="190"/>
      <c r="AA58" s="191"/>
      <c r="AB58" s="189" t="s">
        <v>232</v>
      </c>
      <c r="AC58" s="190"/>
      <c r="AD58" s="191"/>
      <c r="AE58" s="270">
        <v>100</v>
      </c>
      <c r="AF58" s="270"/>
      <c r="AG58" s="270"/>
      <c r="AH58" s="270"/>
      <c r="AI58" s="270"/>
      <c r="AJ58" s="270"/>
      <c r="AK58" s="270"/>
      <c r="AL58" s="270"/>
      <c r="AM58" s="270"/>
      <c r="AN58" s="270"/>
      <c r="AO58" s="270">
        <v>100</v>
      </c>
      <c r="AP58" s="270"/>
      <c r="AQ58" s="270"/>
      <c r="AR58" s="270"/>
      <c r="AS58" s="270"/>
      <c r="AT58" s="270"/>
      <c r="AU58" s="270"/>
      <c r="AV58" s="270"/>
      <c r="AW58" s="270"/>
      <c r="AX58" s="270"/>
      <c r="AY58" s="270">
        <v>100</v>
      </c>
      <c r="AZ58" s="270"/>
      <c r="BA58" s="270"/>
      <c r="BB58" s="270"/>
      <c r="BC58" s="270"/>
      <c r="BD58" s="270"/>
      <c r="BE58" s="270"/>
      <c r="BF58" s="270"/>
      <c r="BG58" s="270"/>
      <c r="BH58" s="270"/>
      <c r="BI58" s="24"/>
    </row>
    <row r="59" spans="2:61" s="25" customFormat="1" ht="16.5" customHeight="1">
      <c r="B59" s="17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24"/>
    </row>
    <row r="60" spans="2:61" s="25" customFormat="1" ht="16.5" customHeight="1">
      <c r="B60" s="17"/>
      <c r="C60" s="122" t="s">
        <v>442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24"/>
    </row>
    <row r="61" spans="2:61" s="25" customFormat="1" ht="16.5" customHeight="1">
      <c r="B61" s="17"/>
      <c r="C61" s="12" t="s">
        <v>443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24"/>
    </row>
    <row r="62" spans="2:61" s="25" customFormat="1" ht="16.5" customHeight="1">
      <c r="B62" s="17"/>
      <c r="C62" s="281" t="s">
        <v>444</v>
      </c>
      <c r="D62" s="282"/>
      <c r="E62" s="282"/>
      <c r="F62" s="282"/>
      <c r="G62" s="282"/>
      <c r="H62" s="28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24"/>
    </row>
    <row r="63" spans="2:61" s="25" customFormat="1" ht="16.5" customHeight="1">
      <c r="B63" s="17"/>
      <c r="C63" s="62" t="s">
        <v>445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24"/>
    </row>
    <row r="64" spans="2:61" s="25" customFormat="1" ht="16.5" customHeight="1">
      <c r="B64" s="17"/>
      <c r="C64" s="71"/>
      <c r="D64" s="23"/>
      <c r="E64" s="23"/>
      <c r="F64" s="23"/>
      <c r="G64" s="23"/>
      <c r="H64" s="23"/>
      <c r="I64" s="23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23"/>
      <c r="Y64" s="23"/>
      <c r="Z64" s="71"/>
      <c r="AA64" s="71"/>
      <c r="AB64" s="71"/>
      <c r="AC64" s="71"/>
      <c r="AD64" s="71"/>
      <c r="AE64" s="23"/>
      <c r="AF64" s="23"/>
      <c r="AG64" s="23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24"/>
    </row>
    <row r="65" spans="2:61" s="25" customFormat="1" ht="16.5" customHeight="1">
      <c r="B65" s="17"/>
      <c r="C65" s="71"/>
      <c r="D65" s="23"/>
      <c r="E65" s="23"/>
      <c r="F65" s="23"/>
      <c r="G65" s="23"/>
      <c r="H65" s="23"/>
      <c r="I65" s="23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23"/>
      <c r="Y65" s="23"/>
      <c r="Z65" s="71"/>
      <c r="AA65" s="71"/>
      <c r="AB65" s="71"/>
      <c r="AC65" s="71"/>
      <c r="AD65" s="71"/>
      <c r="AE65" s="23"/>
      <c r="AF65" s="23"/>
      <c r="AG65" s="23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24"/>
    </row>
    <row r="66" spans="2:61" s="25" customFormat="1" ht="16.5" customHeight="1">
      <c r="B66" s="17"/>
      <c r="C66" s="71"/>
      <c r="D66" s="23"/>
      <c r="E66" s="23"/>
      <c r="F66" s="23"/>
      <c r="G66" s="23"/>
      <c r="H66" s="23"/>
      <c r="I66" s="23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23"/>
      <c r="Y66" s="23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24"/>
    </row>
    <row r="67" spans="2:61" s="25" customFormat="1" ht="16.5" customHeight="1">
      <c r="B67" s="17"/>
      <c r="C67" s="71"/>
      <c r="D67" s="23"/>
      <c r="E67" s="23"/>
      <c r="F67" s="23"/>
      <c r="G67" s="23"/>
      <c r="H67" s="23"/>
      <c r="I67" s="23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23"/>
      <c r="Y67" s="23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24"/>
    </row>
    <row r="68" spans="2:61" s="25" customFormat="1" ht="16.5" customHeight="1">
      <c r="B68" s="17"/>
      <c r="C68" s="71"/>
      <c r="D68" s="23"/>
      <c r="E68" s="23"/>
      <c r="F68" s="23"/>
      <c r="G68" s="23"/>
      <c r="H68" s="23"/>
      <c r="I68" s="23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23"/>
      <c r="Y68" s="23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24"/>
    </row>
    <row r="69" spans="2:61" s="25" customFormat="1" ht="16.5" customHeight="1">
      <c r="B69" s="17"/>
      <c r="C69" s="71"/>
      <c r="D69" s="23"/>
      <c r="E69" s="23"/>
      <c r="F69" s="23"/>
      <c r="G69" s="23"/>
      <c r="H69" s="23"/>
      <c r="I69" s="23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23"/>
      <c r="Y69" s="23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24"/>
    </row>
    <row r="70" spans="2:61" s="25" customFormat="1" ht="16.5" customHeight="1">
      <c r="B70" s="17"/>
      <c r="C70" s="71"/>
      <c r="D70" s="23"/>
      <c r="E70" s="23"/>
      <c r="F70" s="23"/>
      <c r="G70" s="23"/>
      <c r="H70" s="23"/>
      <c r="I70" s="23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23"/>
      <c r="Y70" s="23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24"/>
    </row>
    <row r="71" spans="2:61" s="25" customFormat="1" ht="16.5" customHeight="1">
      <c r="B71" s="17"/>
      <c r="C71" s="12"/>
      <c r="D71" s="23"/>
      <c r="E71" s="23"/>
      <c r="F71" s="23"/>
      <c r="G71" s="23"/>
      <c r="H71" s="23"/>
      <c r="I71" s="23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23"/>
      <c r="Y71" s="23"/>
      <c r="Z71" s="71"/>
      <c r="AA71" s="71"/>
      <c r="AB71" s="71"/>
      <c r="AC71" s="71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24"/>
    </row>
    <row r="72" spans="2:61" s="25" customFormat="1" ht="16.5" customHeight="1">
      <c r="B72" s="17"/>
      <c r="C72" s="12"/>
      <c r="D72" s="23"/>
      <c r="E72" s="23"/>
      <c r="F72" s="23"/>
      <c r="G72" s="23"/>
      <c r="H72" s="23"/>
      <c r="I72" s="23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23"/>
      <c r="Y72" s="23"/>
      <c r="Z72" s="71"/>
      <c r="AA72" s="71"/>
      <c r="AB72" s="71"/>
      <c r="AC72" s="71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24"/>
    </row>
    <row r="73" spans="2:61" s="25" customFormat="1" ht="16.5" customHeight="1">
      <c r="B73" s="17"/>
      <c r="C73" s="12"/>
      <c r="D73" s="23"/>
      <c r="E73" s="23"/>
      <c r="F73" s="23"/>
      <c r="G73" s="23"/>
      <c r="H73" s="23"/>
      <c r="I73" s="23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23"/>
      <c r="Y73" s="23"/>
      <c r="Z73" s="71"/>
      <c r="AA73" s="71"/>
      <c r="AB73" s="71"/>
      <c r="AC73" s="71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24"/>
    </row>
    <row r="74" spans="2:61" s="25" customFormat="1" ht="16.5" customHeight="1">
      <c r="B74" s="17"/>
      <c r="C74" s="12"/>
      <c r="D74" s="23"/>
      <c r="E74" s="23"/>
      <c r="F74" s="23"/>
      <c r="G74" s="23"/>
      <c r="H74" s="23"/>
      <c r="I74" s="23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23"/>
      <c r="Y74" s="23"/>
      <c r="Z74" s="71"/>
      <c r="AA74" s="71"/>
      <c r="AB74" s="71"/>
      <c r="AC74" s="71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24"/>
    </row>
    <row r="75" spans="2:61" s="25" customFormat="1" ht="16.5" customHeight="1">
      <c r="B75" s="17"/>
      <c r="C75" s="12"/>
      <c r="D75" s="23"/>
      <c r="E75" s="23"/>
      <c r="F75" s="23"/>
      <c r="G75" s="23"/>
      <c r="H75" s="23"/>
      <c r="I75" s="23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23"/>
      <c r="Y75" s="23"/>
      <c r="Z75" s="71"/>
      <c r="AA75" s="71"/>
      <c r="AB75" s="71"/>
      <c r="AC75" s="71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24"/>
    </row>
    <row r="76" spans="2:61" s="25" customFormat="1" ht="16.5" customHeight="1">
      <c r="B76" s="17"/>
      <c r="C76" s="12"/>
      <c r="D76" s="23"/>
      <c r="E76" s="23"/>
      <c r="F76" s="23"/>
      <c r="G76" s="23"/>
      <c r="H76" s="23"/>
      <c r="I76" s="23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23"/>
      <c r="Y76" s="23"/>
      <c r="Z76" s="71"/>
      <c r="AA76" s="71"/>
      <c r="AB76" s="71"/>
      <c r="AC76" s="71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24"/>
    </row>
    <row r="77" spans="2:61" s="25" customFormat="1" ht="16.5" customHeight="1">
      <c r="B77" s="17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24"/>
    </row>
    <row r="78" spans="2:61" s="25" customFormat="1" ht="16.5" customHeight="1">
      <c r="B78" s="17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24"/>
    </row>
    <row r="79" spans="2:61" s="25" customFormat="1" ht="16.5" customHeight="1">
      <c r="B79" s="17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24"/>
    </row>
    <row r="80" spans="2:61" s="25" customFormat="1" ht="16.5" customHeight="1" thickBot="1">
      <c r="B80" s="63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5"/>
    </row>
  </sheetData>
  <mergeCells count="239">
    <mergeCell ref="AY58:BH58"/>
    <mergeCell ref="C58:G58"/>
    <mergeCell ref="H58:T58"/>
    <mergeCell ref="U58:AA58"/>
    <mergeCell ref="AB58:AD58"/>
    <mergeCell ref="AE58:AN58"/>
    <mergeCell ref="AO58:AX58"/>
    <mergeCell ref="AY56:BH56"/>
    <mergeCell ref="C57:G57"/>
    <mergeCell ref="H57:T57"/>
    <mergeCell ref="U57:AA57"/>
    <mergeCell ref="AB57:AD57"/>
    <mergeCell ref="AE57:AN57"/>
    <mergeCell ref="AO57:AX57"/>
    <mergeCell ref="AY57:BH57"/>
    <mergeCell ref="C56:G56"/>
    <mergeCell ref="H56:T56"/>
    <mergeCell ref="U56:AA56"/>
    <mergeCell ref="AB56:AD56"/>
    <mergeCell ref="AE56:AN56"/>
    <mergeCell ref="AO56:AX56"/>
    <mergeCell ref="AY54:BH54"/>
    <mergeCell ref="C55:G55"/>
    <mergeCell ref="H55:T55"/>
    <mergeCell ref="U55:AA55"/>
    <mergeCell ref="AB55:AD55"/>
    <mergeCell ref="AE55:AN55"/>
    <mergeCell ref="AO55:AX55"/>
    <mergeCell ref="AY55:BH55"/>
    <mergeCell ref="C54:G54"/>
    <mergeCell ref="H54:T54"/>
    <mergeCell ref="U54:AA54"/>
    <mergeCell ref="AB54:AD54"/>
    <mergeCell ref="AE54:AN54"/>
    <mergeCell ref="AO54:AX54"/>
    <mergeCell ref="AY52:BH52"/>
    <mergeCell ref="C53:G53"/>
    <mergeCell ref="H53:T53"/>
    <mergeCell ref="U53:AA53"/>
    <mergeCell ref="AB53:AD53"/>
    <mergeCell ref="AE53:AN53"/>
    <mergeCell ref="AO53:AX53"/>
    <mergeCell ref="AY53:BH53"/>
    <mergeCell ref="C52:G52"/>
    <mergeCell ref="H52:T52"/>
    <mergeCell ref="U52:AA52"/>
    <mergeCell ref="AB52:AD52"/>
    <mergeCell ref="AE52:AN52"/>
    <mergeCell ref="AO52:AX52"/>
    <mergeCell ref="AY50:BH50"/>
    <mergeCell ref="C51:G51"/>
    <mergeCell ref="H51:T51"/>
    <mergeCell ref="U51:AA51"/>
    <mergeCell ref="AB51:AD51"/>
    <mergeCell ref="AE51:AN51"/>
    <mergeCell ref="AO51:AX51"/>
    <mergeCell ref="AY51:BH51"/>
    <mergeCell ref="C50:G50"/>
    <mergeCell ref="H50:T50"/>
    <mergeCell ref="U50:AA50"/>
    <mergeCell ref="AB50:AD50"/>
    <mergeCell ref="AE50:AN50"/>
    <mergeCell ref="AO50:AX50"/>
    <mergeCell ref="AY48:BH48"/>
    <mergeCell ref="C49:G49"/>
    <mergeCell ref="H49:T49"/>
    <mergeCell ref="U49:AA49"/>
    <mergeCell ref="AB49:AD49"/>
    <mergeCell ref="AE49:AN49"/>
    <mergeCell ref="AO49:AX49"/>
    <mergeCell ref="AY49:BH49"/>
    <mergeCell ref="C48:G48"/>
    <mergeCell ref="H48:T48"/>
    <mergeCell ref="U48:AA48"/>
    <mergeCell ref="AB48:AD48"/>
    <mergeCell ref="AE48:AN48"/>
    <mergeCell ref="AO48:AX48"/>
    <mergeCell ref="AY46:BH46"/>
    <mergeCell ref="C47:G47"/>
    <mergeCell ref="H47:T47"/>
    <mergeCell ref="U47:AA47"/>
    <mergeCell ref="AB47:AD47"/>
    <mergeCell ref="AE47:AN47"/>
    <mergeCell ref="AO47:AX47"/>
    <mergeCell ref="AY47:BH47"/>
    <mergeCell ref="C46:G46"/>
    <mergeCell ref="H46:T46"/>
    <mergeCell ref="U46:AA46"/>
    <mergeCell ref="AB46:AD46"/>
    <mergeCell ref="AE46:AN46"/>
    <mergeCell ref="AO46:AX46"/>
    <mergeCell ref="AY44:BH44"/>
    <mergeCell ref="C45:G45"/>
    <mergeCell ref="H45:T45"/>
    <mergeCell ref="U45:AA45"/>
    <mergeCell ref="AB45:AD45"/>
    <mergeCell ref="AE45:AN45"/>
    <mergeCell ref="AO45:AX45"/>
    <mergeCell ref="AY45:BH45"/>
    <mergeCell ref="C44:G44"/>
    <mergeCell ref="H44:T44"/>
    <mergeCell ref="U44:AA44"/>
    <mergeCell ref="AB44:AD44"/>
    <mergeCell ref="AE44:AN44"/>
    <mergeCell ref="AO44:AX44"/>
    <mergeCell ref="AY42:BH42"/>
    <mergeCell ref="C43:G43"/>
    <mergeCell ref="H43:T43"/>
    <mergeCell ref="U43:AA43"/>
    <mergeCell ref="AB43:AD43"/>
    <mergeCell ref="AE43:AN43"/>
    <mergeCell ref="AO43:AX43"/>
    <mergeCell ref="AY43:BH43"/>
    <mergeCell ref="C42:G42"/>
    <mergeCell ref="H42:T42"/>
    <mergeCell ref="U42:AA42"/>
    <mergeCell ref="AB42:AD42"/>
    <mergeCell ref="AE42:AN42"/>
    <mergeCell ref="AO42:AX42"/>
    <mergeCell ref="AY40:BH40"/>
    <mergeCell ref="C41:G41"/>
    <mergeCell ref="H41:T41"/>
    <mergeCell ref="U41:AA41"/>
    <mergeCell ref="AB41:AD41"/>
    <mergeCell ref="AE41:AN41"/>
    <mergeCell ref="AO41:AX41"/>
    <mergeCell ref="AY41:BH41"/>
    <mergeCell ref="C40:G40"/>
    <mergeCell ref="H40:T40"/>
    <mergeCell ref="U40:AA40"/>
    <mergeCell ref="AB40:AD40"/>
    <mergeCell ref="AE40:AN40"/>
    <mergeCell ref="AO40:AX40"/>
    <mergeCell ref="AY38:BH38"/>
    <mergeCell ref="C39:G39"/>
    <mergeCell ref="H39:T39"/>
    <mergeCell ref="U39:AA39"/>
    <mergeCell ref="AB39:AD39"/>
    <mergeCell ref="AE39:AN39"/>
    <mergeCell ref="AO39:AX39"/>
    <mergeCell ref="AY39:BH39"/>
    <mergeCell ref="C38:G38"/>
    <mergeCell ref="H38:T38"/>
    <mergeCell ref="U38:AA38"/>
    <mergeCell ref="AB38:AD38"/>
    <mergeCell ref="AE38:AN38"/>
    <mergeCell ref="AO38:AX38"/>
    <mergeCell ref="AY36:BH36"/>
    <mergeCell ref="C37:G37"/>
    <mergeCell ref="H37:T37"/>
    <mergeCell ref="U37:AA37"/>
    <mergeCell ref="AB37:AD37"/>
    <mergeCell ref="AE37:AN37"/>
    <mergeCell ref="AO37:AX37"/>
    <mergeCell ref="AY37:BH37"/>
    <mergeCell ref="C36:G36"/>
    <mergeCell ref="H36:T36"/>
    <mergeCell ref="U36:AA36"/>
    <mergeCell ref="AB36:AD36"/>
    <mergeCell ref="AE36:AN36"/>
    <mergeCell ref="AO36:AX36"/>
    <mergeCell ref="AY34:BH34"/>
    <mergeCell ref="C35:G35"/>
    <mergeCell ref="H35:T35"/>
    <mergeCell ref="U35:AA35"/>
    <mergeCell ref="AB35:AD35"/>
    <mergeCell ref="AE35:AN35"/>
    <mergeCell ref="AO35:AX35"/>
    <mergeCell ref="AY35:BH35"/>
    <mergeCell ref="C34:G34"/>
    <mergeCell ref="H34:T34"/>
    <mergeCell ref="U34:AA34"/>
    <mergeCell ref="AB34:AD34"/>
    <mergeCell ref="AE34:AN34"/>
    <mergeCell ref="AO34:AX34"/>
    <mergeCell ref="AY32:BH32"/>
    <mergeCell ref="C33:G33"/>
    <mergeCell ref="H33:T33"/>
    <mergeCell ref="U33:AA33"/>
    <mergeCell ref="AB33:AD33"/>
    <mergeCell ref="AE33:AN33"/>
    <mergeCell ref="AO33:AX33"/>
    <mergeCell ref="AY33:BH33"/>
    <mergeCell ref="C32:G32"/>
    <mergeCell ref="H32:T32"/>
    <mergeCell ref="U32:AA32"/>
    <mergeCell ref="AB32:AD32"/>
    <mergeCell ref="AE32:AN32"/>
    <mergeCell ref="AO32:AX32"/>
    <mergeCell ref="AY30:BH30"/>
    <mergeCell ref="C31:G31"/>
    <mergeCell ref="H31:T31"/>
    <mergeCell ref="U31:AA31"/>
    <mergeCell ref="AB31:AD31"/>
    <mergeCell ref="AE31:AN31"/>
    <mergeCell ref="AO31:AX31"/>
    <mergeCell ref="AY31:BH31"/>
    <mergeCell ref="C30:G30"/>
    <mergeCell ref="H30:T30"/>
    <mergeCell ref="U30:AA30"/>
    <mergeCell ref="AB30:AD30"/>
    <mergeCell ref="AE30:AN30"/>
    <mergeCell ref="AO30:AX30"/>
    <mergeCell ref="AY28:BH28"/>
    <mergeCell ref="C29:G29"/>
    <mergeCell ref="H29:T29"/>
    <mergeCell ref="U29:AA29"/>
    <mergeCell ref="AB29:AD29"/>
    <mergeCell ref="AE29:AN29"/>
    <mergeCell ref="AO29:AX29"/>
    <mergeCell ref="AY29:BH29"/>
    <mergeCell ref="C28:G28"/>
    <mergeCell ref="H28:T28"/>
    <mergeCell ref="U28:AA28"/>
    <mergeCell ref="AB28:AD28"/>
    <mergeCell ref="AE28:AN28"/>
    <mergeCell ref="AO28:AX28"/>
    <mergeCell ref="AY26:BH26"/>
    <mergeCell ref="C27:G27"/>
    <mergeCell ref="H27:T27"/>
    <mergeCell ref="U27:AA27"/>
    <mergeCell ref="AB27:AD27"/>
    <mergeCell ref="AE27:AN27"/>
    <mergeCell ref="AO27:AX27"/>
    <mergeCell ref="AY27:BH27"/>
    <mergeCell ref="C26:G26"/>
    <mergeCell ref="H26:T26"/>
    <mergeCell ref="U26:AA26"/>
    <mergeCell ref="AB26:AD26"/>
    <mergeCell ref="AE26:AN26"/>
    <mergeCell ref="AO26:AX26"/>
    <mergeCell ref="BB9:BF9"/>
    <mergeCell ref="C24:T25"/>
    <mergeCell ref="U24:AA25"/>
    <mergeCell ref="AB24:AD25"/>
    <mergeCell ref="AE24:BH24"/>
    <mergeCell ref="AE25:AN25"/>
    <mergeCell ref="AO25:AX25"/>
    <mergeCell ref="AY25:BH25"/>
  </mergeCells>
  <pageMargins left="0.25" right="0.25" top="0.75" bottom="0.75" header="0.3" footer="0.3"/>
  <pageSetup paperSize="9" scale="5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C9D9-02DD-4DDE-8407-277F1273A7A4}">
  <sheetPr codeName="Sheet11">
    <tabColor theme="7" tint="0.39997558519241921"/>
    <pageSetUpPr fitToPage="1"/>
  </sheetPr>
  <dimension ref="B1:L56"/>
  <sheetViews>
    <sheetView showGridLines="0" topLeftCell="A14" zoomScaleNormal="100" workbookViewId="0">
      <selection activeCell="P44" sqref="P44"/>
    </sheetView>
  </sheetViews>
  <sheetFormatPr defaultColWidth="9.140625" defaultRowHeight="15"/>
  <cols>
    <col min="1" max="1" width="2.85546875" style="283" customWidth="1"/>
    <col min="2" max="2" width="9.140625" style="283"/>
    <col min="3" max="3" width="12.5703125" style="283" customWidth="1"/>
    <col min="4" max="4" width="11.5703125" style="283" customWidth="1"/>
    <col min="5" max="5" width="9.140625" style="283"/>
    <col min="6" max="6" width="17.28515625" style="283" customWidth="1"/>
    <col min="7" max="11" width="9.140625" style="283"/>
    <col min="12" max="12" width="12.140625" style="283" customWidth="1"/>
    <col min="13" max="16384" width="9.140625" style="283"/>
  </cols>
  <sheetData>
    <row r="1" spans="2:12" ht="15.75" thickBot="1"/>
    <row r="2" spans="2:12">
      <c r="B2" s="284"/>
      <c r="C2" s="285"/>
      <c r="D2" s="285"/>
      <c r="E2" s="285"/>
      <c r="F2" s="285"/>
      <c r="G2" s="285"/>
      <c r="H2" s="285"/>
      <c r="I2" s="286"/>
      <c r="J2" s="286"/>
      <c r="K2" s="286"/>
      <c r="L2" s="287"/>
    </row>
    <row r="3" spans="2:12">
      <c r="B3" s="288"/>
      <c r="C3" s="71"/>
      <c r="D3" s="71"/>
      <c r="E3" s="71"/>
      <c r="F3" s="71"/>
      <c r="G3" s="71"/>
      <c r="H3" s="71"/>
      <c r="I3"/>
      <c r="J3"/>
      <c r="K3"/>
      <c r="L3" s="289"/>
    </row>
    <row r="4" spans="2:12">
      <c r="B4" s="288"/>
      <c r="C4" s="71"/>
      <c r="D4" s="71"/>
      <c r="E4" s="71"/>
      <c r="F4" s="71"/>
      <c r="G4" s="71"/>
      <c r="H4" s="71"/>
      <c r="I4"/>
      <c r="J4"/>
      <c r="K4"/>
      <c r="L4" s="289"/>
    </row>
    <row r="5" spans="2:12">
      <c r="B5" s="288"/>
      <c r="C5" s="73" t="s">
        <v>0</v>
      </c>
      <c r="D5"/>
      <c r="E5"/>
      <c r="F5"/>
      <c r="G5"/>
      <c r="H5" s="71"/>
      <c r="I5"/>
      <c r="J5"/>
      <c r="K5"/>
      <c r="L5" s="289"/>
    </row>
    <row r="6" spans="2:12">
      <c r="B6" s="288"/>
      <c r="C6" s="73" t="s">
        <v>1</v>
      </c>
      <c r="D6"/>
      <c r="E6"/>
      <c r="F6"/>
      <c r="G6"/>
      <c r="H6" s="71"/>
      <c r="I6"/>
      <c r="J6"/>
      <c r="K6"/>
      <c r="L6" s="289"/>
    </row>
    <row r="7" spans="2:12">
      <c r="B7" s="288"/>
      <c r="C7" s="73" t="s">
        <v>2</v>
      </c>
      <c r="D7"/>
      <c r="E7"/>
      <c r="F7"/>
      <c r="G7"/>
      <c r="H7" s="71"/>
      <c r="I7"/>
      <c r="J7"/>
      <c r="K7"/>
      <c r="L7" s="289"/>
    </row>
    <row r="8" spans="2:12">
      <c r="B8" s="288"/>
      <c r="C8" s="71"/>
      <c r="D8" s="71"/>
      <c r="E8" s="71"/>
      <c r="F8" s="71"/>
      <c r="G8" s="71"/>
      <c r="H8" s="71"/>
      <c r="I8" s="71"/>
      <c r="J8"/>
      <c r="K8"/>
      <c r="L8" s="290"/>
    </row>
    <row r="9" spans="2:12" ht="18.75">
      <c r="B9" s="288"/>
      <c r="C9" s="291" t="s">
        <v>446</v>
      </c>
      <c r="D9" s="71"/>
      <c r="E9" s="71"/>
      <c r="F9" s="71"/>
      <c r="G9" s="71"/>
      <c r="H9" s="71"/>
      <c r="I9" s="71"/>
      <c r="J9"/>
      <c r="K9"/>
      <c r="L9" s="290"/>
    </row>
    <row r="10" spans="2:12">
      <c r="B10" s="288"/>
      <c r="C10" s="292" t="s">
        <v>447</v>
      </c>
      <c r="D10" s="71"/>
      <c r="E10" s="71"/>
      <c r="F10" s="71"/>
      <c r="G10" s="71"/>
      <c r="H10" s="293" t="s">
        <v>448</v>
      </c>
      <c r="I10" s="71"/>
      <c r="J10"/>
      <c r="K10"/>
      <c r="L10" s="290"/>
    </row>
    <row r="11" spans="2:12">
      <c r="B11" s="288"/>
      <c r="C11" s="292" t="s">
        <v>449</v>
      </c>
      <c r="D11" s="71"/>
      <c r="E11" s="71"/>
      <c r="F11" s="71"/>
      <c r="G11" s="71"/>
      <c r="H11" s="293"/>
      <c r="I11" s="71"/>
      <c r="J11"/>
      <c r="K11"/>
      <c r="L11" s="290"/>
    </row>
    <row r="12" spans="2:12">
      <c r="B12" s="288"/>
      <c r="C12" s="292" t="s">
        <v>450</v>
      </c>
      <c r="D12" s="71"/>
      <c r="E12" s="71"/>
      <c r="F12" s="71"/>
      <c r="G12" s="71"/>
      <c r="H12" s="293"/>
      <c r="I12" s="71"/>
      <c r="J12"/>
      <c r="K12"/>
      <c r="L12" s="290"/>
    </row>
    <row r="13" spans="2:12">
      <c r="B13" s="288"/>
      <c r="C13" s="71" t="s">
        <v>451</v>
      </c>
      <c r="D13" s="71"/>
      <c r="E13" s="71"/>
      <c r="F13" s="71"/>
      <c r="G13" s="71"/>
      <c r="H13" s="71"/>
      <c r="I13" s="71"/>
      <c r="J13"/>
      <c r="K13"/>
      <c r="L13" s="290"/>
    </row>
    <row r="14" spans="2:12">
      <c r="B14" s="288"/>
      <c r="C14" s="294" t="s">
        <v>452</v>
      </c>
      <c r="D14" s="294" t="s">
        <v>453</v>
      </c>
      <c r="E14" s="294" t="s">
        <v>215</v>
      </c>
      <c r="F14" s="295" t="s">
        <v>454</v>
      </c>
      <c r="G14" s="295" t="s">
        <v>455</v>
      </c>
      <c r="H14" s="295"/>
      <c r="I14" s="295" t="s">
        <v>456</v>
      </c>
      <c r="J14" s="295"/>
      <c r="K14" s="295"/>
      <c r="L14" s="290"/>
    </row>
    <row r="15" spans="2:12" ht="15" customHeight="1">
      <c r="B15" s="288"/>
      <c r="C15" s="294"/>
      <c r="D15" s="294"/>
      <c r="E15" s="294"/>
      <c r="F15" s="295"/>
      <c r="G15" s="296" t="s">
        <v>457</v>
      </c>
      <c r="H15" s="296" t="s">
        <v>458</v>
      </c>
      <c r="I15" s="296" t="s">
        <v>237</v>
      </c>
      <c r="J15" s="296" t="s">
        <v>459</v>
      </c>
      <c r="K15" s="296" t="s">
        <v>460</v>
      </c>
      <c r="L15" s="297"/>
    </row>
    <row r="16" spans="2:12" ht="15" customHeight="1">
      <c r="B16" s="288"/>
      <c r="C16" s="298" t="s">
        <v>461</v>
      </c>
      <c r="D16" s="299" t="s">
        <v>462</v>
      </c>
      <c r="E16" s="299" t="s">
        <v>232</v>
      </c>
      <c r="F16" s="300" t="s">
        <v>463</v>
      </c>
      <c r="G16" s="301">
        <v>1</v>
      </c>
      <c r="H16" s="301">
        <v>7</v>
      </c>
      <c r="I16" s="301">
        <v>60</v>
      </c>
      <c r="J16" s="301">
        <v>110</v>
      </c>
      <c r="K16" s="301">
        <v>110</v>
      </c>
      <c r="L16" s="297"/>
    </row>
    <row r="17" spans="2:12" ht="15" customHeight="1">
      <c r="B17" s="288"/>
      <c r="C17" s="302"/>
      <c r="D17" s="299"/>
      <c r="E17" s="299"/>
      <c r="F17" s="300"/>
      <c r="G17" s="301">
        <v>8</v>
      </c>
      <c r="H17" s="301">
        <v>14</v>
      </c>
      <c r="I17" s="301">
        <v>90</v>
      </c>
      <c r="J17" s="301">
        <v>150</v>
      </c>
      <c r="K17" s="301">
        <v>150</v>
      </c>
      <c r="L17" s="297"/>
    </row>
    <row r="18" spans="2:12" ht="15" customHeight="1">
      <c r="B18" s="288"/>
      <c r="C18" s="302"/>
      <c r="D18" s="299"/>
      <c r="E18" s="299"/>
      <c r="F18" s="300"/>
      <c r="G18" s="301">
        <v>15</v>
      </c>
      <c r="H18" s="301">
        <v>999</v>
      </c>
      <c r="I18" s="301">
        <v>120</v>
      </c>
      <c r="J18" s="301">
        <v>190</v>
      </c>
      <c r="K18" s="301">
        <v>190</v>
      </c>
      <c r="L18" s="303"/>
    </row>
    <row r="19" spans="2:12">
      <c r="B19" s="288"/>
      <c r="C19" s="304"/>
      <c r="D19" s="299"/>
      <c r="E19" s="299"/>
      <c r="F19" s="300"/>
      <c r="G19" s="301"/>
      <c r="H19" s="301"/>
      <c r="I19" s="301"/>
      <c r="J19" s="301"/>
      <c r="K19" s="301"/>
      <c r="L19" s="303"/>
    </row>
    <row r="20" spans="2:12">
      <c r="B20" s="288"/>
      <c r="C20" s="298" t="s">
        <v>461</v>
      </c>
      <c r="D20" s="299" t="s">
        <v>464</v>
      </c>
      <c r="E20" s="299" t="s">
        <v>232</v>
      </c>
      <c r="F20" s="300" t="s">
        <v>465</v>
      </c>
      <c r="G20" s="301">
        <v>1</v>
      </c>
      <c r="H20" s="301">
        <v>10</v>
      </c>
      <c r="I20" s="301">
        <v>150</v>
      </c>
      <c r="J20" s="301">
        <v>180</v>
      </c>
      <c r="K20" s="301">
        <v>180</v>
      </c>
      <c r="L20" s="303"/>
    </row>
    <row r="21" spans="2:12">
      <c r="B21" s="288"/>
      <c r="C21" s="302"/>
      <c r="D21" s="299"/>
      <c r="E21" s="299"/>
      <c r="F21" s="300"/>
      <c r="G21" s="301">
        <v>11</v>
      </c>
      <c r="H21" s="301">
        <v>14</v>
      </c>
      <c r="I21" s="301">
        <v>240</v>
      </c>
      <c r="J21" s="301">
        <v>250</v>
      </c>
      <c r="K21" s="301">
        <v>250</v>
      </c>
      <c r="L21" s="303"/>
    </row>
    <row r="22" spans="2:12" ht="15" customHeight="1">
      <c r="B22" s="288"/>
      <c r="C22" s="302"/>
      <c r="D22" s="299"/>
      <c r="E22" s="299"/>
      <c r="F22" s="300"/>
      <c r="G22" s="301">
        <v>15</v>
      </c>
      <c r="H22" s="301">
        <v>999</v>
      </c>
      <c r="I22" s="301">
        <v>280</v>
      </c>
      <c r="J22" s="301">
        <v>350</v>
      </c>
      <c r="K22" s="301">
        <v>350</v>
      </c>
      <c r="L22" s="303"/>
    </row>
    <row r="23" spans="2:12">
      <c r="B23" s="288"/>
      <c r="C23" s="304"/>
      <c r="D23" s="299"/>
      <c r="E23" s="299"/>
      <c r="F23" s="300"/>
      <c r="G23" s="301"/>
      <c r="H23" s="301"/>
      <c r="I23" s="301"/>
      <c r="J23" s="301"/>
      <c r="K23" s="301"/>
      <c r="L23" s="303"/>
    </row>
    <row r="24" spans="2:12">
      <c r="B24" s="288"/>
      <c r="C24" s="298" t="s">
        <v>461</v>
      </c>
      <c r="D24" s="299" t="s">
        <v>466</v>
      </c>
      <c r="E24" s="299" t="s">
        <v>232</v>
      </c>
      <c r="F24" s="305" t="s">
        <v>467</v>
      </c>
      <c r="G24" s="301">
        <v>1</v>
      </c>
      <c r="H24" s="301">
        <v>7</v>
      </c>
      <c r="I24" s="306">
        <v>100</v>
      </c>
      <c r="J24" s="306">
        <v>140</v>
      </c>
      <c r="K24" s="306">
        <v>140</v>
      </c>
      <c r="L24" s="303"/>
    </row>
    <row r="25" spans="2:12">
      <c r="B25" s="288"/>
      <c r="C25" s="302"/>
      <c r="D25" s="299"/>
      <c r="E25" s="299"/>
      <c r="F25" s="305"/>
      <c r="G25" s="301">
        <v>8</v>
      </c>
      <c r="H25" s="301">
        <v>14</v>
      </c>
      <c r="I25" s="306">
        <v>130</v>
      </c>
      <c r="J25" s="306">
        <v>170</v>
      </c>
      <c r="K25" s="306">
        <v>170</v>
      </c>
      <c r="L25" s="303"/>
    </row>
    <row r="26" spans="2:12">
      <c r="B26" s="288"/>
      <c r="C26" s="302"/>
      <c r="D26" s="299"/>
      <c r="E26" s="299"/>
      <c r="F26" s="305"/>
      <c r="G26" s="301">
        <v>15</v>
      </c>
      <c r="H26" s="301">
        <v>999</v>
      </c>
      <c r="I26" s="301">
        <v>160</v>
      </c>
      <c r="J26" s="301">
        <v>200</v>
      </c>
      <c r="K26" s="301">
        <v>200</v>
      </c>
      <c r="L26" s="303"/>
    </row>
    <row r="27" spans="2:12">
      <c r="B27" s="288"/>
      <c r="C27" s="304"/>
      <c r="D27" s="299"/>
      <c r="E27" s="299"/>
      <c r="F27" s="305"/>
      <c r="G27" s="301"/>
      <c r="H27" s="301"/>
      <c r="I27" s="301"/>
      <c r="J27" s="301"/>
      <c r="K27" s="301"/>
      <c r="L27" s="303"/>
    </row>
    <row r="28" spans="2:12">
      <c r="B28" s="288"/>
      <c r="C28" s="298" t="s">
        <v>461</v>
      </c>
      <c r="D28" s="307" t="s">
        <v>468</v>
      </c>
      <c r="E28" s="299" t="s">
        <v>232</v>
      </c>
      <c r="F28" s="305" t="s">
        <v>469</v>
      </c>
      <c r="G28" s="301">
        <v>1</v>
      </c>
      <c r="H28" s="301">
        <v>7</v>
      </c>
      <c r="I28" s="306">
        <v>90</v>
      </c>
      <c r="J28" s="306">
        <v>120</v>
      </c>
      <c r="K28" s="306">
        <v>120</v>
      </c>
      <c r="L28" s="303"/>
    </row>
    <row r="29" spans="2:12">
      <c r="B29" s="288"/>
      <c r="C29" s="302"/>
      <c r="D29" s="307"/>
      <c r="E29" s="299"/>
      <c r="F29" s="305"/>
      <c r="G29" s="301">
        <v>8</v>
      </c>
      <c r="H29" s="301">
        <v>14</v>
      </c>
      <c r="I29" s="306">
        <v>125</v>
      </c>
      <c r="J29" s="306">
        <v>160</v>
      </c>
      <c r="K29" s="306">
        <v>160</v>
      </c>
      <c r="L29" s="303"/>
    </row>
    <row r="30" spans="2:12" ht="15" customHeight="1">
      <c r="B30" s="288"/>
      <c r="C30" s="302"/>
      <c r="D30" s="307"/>
      <c r="E30" s="299"/>
      <c r="F30" s="305"/>
      <c r="G30" s="301">
        <v>15</v>
      </c>
      <c r="H30" s="301">
        <v>999</v>
      </c>
      <c r="I30" s="301">
        <v>160</v>
      </c>
      <c r="J30" s="301">
        <v>200</v>
      </c>
      <c r="K30" s="301">
        <v>200</v>
      </c>
      <c r="L30" s="303"/>
    </row>
    <row r="31" spans="2:12">
      <c r="B31" s="288"/>
      <c r="C31" s="304"/>
      <c r="D31" s="307"/>
      <c r="E31" s="299"/>
      <c r="F31" s="305"/>
      <c r="G31" s="301"/>
      <c r="H31" s="301"/>
      <c r="I31" s="301"/>
      <c r="J31" s="301"/>
      <c r="K31" s="301"/>
      <c r="L31" s="303"/>
    </row>
    <row r="32" spans="2:12" ht="14.45" customHeight="1">
      <c r="B32" s="288"/>
      <c r="C32" s="298" t="s">
        <v>470</v>
      </c>
      <c r="D32" s="299" t="s">
        <v>462</v>
      </c>
      <c r="E32" s="299" t="s">
        <v>232</v>
      </c>
      <c r="F32" s="305" t="s">
        <v>471</v>
      </c>
      <c r="G32" s="301">
        <v>1</v>
      </c>
      <c r="H32" s="301">
        <v>3</v>
      </c>
      <c r="I32" s="301">
        <v>50</v>
      </c>
      <c r="J32" s="301">
        <v>65</v>
      </c>
      <c r="K32" s="301">
        <v>65</v>
      </c>
      <c r="L32" s="303"/>
    </row>
    <row r="33" spans="2:12">
      <c r="B33" s="288"/>
      <c r="C33" s="302"/>
      <c r="D33" s="299"/>
      <c r="E33" s="299"/>
      <c r="F33" s="305"/>
      <c r="G33" s="301">
        <v>4</v>
      </c>
      <c r="H33" s="301">
        <v>10</v>
      </c>
      <c r="I33" s="301">
        <v>70</v>
      </c>
      <c r="J33" s="301">
        <v>95</v>
      </c>
      <c r="K33" s="301">
        <v>95</v>
      </c>
      <c r="L33" s="303"/>
    </row>
    <row r="34" spans="2:12" ht="15" customHeight="1">
      <c r="B34" s="288"/>
      <c r="C34" s="302"/>
      <c r="D34" s="299"/>
      <c r="E34" s="299"/>
      <c r="F34" s="305"/>
      <c r="G34" s="301">
        <v>11</v>
      </c>
      <c r="H34" s="301">
        <v>999</v>
      </c>
      <c r="I34" s="301">
        <v>90</v>
      </c>
      <c r="J34" s="301">
        <v>125</v>
      </c>
      <c r="K34" s="301">
        <v>125</v>
      </c>
      <c r="L34" s="303"/>
    </row>
    <row r="35" spans="2:12">
      <c r="B35" s="288"/>
      <c r="C35" s="304"/>
      <c r="D35" s="299"/>
      <c r="E35" s="299"/>
      <c r="F35" s="305"/>
      <c r="G35" s="301"/>
      <c r="H35" s="301"/>
      <c r="I35" s="301"/>
      <c r="J35" s="301"/>
      <c r="K35" s="301"/>
      <c r="L35" s="303"/>
    </row>
    <row r="36" spans="2:12" ht="14.45" customHeight="1">
      <c r="B36" s="288"/>
      <c r="C36" s="298" t="s">
        <v>470</v>
      </c>
      <c r="D36" s="299" t="s">
        <v>464</v>
      </c>
      <c r="E36" s="299" t="s">
        <v>232</v>
      </c>
      <c r="F36" s="305" t="s">
        <v>469</v>
      </c>
      <c r="G36" s="301">
        <v>1</v>
      </c>
      <c r="H36" s="301">
        <v>3</v>
      </c>
      <c r="I36" s="301">
        <v>100</v>
      </c>
      <c r="J36" s="301">
        <v>130</v>
      </c>
      <c r="K36" s="301">
        <v>130</v>
      </c>
      <c r="L36" s="303"/>
    </row>
    <row r="37" spans="2:12">
      <c r="B37" s="288"/>
      <c r="C37" s="302"/>
      <c r="D37" s="299"/>
      <c r="E37" s="299"/>
      <c r="F37" s="305"/>
      <c r="G37" s="301">
        <v>4</v>
      </c>
      <c r="H37" s="301">
        <v>10</v>
      </c>
      <c r="I37" s="301">
        <v>130</v>
      </c>
      <c r="J37" s="301">
        <v>150</v>
      </c>
      <c r="K37" s="301">
        <v>150</v>
      </c>
      <c r="L37" s="303"/>
    </row>
    <row r="38" spans="2:12" ht="15" customHeight="1">
      <c r="B38" s="288"/>
      <c r="C38" s="302"/>
      <c r="D38" s="299"/>
      <c r="E38" s="299"/>
      <c r="F38" s="305"/>
      <c r="G38" s="301">
        <v>11</v>
      </c>
      <c r="H38" s="301">
        <v>999</v>
      </c>
      <c r="I38" s="301">
        <v>185</v>
      </c>
      <c r="J38" s="301">
        <v>230</v>
      </c>
      <c r="K38" s="301">
        <v>230</v>
      </c>
      <c r="L38" s="303"/>
    </row>
    <row r="39" spans="2:12">
      <c r="B39" s="288"/>
      <c r="C39" s="304"/>
      <c r="D39" s="299"/>
      <c r="E39" s="299"/>
      <c r="F39" s="305"/>
      <c r="G39" s="301"/>
      <c r="H39" s="301"/>
      <c r="I39" s="301"/>
      <c r="J39" s="301"/>
      <c r="K39" s="301"/>
      <c r="L39" s="303"/>
    </row>
    <row r="40" spans="2:12" ht="14.45" customHeight="1">
      <c r="B40" s="288"/>
      <c r="C40" s="298" t="s">
        <v>470</v>
      </c>
      <c r="D40" s="299" t="s">
        <v>466</v>
      </c>
      <c r="E40" s="299" t="s">
        <v>232</v>
      </c>
      <c r="F40" s="305" t="s">
        <v>472</v>
      </c>
      <c r="G40" s="301">
        <v>1</v>
      </c>
      <c r="H40" s="301">
        <v>3</v>
      </c>
      <c r="I40" s="301">
        <v>50</v>
      </c>
      <c r="J40" s="301">
        <v>65</v>
      </c>
      <c r="K40" s="301">
        <v>65</v>
      </c>
      <c r="L40" s="303"/>
    </row>
    <row r="41" spans="2:12">
      <c r="B41" s="288"/>
      <c r="C41" s="302"/>
      <c r="D41" s="299"/>
      <c r="E41" s="299"/>
      <c r="F41" s="305"/>
      <c r="G41" s="301">
        <v>4</v>
      </c>
      <c r="H41" s="301">
        <v>10</v>
      </c>
      <c r="I41" s="301">
        <v>70</v>
      </c>
      <c r="J41" s="301">
        <v>95</v>
      </c>
      <c r="K41" s="301">
        <v>95</v>
      </c>
      <c r="L41" s="303"/>
    </row>
    <row r="42" spans="2:12" ht="15" customHeight="1">
      <c r="B42" s="288"/>
      <c r="C42" s="302"/>
      <c r="D42" s="299"/>
      <c r="E42" s="299"/>
      <c r="F42" s="305"/>
      <c r="G42" s="301">
        <v>11</v>
      </c>
      <c r="H42" s="301">
        <v>999</v>
      </c>
      <c r="I42" s="301">
        <v>90</v>
      </c>
      <c r="J42" s="301">
        <v>125</v>
      </c>
      <c r="K42" s="301">
        <v>125</v>
      </c>
      <c r="L42" s="303"/>
    </row>
    <row r="43" spans="2:12">
      <c r="B43" s="288"/>
      <c r="C43" s="304"/>
      <c r="D43" s="299"/>
      <c r="E43" s="299"/>
      <c r="F43" s="305"/>
      <c r="G43" s="301"/>
      <c r="H43" s="301"/>
      <c r="I43" s="301"/>
      <c r="J43" s="301"/>
      <c r="K43" s="301"/>
      <c r="L43" s="303"/>
    </row>
    <row r="44" spans="2:12" ht="14.45" customHeight="1">
      <c r="B44" s="288"/>
      <c r="C44" s="298" t="s">
        <v>470</v>
      </c>
      <c r="D44" s="307" t="s">
        <v>468</v>
      </c>
      <c r="E44" s="299" t="s">
        <v>232</v>
      </c>
      <c r="F44" s="305" t="s">
        <v>471</v>
      </c>
      <c r="G44" s="301">
        <v>1</v>
      </c>
      <c r="H44" s="301">
        <v>3</v>
      </c>
      <c r="I44" s="301">
        <v>70</v>
      </c>
      <c r="J44" s="301">
        <v>100</v>
      </c>
      <c r="K44" s="301">
        <v>100</v>
      </c>
      <c r="L44" s="303"/>
    </row>
    <row r="45" spans="2:12">
      <c r="B45" s="288"/>
      <c r="C45" s="302"/>
      <c r="D45" s="307"/>
      <c r="E45" s="299"/>
      <c r="F45" s="305"/>
      <c r="G45" s="301">
        <v>4</v>
      </c>
      <c r="H45" s="301">
        <v>10</v>
      </c>
      <c r="I45" s="301">
        <v>100</v>
      </c>
      <c r="J45" s="301">
        <v>130</v>
      </c>
      <c r="K45" s="301">
        <v>130</v>
      </c>
      <c r="L45" s="303"/>
    </row>
    <row r="46" spans="2:12" ht="15" customHeight="1">
      <c r="B46" s="288"/>
      <c r="C46" s="302"/>
      <c r="D46" s="307"/>
      <c r="E46" s="299"/>
      <c r="F46" s="305"/>
      <c r="G46" s="301">
        <v>11</v>
      </c>
      <c r="H46" s="301">
        <v>999</v>
      </c>
      <c r="I46" s="301">
        <v>130</v>
      </c>
      <c r="J46" s="301">
        <v>160</v>
      </c>
      <c r="K46" s="301">
        <v>160</v>
      </c>
      <c r="L46" s="303"/>
    </row>
    <row r="47" spans="2:12">
      <c r="B47" s="288"/>
      <c r="C47" s="304"/>
      <c r="D47" s="307"/>
      <c r="E47" s="299"/>
      <c r="F47" s="305"/>
      <c r="G47" s="301"/>
      <c r="H47" s="301"/>
      <c r="I47" s="301"/>
      <c r="J47" s="301"/>
      <c r="K47" s="301"/>
      <c r="L47" s="303"/>
    </row>
    <row r="48" spans="2:12">
      <c r="B48" s="288"/>
      <c r="C48" s="308" t="s">
        <v>473</v>
      </c>
      <c r="D48"/>
      <c r="E48"/>
      <c r="F48"/>
      <c r="G48"/>
      <c r="H48"/>
      <c r="I48"/>
      <c r="J48"/>
      <c r="K48"/>
      <c r="L48" s="303"/>
    </row>
    <row r="49" spans="2:12">
      <c r="B49" s="288"/>
      <c r="C49" s="308" t="s">
        <v>474</v>
      </c>
      <c r="D49"/>
      <c r="E49"/>
      <c r="F49"/>
      <c r="G49"/>
      <c r="H49"/>
      <c r="I49"/>
      <c r="J49"/>
      <c r="K49"/>
      <c r="L49" s="303"/>
    </row>
    <row r="50" spans="2:12">
      <c r="B50" s="288"/>
      <c r="C50" s="309" t="s">
        <v>475</v>
      </c>
      <c r="D50" s="310"/>
      <c r="E50" s="311"/>
      <c r="F50" s="312"/>
      <c r="G50" s="313"/>
      <c r="H50" s="313"/>
      <c r="I50" s="314"/>
      <c r="J50" s="314"/>
      <c r="K50" s="314"/>
      <c r="L50" s="303"/>
    </row>
    <row r="51" spans="2:12">
      <c r="B51" s="288"/>
      <c r="C51" s="315" t="s">
        <v>442</v>
      </c>
      <c r="D51" s="315"/>
      <c r="E51" s="315"/>
      <c r="F51" s="315"/>
      <c r="G51" s="315"/>
      <c r="H51" s="315"/>
      <c r="I51" s="315"/>
      <c r="J51" s="315"/>
      <c r="K51" s="315"/>
      <c r="L51" s="316"/>
    </row>
    <row r="52" spans="2:12">
      <c r="B52" s="288"/>
      <c r="C52" s="315" t="s">
        <v>476</v>
      </c>
      <c r="D52" s="315"/>
      <c r="E52" s="315"/>
      <c r="F52" s="315"/>
      <c r="G52" s="315"/>
      <c r="H52" s="315"/>
      <c r="I52" s="315"/>
      <c r="J52" s="315"/>
      <c r="K52" s="315"/>
      <c r="L52" s="316"/>
    </row>
    <row r="53" spans="2:12" ht="15" customHeight="1">
      <c r="B53" s="288"/>
      <c r="C53" s="317" t="s">
        <v>477</v>
      </c>
      <c r="D53" s="317"/>
      <c r="E53" s="317"/>
      <c r="F53" s="317"/>
      <c r="G53" s="317"/>
      <c r="H53" s="317"/>
      <c r="I53" s="317"/>
      <c r="J53" s="315"/>
      <c r="K53" s="315"/>
      <c r="L53" s="318"/>
    </row>
    <row r="54" spans="2:12" ht="20.25" customHeight="1">
      <c r="B54" s="288"/>
      <c r="C54" s="317"/>
      <c r="D54" s="317"/>
      <c r="E54" s="317"/>
      <c r="F54" s="317"/>
      <c r="G54" s="317"/>
      <c r="H54" s="317"/>
      <c r="I54" s="317"/>
      <c r="J54" s="315"/>
      <c r="K54" s="315"/>
      <c r="L54" s="318"/>
    </row>
    <row r="55" spans="2:12" ht="15" customHeight="1">
      <c r="B55" s="288"/>
      <c r="C55" s="317" t="s">
        <v>478</v>
      </c>
      <c r="D55" s="317"/>
      <c r="E55" s="317"/>
      <c r="F55" s="317"/>
      <c r="G55" s="317"/>
      <c r="H55" s="317"/>
      <c r="I55" s="317"/>
      <c r="J55" s="317"/>
      <c r="K55" s="315"/>
      <c r="L55" s="318"/>
    </row>
    <row r="56" spans="2:12" ht="15.75" thickBot="1">
      <c r="B56" s="319"/>
      <c r="C56" s="320" t="s">
        <v>479</v>
      </c>
      <c r="D56" s="321"/>
      <c r="E56" s="321"/>
      <c r="F56" s="321"/>
      <c r="G56" s="321"/>
      <c r="H56" s="321"/>
      <c r="I56" s="322"/>
      <c r="J56" s="322"/>
      <c r="K56" s="322"/>
      <c r="L56" s="323"/>
    </row>
  </sheetData>
  <mergeCells count="40">
    <mergeCell ref="C53:I54"/>
    <mergeCell ref="C55:J55"/>
    <mergeCell ref="C40:C43"/>
    <mergeCell ref="D40:D43"/>
    <mergeCell ref="E40:E43"/>
    <mergeCell ref="F40:F43"/>
    <mergeCell ref="C44:C47"/>
    <mergeCell ref="D44:D47"/>
    <mergeCell ref="E44:E47"/>
    <mergeCell ref="F44:F47"/>
    <mergeCell ref="C32:C35"/>
    <mergeCell ref="D32:D35"/>
    <mergeCell ref="E32:E35"/>
    <mergeCell ref="F32:F35"/>
    <mergeCell ref="C36:C39"/>
    <mergeCell ref="D36:D39"/>
    <mergeCell ref="E36:E39"/>
    <mergeCell ref="F36:F39"/>
    <mergeCell ref="C24:C27"/>
    <mergeCell ref="D24:D27"/>
    <mergeCell ref="E24:E27"/>
    <mergeCell ref="F24:F27"/>
    <mergeCell ref="C28:C31"/>
    <mergeCell ref="D28:D31"/>
    <mergeCell ref="E28:E31"/>
    <mergeCell ref="F28:F31"/>
    <mergeCell ref="C16:C19"/>
    <mergeCell ref="D16:D19"/>
    <mergeCell ref="E16:E19"/>
    <mergeCell ref="F16:F19"/>
    <mergeCell ref="C20:C23"/>
    <mergeCell ref="D20:D23"/>
    <mergeCell ref="E20:E23"/>
    <mergeCell ref="F20:F23"/>
    <mergeCell ref="C14:C15"/>
    <mergeCell ref="D14:D15"/>
    <mergeCell ref="E14:E15"/>
    <mergeCell ref="F14:F15"/>
    <mergeCell ref="G14:H14"/>
    <mergeCell ref="I14:K14"/>
  </mergeCells>
  <pageMargins left="0.70866141732283472" right="0.70866141732283472" top="0.74803149606299213" bottom="0.74803149606299213" header="0.31496062992125984" footer="0.31496062992125984"/>
  <pageSetup paperSize="9" scale="72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6C12-80D2-4693-94D6-DC7A7C762401}">
  <sheetPr codeName="Sheet12">
    <tabColor theme="7" tint="0.39997558519241921"/>
    <pageSetUpPr fitToPage="1"/>
  </sheetPr>
  <dimension ref="B1:L57"/>
  <sheetViews>
    <sheetView showGridLines="0" topLeftCell="A24" zoomScaleNormal="100" workbookViewId="0">
      <selection activeCell="P47" sqref="P47"/>
    </sheetView>
  </sheetViews>
  <sheetFormatPr defaultColWidth="9.140625" defaultRowHeight="15"/>
  <cols>
    <col min="1" max="1" width="2.5703125" style="283" customWidth="1"/>
    <col min="2" max="2" width="9.140625" style="283"/>
    <col min="3" max="3" width="13.140625" style="283" customWidth="1"/>
    <col min="4" max="4" width="12.7109375" style="283" customWidth="1"/>
    <col min="5" max="5" width="9.140625" style="283"/>
    <col min="6" max="6" width="19" style="283" customWidth="1"/>
    <col min="7" max="16384" width="9.140625" style="283"/>
  </cols>
  <sheetData>
    <row r="1" spans="2:12" ht="15.75" thickBot="1"/>
    <row r="2" spans="2:12">
      <c r="B2" s="284"/>
      <c r="C2" s="285"/>
      <c r="D2" s="285"/>
      <c r="E2" s="285"/>
      <c r="F2" s="285"/>
      <c r="G2" s="285"/>
      <c r="H2" s="285"/>
      <c r="I2" s="285"/>
      <c r="J2" s="285"/>
      <c r="K2" s="285"/>
      <c r="L2" s="287"/>
    </row>
    <row r="3" spans="2:12">
      <c r="B3" s="288"/>
      <c r="C3" s="71"/>
      <c r="D3" s="71"/>
      <c r="E3" s="71"/>
      <c r="F3" s="71"/>
      <c r="G3" s="71"/>
      <c r="H3" s="71"/>
      <c r="I3" s="71"/>
      <c r="J3" s="71"/>
      <c r="K3" s="71"/>
      <c r="L3" s="289"/>
    </row>
    <row r="4" spans="2:12">
      <c r="B4" s="288"/>
      <c r="C4" s="71"/>
      <c r="D4" s="71"/>
      <c r="E4" s="71"/>
      <c r="F4" s="71"/>
      <c r="G4" s="71"/>
      <c r="H4" s="71"/>
      <c r="I4" s="71"/>
      <c r="J4" s="71"/>
      <c r="K4" s="71"/>
      <c r="L4" s="289"/>
    </row>
    <row r="5" spans="2:12">
      <c r="B5" s="288"/>
      <c r="C5" s="73" t="s">
        <v>0</v>
      </c>
      <c r="D5"/>
      <c r="E5"/>
      <c r="F5"/>
      <c r="G5"/>
      <c r="H5"/>
      <c r="I5" s="71"/>
      <c r="J5" s="71"/>
      <c r="K5" s="71"/>
      <c r="L5" s="289"/>
    </row>
    <row r="6" spans="2:12">
      <c r="B6" s="288"/>
      <c r="C6" s="73" t="s">
        <v>1</v>
      </c>
      <c r="D6"/>
      <c r="E6"/>
      <c r="F6"/>
      <c r="G6"/>
      <c r="H6"/>
      <c r="I6" s="71"/>
      <c r="J6" s="71"/>
      <c r="K6" s="71"/>
      <c r="L6" s="289"/>
    </row>
    <row r="7" spans="2:12">
      <c r="B7" s="288"/>
      <c r="C7" s="73" t="s">
        <v>2</v>
      </c>
      <c r="D7"/>
      <c r="E7"/>
      <c r="F7"/>
      <c r="G7"/>
      <c r="H7"/>
      <c r="I7" s="71"/>
      <c r="J7" s="71"/>
      <c r="K7" s="71"/>
      <c r="L7" s="289"/>
    </row>
    <row r="8" spans="2:12">
      <c r="B8" s="288"/>
      <c r="C8"/>
      <c r="D8"/>
      <c r="E8"/>
      <c r="F8"/>
      <c r="G8"/>
      <c r="H8"/>
      <c r="I8" s="71"/>
      <c r="J8" s="71"/>
      <c r="K8" s="71"/>
      <c r="L8" s="289"/>
    </row>
    <row r="9" spans="2:12" ht="18.75">
      <c r="B9" s="288"/>
      <c r="C9" s="291" t="s">
        <v>480</v>
      </c>
      <c r="D9" s="71"/>
      <c r="E9" s="71"/>
      <c r="F9" s="71"/>
      <c r="G9" s="71"/>
      <c r="H9" s="71"/>
      <c r="I9" s="71"/>
      <c r="J9" s="71"/>
      <c r="K9" s="71"/>
      <c r="L9" s="289"/>
    </row>
    <row r="10" spans="2:12">
      <c r="B10" s="288"/>
      <c r="C10" s="292" t="s">
        <v>481</v>
      </c>
      <c r="D10" s="71"/>
      <c r="E10" s="71"/>
      <c r="F10" s="71"/>
      <c r="G10" s="71"/>
      <c r="H10" s="293" t="s">
        <v>448</v>
      </c>
      <c r="I10" s="71"/>
      <c r="J10"/>
      <c r="K10"/>
      <c r="L10" s="290"/>
    </row>
    <row r="11" spans="2:12">
      <c r="B11" s="288"/>
      <c r="C11" s="292" t="s">
        <v>449</v>
      </c>
      <c r="D11" s="71"/>
      <c r="E11" s="71"/>
      <c r="F11" s="71"/>
      <c r="G11" s="71"/>
      <c r="H11"/>
      <c r="I11" s="71"/>
      <c r="J11" s="71"/>
      <c r="K11" s="71"/>
      <c r="L11" s="72"/>
    </row>
    <row r="12" spans="2:12">
      <c r="B12" s="288"/>
      <c r="C12" s="292" t="s">
        <v>450</v>
      </c>
      <c r="D12" s="71"/>
      <c r="E12" s="71"/>
      <c r="F12" s="71"/>
      <c r="G12" s="71"/>
      <c r="H12"/>
      <c r="I12" s="71"/>
      <c r="J12" s="71"/>
      <c r="K12" s="71"/>
      <c r="L12" s="72"/>
    </row>
    <row r="13" spans="2:12">
      <c r="B13" s="288"/>
      <c r="C13" s="71" t="s">
        <v>451</v>
      </c>
      <c r="D13" s="71"/>
      <c r="E13" s="71"/>
      <c r="F13" s="71"/>
      <c r="G13" s="71"/>
      <c r="H13" s="71"/>
      <c r="I13" s="71"/>
      <c r="J13" s="71"/>
      <c r="K13" s="71"/>
      <c r="L13" s="72"/>
    </row>
    <row r="14" spans="2:12" ht="15" customHeight="1">
      <c r="B14" s="288"/>
      <c r="C14" s="324"/>
      <c r="D14" s="325"/>
      <c r="E14" s="325"/>
      <c r="F14" s="326"/>
      <c r="G14" s="326"/>
      <c r="H14" s="326"/>
      <c r="I14" s="326"/>
      <c r="J14" s="326"/>
      <c r="K14" s="326"/>
      <c r="L14" s="297"/>
    </row>
    <row r="15" spans="2:12" ht="15" customHeight="1">
      <c r="B15" s="288"/>
      <c r="C15" s="294" t="s">
        <v>452</v>
      </c>
      <c r="D15" s="294" t="s">
        <v>453</v>
      </c>
      <c r="E15" s="294" t="s">
        <v>215</v>
      </c>
      <c r="F15" s="295" t="s">
        <v>454</v>
      </c>
      <c r="G15" s="295" t="s">
        <v>455</v>
      </c>
      <c r="H15" s="295"/>
      <c r="I15" s="295" t="s">
        <v>456</v>
      </c>
      <c r="J15" s="295"/>
      <c r="K15" s="295"/>
      <c r="L15" s="297"/>
    </row>
    <row r="16" spans="2:12">
      <c r="B16" s="288"/>
      <c r="C16" s="294"/>
      <c r="D16" s="294"/>
      <c r="E16" s="294"/>
      <c r="F16" s="295"/>
      <c r="G16" s="296" t="s">
        <v>457</v>
      </c>
      <c r="H16" s="296" t="s">
        <v>458</v>
      </c>
      <c r="I16" s="296" t="s">
        <v>237</v>
      </c>
      <c r="J16" s="296" t="s">
        <v>459</v>
      </c>
      <c r="K16" s="296" t="s">
        <v>460</v>
      </c>
      <c r="L16" s="297"/>
    </row>
    <row r="17" spans="2:12" ht="15" customHeight="1">
      <c r="B17" s="288"/>
      <c r="C17" s="307" t="s">
        <v>461</v>
      </c>
      <c r="D17" s="307" t="s">
        <v>482</v>
      </c>
      <c r="E17" s="299" t="s">
        <v>232</v>
      </c>
      <c r="F17" s="300" t="s">
        <v>483</v>
      </c>
      <c r="G17" s="301">
        <v>1</v>
      </c>
      <c r="H17" s="301">
        <v>7</v>
      </c>
      <c r="I17" s="301">
        <v>50</v>
      </c>
      <c r="J17" s="301">
        <v>70</v>
      </c>
      <c r="K17" s="301">
        <v>70</v>
      </c>
      <c r="L17" s="297"/>
    </row>
    <row r="18" spans="2:12">
      <c r="B18" s="288"/>
      <c r="C18" s="307"/>
      <c r="D18" s="307"/>
      <c r="E18" s="299"/>
      <c r="F18" s="300"/>
      <c r="G18" s="301">
        <v>8</v>
      </c>
      <c r="H18" s="301">
        <v>14</v>
      </c>
      <c r="I18" s="301">
        <v>80</v>
      </c>
      <c r="J18" s="301">
        <v>110</v>
      </c>
      <c r="K18" s="301">
        <v>110</v>
      </c>
      <c r="L18" s="297"/>
    </row>
    <row r="19" spans="2:12">
      <c r="B19" s="288"/>
      <c r="C19" s="307"/>
      <c r="D19" s="307"/>
      <c r="E19" s="299"/>
      <c r="F19" s="300"/>
      <c r="G19" s="301">
        <v>15</v>
      </c>
      <c r="H19" s="301">
        <v>999</v>
      </c>
      <c r="I19" s="301">
        <v>90</v>
      </c>
      <c r="J19" s="301">
        <v>130</v>
      </c>
      <c r="K19" s="301">
        <v>130</v>
      </c>
      <c r="L19" s="327"/>
    </row>
    <row r="20" spans="2:12" ht="18.75" customHeight="1">
      <c r="B20" s="288"/>
      <c r="C20" s="307"/>
      <c r="D20" s="307"/>
      <c r="E20" s="299"/>
      <c r="F20" s="300"/>
      <c r="G20" s="301"/>
      <c r="H20" s="301"/>
      <c r="I20" s="301"/>
      <c r="J20" s="301"/>
      <c r="K20" s="301"/>
      <c r="L20" s="328"/>
    </row>
    <row r="21" spans="2:12" ht="15" customHeight="1">
      <c r="B21" s="288"/>
      <c r="C21" s="307" t="s">
        <v>461</v>
      </c>
      <c r="D21" s="307" t="s">
        <v>466</v>
      </c>
      <c r="E21" s="299" t="s">
        <v>232</v>
      </c>
      <c r="F21" s="305" t="s">
        <v>469</v>
      </c>
      <c r="G21" s="301">
        <v>1</v>
      </c>
      <c r="H21" s="301">
        <v>7</v>
      </c>
      <c r="I21" s="301">
        <v>70</v>
      </c>
      <c r="J21" s="301">
        <v>90</v>
      </c>
      <c r="K21" s="301">
        <v>90</v>
      </c>
      <c r="L21" s="328"/>
    </row>
    <row r="22" spans="2:12" ht="15" customHeight="1">
      <c r="B22" s="288"/>
      <c r="C22" s="307"/>
      <c r="D22" s="307"/>
      <c r="E22" s="299"/>
      <c r="F22" s="305"/>
      <c r="G22" s="301">
        <v>8</v>
      </c>
      <c r="H22" s="301">
        <v>14</v>
      </c>
      <c r="I22" s="301">
        <v>100</v>
      </c>
      <c r="J22" s="301">
        <v>150</v>
      </c>
      <c r="K22" s="301">
        <v>150</v>
      </c>
      <c r="L22" s="328"/>
    </row>
    <row r="23" spans="2:12" ht="15" customHeight="1">
      <c r="B23" s="288"/>
      <c r="C23" s="307"/>
      <c r="D23" s="307"/>
      <c r="E23" s="299"/>
      <c r="F23" s="305"/>
      <c r="G23" s="301">
        <v>15</v>
      </c>
      <c r="H23" s="301">
        <v>999</v>
      </c>
      <c r="I23" s="301">
        <v>120</v>
      </c>
      <c r="J23" s="301">
        <v>170</v>
      </c>
      <c r="K23" s="301">
        <v>170</v>
      </c>
      <c r="L23" s="297"/>
    </row>
    <row r="24" spans="2:12" ht="15" customHeight="1">
      <c r="B24" s="288"/>
      <c r="C24" s="307"/>
      <c r="D24" s="307"/>
      <c r="E24" s="299"/>
      <c r="F24" s="305"/>
      <c r="G24" s="301"/>
      <c r="H24" s="301"/>
      <c r="I24" s="301"/>
      <c r="J24" s="301"/>
      <c r="K24" s="301"/>
      <c r="L24" s="297"/>
    </row>
    <row r="25" spans="2:12">
      <c r="B25" s="288"/>
      <c r="C25" s="307" t="s">
        <v>461</v>
      </c>
      <c r="D25" s="307" t="s">
        <v>468</v>
      </c>
      <c r="E25" s="299" t="s">
        <v>232</v>
      </c>
      <c r="F25" s="305" t="s">
        <v>469</v>
      </c>
      <c r="G25" s="301">
        <v>1</v>
      </c>
      <c r="H25" s="301">
        <v>7</v>
      </c>
      <c r="I25" s="306">
        <v>110</v>
      </c>
      <c r="J25" s="306">
        <v>125</v>
      </c>
      <c r="K25" s="306">
        <v>125</v>
      </c>
      <c r="L25" s="297"/>
    </row>
    <row r="26" spans="2:12" ht="15" customHeight="1">
      <c r="B26" s="288"/>
      <c r="C26" s="307"/>
      <c r="D26" s="307"/>
      <c r="E26" s="299"/>
      <c r="F26" s="305"/>
      <c r="G26" s="301">
        <v>8</v>
      </c>
      <c r="H26" s="301">
        <v>999</v>
      </c>
      <c r="I26" s="306">
        <v>180</v>
      </c>
      <c r="J26" s="306">
        <v>200</v>
      </c>
      <c r="K26" s="306">
        <v>200</v>
      </c>
      <c r="L26" s="328"/>
    </row>
    <row r="27" spans="2:12" ht="17.25" customHeight="1">
      <c r="B27" s="288"/>
      <c r="C27" s="307"/>
      <c r="D27" s="307"/>
      <c r="E27" s="299"/>
      <c r="F27" s="305"/>
      <c r="G27" s="301"/>
      <c r="H27" s="301"/>
      <c r="I27" s="301"/>
      <c r="J27" s="301"/>
      <c r="K27" s="301"/>
      <c r="L27" s="328"/>
    </row>
    <row r="28" spans="2:12" ht="16.5" customHeight="1">
      <c r="B28" s="288"/>
      <c r="C28" s="307"/>
      <c r="D28" s="307"/>
      <c r="E28" s="299"/>
      <c r="F28" s="305"/>
      <c r="G28" s="301"/>
      <c r="H28" s="301"/>
      <c r="I28" s="301"/>
      <c r="J28" s="301"/>
      <c r="K28" s="301"/>
      <c r="L28" s="329"/>
    </row>
    <row r="29" spans="2:12" ht="15" customHeight="1">
      <c r="B29" s="288"/>
      <c r="C29" s="307" t="s">
        <v>461</v>
      </c>
      <c r="D29" s="307" t="s">
        <v>464</v>
      </c>
      <c r="E29" s="299" t="s">
        <v>232</v>
      </c>
      <c r="F29" s="305" t="s">
        <v>469</v>
      </c>
      <c r="G29" s="301">
        <v>1</v>
      </c>
      <c r="H29" s="301">
        <v>7</v>
      </c>
      <c r="I29" s="306">
        <v>110</v>
      </c>
      <c r="J29" s="306">
        <v>125</v>
      </c>
      <c r="K29" s="306">
        <v>125</v>
      </c>
      <c r="L29" s="297"/>
    </row>
    <row r="30" spans="2:12" ht="15" customHeight="1">
      <c r="B30" s="288"/>
      <c r="C30" s="307"/>
      <c r="D30" s="307"/>
      <c r="E30" s="299"/>
      <c r="F30" s="305"/>
      <c r="G30" s="301">
        <v>8</v>
      </c>
      <c r="H30" s="301">
        <v>999</v>
      </c>
      <c r="I30" s="306">
        <v>180</v>
      </c>
      <c r="J30" s="306">
        <v>200</v>
      </c>
      <c r="K30" s="306">
        <v>200</v>
      </c>
      <c r="L30" s="297"/>
    </row>
    <row r="31" spans="2:12" ht="15.75" customHeight="1">
      <c r="B31" s="288"/>
      <c r="C31" s="307"/>
      <c r="D31" s="307"/>
      <c r="E31" s="299"/>
      <c r="F31" s="305"/>
      <c r="G31" s="301"/>
      <c r="H31" s="301"/>
      <c r="I31" s="301"/>
      <c r="J31" s="301"/>
      <c r="K31" s="301"/>
      <c r="L31" s="297"/>
    </row>
    <row r="32" spans="2:12" ht="18" customHeight="1">
      <c r="B32" s="288"/>
      <c r="C32" s="307"/>
      <c r="D32" s="307"/>
      <c r="E32" s="299"/>
      <c r="F32" s="305"/>
      <c r="G32" s="301"/>
      <c r="H32" s="301"/>
      <c r="I32" s="301"/>
      <c r="J32" s="301"/>
      <c r="K32" s="301"/>
      <c r="L32" s="297"/>
    </row>
    <row r="33" spans="2:12" ht="15" customHeight="1">
      <c r="B33" s="288"/>
      <c r="C33" s="307" t="s">
        <v>470</v>
      </c>
      <c r="D33" s="307" t="s">
        <v>482</v>
      </c>
      <c r="E33" s="299" t="s">
        <v>232</v>
      </c>
      <c r="F33" s="300" t="s">
        <v>484</v>
      </c>
      <c r="G33" s="301">
        <v>1</v>
      </c>
      <c r="H33" s="301">
        <v>7</v>
      </c>
      <c r="I33" s="301">
        <v>40</v>
      </c>
      <c r="J33" s="301">
        <v>60</v>
      </c>
      <c r="K33" s="301">
        <v>60</v>
      </c>
      <c r="L33" s="328"/>
    </row>
    <row r="34" spans="2:12" ht="15" customHeight="1">
      <c r="B34" s="288"/>
      <c r="C34" s="307"/>
      <c r="D34" s="307"/>
      <c r="E34" s="299"/>
      <c r="F34" s="300"/>
      <c r="G34" s="301">
        <v>8</v>
      </c>
      <c r="H34" s="301">
        <v>18</v>
      </c>
      <c r="I34" s="301">
        <v>60</v>
      </c>
      <c r="J34" s="301">
        <v>80</v>
      </c>
      <c r="K34" s="301">
        <v>80</v>
      </c>
      <c r="L34" s="328"/>
    </row>
    <row r="35" spans="2:12" ht="15" customHeight="1">
      <c r="B35" s="288"/>
      <c r="C35" s="307"/>
      <c r="D35" s="307"/>
      <c r="E35" s="299"/>
      <c r="F35" s="300"/>
      <c r="G35" s="301">
        <v>19</v>
      </c>
      <c r="H35" s="301">
        <v>999</v>
      </c>
      <c r="I35" s="301">
        <v>80</v>
      </c>
      <c r="J35" s="301">
        <v>120</v>
      </c>
      <c r="K35" s="301">
        <v>120</v>
      </c>
      <c r="L35" s="328"/>
    </row>
    <row r="36" spans="2:12" ht="15" customHeight="1">
      <c r="B36" s="288"/>
      <c r="C36" s="307"/>
      <c r="D36" s="307"/>
      <c r="E36" s="299"/>
      <c r="F36" s="300"/>
      <c r="G36" s="301"/>
      <c r="H36" s="301"/>
      <c r="I36" s="301"/>
      <c r="J36" s="301"/>
      <c r="K36" s="301"/>
      <c r="L36" s="328"/>
    </row>
    <row r="37" spans="2:12" ht="15" customHeight="1">
      <c r="B37" s="288"/>
      <c r="C37" s="307" t="s">
        <v>470</v>
      </c>
      <c r="D37" s="307" t="s">
        <v>466</v>
      </c>
      <c r="E37" s="299" t="s">
        <v>232</v>
      </c>
      <c r="F37" s="300" t="s">
        <v>484</v>
      </c>
      <c r="G37" s="301">
        <v>1</v>
      </c>
      <c r="H37" s="301">
        <v>7</v>
      </c>
      <c r="I37" s="301">
        <v>40</v>
      </c>
      <c r="J37" s="301">
        <v>60</v>
      </c>
      <c r="K37" s="301">
        <v>60</v>
      </c>
      <c r="L37" s="328"/>
    </row>
    <row r="38" spans="2:12" ht="15" customHeight="1">
      <c r="B38" s="288"/>
      <c r="C38" s="307"/>
      <c r="D38" s="307"/>
      <c r="E38" s="299"/>
      <c r="F38" s="300"/>
      <c r="G38" s="301">
        <v>8</v>
      </c>
      <c r="H38" s="301">
        <v>18</v>
      </c>
      <c r="I38" s="301">
        <v>60</v>
      </c>
      <c r="J38" s="301">
        <v>80</v>
      </c>
      <c r="K38" s="301">
        <v>80</v>
      </c>
      <c r="L38" s="328"/>
    </row>
    <row r="39" spans="2:12" ht="15" customHeight="1">
      <c r="B39" s="288"/>
      <c r="C39" s="307"/>
      <c r="D39" s="307"/>
      <c r="E39" s="299"/>
      <c r="F39" s="300"/>
      <c r="G39" s="301">
        <v>19</v>
      </c>
      <c r="H39" s="301">
        <v>999</v>
      </c>
      <c r="I39" s="301">
        <v>80</v>
      </c>
      <c r="J39" s="301">
        <v>120</v>
      </c>
      <c r="K39" s="301">
        <v>120</v>
      </c>
      <c r="L39" s="328"/>
    </row>
    <row r="40" spans="2:12" ht="15" customHeight="1">
      <c r="B40" s="288"/>
      <c r="C40" s="307"/>
      <c r="D40" s="307"/>
      <c r="E40" s="299"/>
      <c r="F40" s="300"/>
      <c r="G40" s="301"/>
      <c r="H40" s="301"/>
      <c r="I40" s="301"/>
      <c r="J40" s="301"/>
      <c r="K40" s="301"/>
      <c r="L40" s="297"/>
    </row>
    <row r="41" spans="2:12" ht="15" customHeight="1">
      <c r="B41" s="288"/>
      <c r="C41" s="307" t="s">
        <v>470</v>
      </c>
      <c r="D41" s="307" t="s">
        <v>468</v>
      </c>
      <c r="E41" s="299" t="s">
        <v>232</v>
      </c>
      <c r="F41" s="300" t="s">
        <v>485</v>
      </c>
      <c r="G41" s="301">
        <v>1</v>
      </c>
      <c r="H41" s="301">
        <v>3</v>
      </c>
      <c r="I41" s="301">
        <v>70</v>
      </c>
      <c r="J41" s="301">
        <v>70</v>
      </c>
      <c r="K41" s="301">
        <v>70</v>
      </c>
      <c r="L41" s="328"/>
    </row>
    <row r="42" spans="2:12" ht="15" customHeight="1">
      <c r="B42" s="288"/>
      <c r="C42" s="307"/>
      <c r="D42" s="307"/>
      <c r="E42" s="299"/>
      <c r="F42" s="300"/>
      <c r="G42" s="301">
        <v>4</v>
      </c>
      <c r="H42" s="301">
        <v>999</v>
      </c>
      <c r="I42" s="301">
        <v>120</v>
      </c>
      <c r="J42" s="301">
        <v>160</v>
      </c>
      <c r="K42" s="301">
        <v>160</v>
      </c>
      <c r="L42" s="328"/>
    </row>
    <row r="43" spans="2:12" ht="15" customHeight="1">
      <c r="B43" s="288"/>
      <c r="C43" s="307"/>
      <c r="D43" s="307"/>
      <c r="E43" s="299"/>
      <c r="F43" s="300"/>
      <c r="G43" s="301"/>
      <c r="H43" s="301"/>
      <c r="I43" s="301"/>
      <c r="J43" s="301"/>
      <c r="K43" s="301"/>
      <c r="L43" s="328"/>
    </row>
    <row r="44" spans="2:12" ht="15" customHeight="1">
      <c r="B44" s="288"/>
      <c r="C44" s="307"/>
      <c r="D44" s="307"/>
      <c r="E44" s="299"/>
      <c r="F44" s="300"/>
      <c r="G44" s="301"/>
      <c r="H44" s="301"/>
      <c r="I44" s="301"/>
      <c r="J44" s="301"/>
      <c r="K44" s="301"/>
      <c r="L44" s="328"/>
    </row>
    <row r="45" spans="2:12" ht="15" customHeight="1">
      <c r="B45" s="288"/>
      <c r="C45" s="307" t="s">
        <v>470</v>
      </c>
      <c r="D45" s="307" t="s">
        <v>464</v>
      </c>
      <c r="E45" s="299" t="s">
        <v>232</v>
      </c>
      <c r="F45" s="300" t="s">
        <v>486</v>
      </c>
      <c r="G45" s="301">
        <v>1</v>
      </c>
      <c r="H45" s="301">
        <v>3</v>
      </c>
      <c r="I45" s="301">
        <v>90</v>
      </c>
      <c r="J45" s="301">
        <v>100</v>
      </c>
      <c r="K45" s="301">
        <v>100</v>
      </c>
      <c r="L45" s="328"/>
    </row>
    <row r="46" spans="2:12" ht="21.75" customHeight="1">
      <c r="B46" s="288"/>
      <c r="C46" s="307"/>
      <c r="D46" s="307"/>
      <c r="E46" s="299"/>
      <c r="F46" s="300"/>
      <c r="G46" s="301">
        <v>4</v>
      </c>
      <c r="H46" s="301">
        <v>999</v>
      </c>
      <c r="I46" s="301">
        <v>140</v>
      </c>
      <c r="J46" s="301">
        <v>160</v>
      </c>
      <c r="K46" s="301">
        <v>160</v>
      </c>
      <c r="L46" s="297"/>
    </row>
    <row r="47" spans="2:12" ht="15" customHeight="1">
      <c r="B47" s="288"/>
      <c r="C47" s="307"/>
      <c r="D47" s="307"/>
      <c r="E47" s="299"/>
      <c r="F47" s="300"/>
      <c r="G47" s="301"/>
      <c r="H47" s="301"/>
      <c r="I47" s="301"/>
      <c r="J47" s="301"/>
      <c r="K47" s="301"/>
      <c r="L47" s="330"/>
    </row>
    <row r="48" spans="2:12" ht="15" customHeight="1">
      <c r="B48" s="288"/>
      <c r="C48" s="307"/>
      <c r="D48" s="307"/>
      <c r="E48" s="299"/>
      <c r="F48" s="300"/>
      <c r="G48" s="301"/>
      <c r="H48" s="301"/>
      <c r="I48" s="301"/>
      <c r="J48" s="301"/>
      <c r="K48" s="301"/>
      <c r="L48" s="330"/>
    </row>
    <row r="49" spans="2:12" ht="15" customHeight="1">
      <c r="B49" s="288"/>
      <c r="C49" s="308" t="s">
        <v>473</v>
      </c>
      <c r="D49" s="331"/>
      <c r="E49" s="332"/>
      <c r="F49" s="333"/>
      <c r="G49" s="334"/>
      <c r="H49" s="334"/>
      <c r="I49" s="334"/>
      <c r="J49" s="334"/>
      <c r="K49" s="334"/>
      <c r="L49" s="330"/>
    </row>
    <row r="50" spans="2:12" ht="15" customHeight="1">
      <c r="B50" s="288"/>
      <c r="C50" s="308" t="s">
        <v>474</v>
      </c>
      <c r="D50" s="331"/>
      <c r="E50" s="332"/>
      <c r="F50" s="333"/>
      <c r="G50" s="334"/>
      <c r="H50" s="334"/>
      <c r="I50" s="334"/>
      <c r="J50" s="334"/>
      <c r="K50" s="334"/>
      <c r="L50" s="330"/>
    </row>
    <row r="51" spans="2:12">
      <c r="B51" s="288"/>
      <c r="C51" s="309" t="s">
        <v>475</v>
      </c>
      <c r="D51" s="71"/>
      <c r="E51" s="71"/>
      <c r="F51" s="71"/>
      <c r="G51" s="71"/>
      <c r="H51"/>
      <c r="I51"/>
      <c r="J51"/>
      <c r="K51"/>
      <c r="L51" s="330"/>
    </row>
    <row r="52" spans="2:12">
      <c r="B52" s="288"/>
      <c r="C52" s="315" t="s">
        <v>487</v>
      </c>
      <c r="D52" s="315"/>
      <c r="E52" s="315"/>
      <c r="F52" s="315"/>
      <c r="G52" s="315"/>
      <c r="H52" s="315"/>
      <c r="I52" s="315"/>
      <c r="J52" s="335"/>
      <c r="K52" s="335"/>
      <c r="L52" s="330"/>
    </row>
    <row r="53" spans="2:12" ht="15" customHeight="1">
      <c r="B53" s="288"/>
      <c r="C53" s="336" t="s">
        <v>477</v>
      </c>
      <c r="D53" s="336"/>
      <c r="E53" s="336"/>
      <c r="F53" s="336"/>
      <c r="G53" s="336"/>
      <c r="H53" s="336"/>
      <c r="I53" s="336"/>
      <c r="J53" s="336"/>
      <c r="K53" s="71"/>
      <c r="L53" s="72"/>
    </row>
    <row r="54" spans="2:12" s="340" customFormat="1" ht="24.75" customHeight="1">
      <c r="B54" s="337"/>
      <c r="C54" s="336"/>
      <c r="D54" s="336"/>
      <c r="E54" s="336"/>
      <c r="F54" s="336"/>
      <c r="G54" s="336"/>
      <c r="H54" s="336"/>
      <c r="I54" s="336"/>
      <c r="J54" s="336"/>
      <c r="K54" s="338"/>
      <c r="L54" s="339"/>
    </row>
    <row r="55" spans="2:12">
      <c r="B55" s="288"/>
      <c r="C55" s="309" t="s">
        <v>479</v>
      </c>
      <c r="D55" s="315"/>
      <c r="E55" s="315"/>
      <c r="F55" s="315"/>
      <c r="G55" s="315"/>
      <c r="H55" s="315"/>
      <c r="I55" s="315"/>
      <c r="J55" s="71"/>
      <c r="K55" s="71"/>
      <c r="L55" s="72"/>
    </row>
    <row r="56" spans="2:12">
      <c r="B56" s="288"/>
      <c r="C56" s="317" t="s">
        <v>478</v>
      </c>
      <c r="D56" s="317"/>
      <c r="E56" s="317"/>
      <c r="F56" s="317"/>
      <c r="G56" s="317"/>
      <c r="H56" s="317"/>
      <c r="I56" s="317"/>
      <c r="J56" s="317"/>
      <c r="K56" s="71"/>
      <c r="L56" s="72"/>
    </row>
    <row r="57" spans="2:12" ht="15.75" thickBot="1">
      <c r="B57" s="319"/>
      <c r="C57" s="341"/>
      <c r="D57" s="341"/>
      <c r="E57" s="341"/>
      <c r="F57" s="341"/>
      <c r="G57" s="341"/>
      <c r="H57" s="341"/>
      <c r="I57" s="342"/>
      <c r="J57" s="342"/>
      <c r="K57" s="342"/>
      <c r="L57" s="343"/>
    </row>
  </sheetData>
  <mergeCells count="40">
    <mergeCell ref="C53:J54"/>
    <mergeCell ref="C56:J56"/>
    <mergeCell ref="C41:C44"/>
    <mergeCell ref="D41:D44"/>
    <mergeCell ref="E41:E44"/>
    <mergeCell ref="F41:F44"/>
    <mergeCell ref="C45:C48"/>
    <mergeCell ref="D45:D48"/>
    <mergeCell ref="E45:E48"/>
    <mergeCell ref="F45:F48"/>
    <mergeCell ref="C33:C36"/>
    <mergeCell ref="D33:D36"/>
    <mergeCell ref="E33:E36"/>
    <mergeCell ref="F33:F36"/>
    <mergeCell ref="C37:C40"/>
    <mergeCell ref="D37:D40"/>
    <mergeCell ref="E37:E40"/>
    <mergeCell ref="F37:F40"/>
    <mergeCell ref="C25:C28"/>
    <mergeCell ref="D25:D28"/>
    <mergeCell ref="E25:E28"/>
    <mergeCell ref="F25:F28"/>
    <mergeCell ref="C29:C32"/>
    <mergeCell ref="D29:D32"/>
    <mergeCell ref="E29:E32"/>
    <mergeCell ref="F29:F32"/>
    <mergeCell ref="C17:C20"/>
    <mergeCell ref="D17:D20"/>
    <mergeCell ref="E17:E20"/>
    <mergeCell ref="F17:F20"/>
    <mergeCell ref="C21:C24"/>
    <mergeCell ref="D21:D24"/>
    <mergeCell ref="E21:E24"/>
    <mergeCell ref="F21:F24"/>
    <mergeCell ref="C15:C16"/>
    <mergeCell ref="D15:D16"/>
    <mergeCell ref="E15:E16"/>
    <mergeCell ref="F15:F16"/>
    <mergeCell ref="G15:H15"/>
    <mergeCell ref="I15:K15"/>
  </mergeCells>
  <pageMargins left="0.70866141732283472" right="0.70866141732283472" top="0.74803149606299213" bottom="0.74803149606299213" header="0.31496062992125984" footer="0.31496062992125984"/>
  <pageSetup paperSize="9" scale="72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36A5-FE7B-4970-BD95-3916DAA0A328}">
  <sheetPr codeName="Sheet13">
    <tabColor theme="7" tint="0.39997558519241921"/>
    <pageSetUpPr fitToPage="1"/>
  </sheetPr>
  <dimension ref="B1:L53"/>
  <sheetViews>
    <sheetView showGridLines="0" topLeftCell="A6" zoomScaleNormal="100" workbookViewId="0">
      <selection activeCell="P34" sqref="P34"/>
    </sheetView>
  </sheetViews>
  <sheetFormatPr defaultColWidth="9.140625" defaultRowHeight="15"/>
  <cols>
    <col min="1" max="1" width="2.5703125" style="283" customWidth="1"/>
    <col min="2" max="2" width="9.140625" style="283"/>
    <col min="3" max="3" width="13.140625" style="283" customWidth="1"/>
    <col min="4" max="4" width="12.7109375" style="283" customWidth="1"/>
    <col min="5" max="5" width="9.140625" style="283"/>
    <col min="6" max="6" width="19" style="283" customWidth="1"/>
    <col min="7" max="16384" width="9.140625" style="283"/>
  </cols>
  <sheetData>
    <row r="1" spans="2:12" ht="15.75" thickBot="1"/>
    <row r="2" spans="2:12">
      <c r="B2" s="284"/>
      <c r="C2" s="285"/>
      <c r="D2" s="285"/>
      <c r="E2" s="285"/>
      <c r="F2" s="285"/>
      <c r="G2" s="285"/>
      <c r="H2" s="285"/>
      <c r="I2" s="285"/>
      <c r="J2" s="285"/>
      <c r="K2" s="285"/>
      <c r="L2" s="287"/>
    </row>
    <row r="3" spans="2:12">
      <c r="B3" s="288"/>
      <c r="C3" s="71"/>
      <c r="D3" s="71"/>
      <c r="E3" s="71"/>
      <c r="F3" s="71"/>
      <c r="G3" s="71"/>
      <c r="H3" s="71"/>
      <c r="I3" s="71"/>
      <c r="J3" s="71"/>
      <c r="K3" s="71"/>
      <c r="L3" s="289"/>
    </row>
    <row r="4" spans="2:12">
      <c r="B4" s="288"/>
      <c r="C4" s="71"/>
      <c r="D4" s="71"/>
      <c r="E4" s="71"/>
      <c r="F4" s="71"/>
      <c r="G4" s="71"/>
      <c r="H4" s="71"/>
      <c r="I4" s="71"/>
      <c r="J4" s="71"/>
      <c r="K4" s="71"/>
      <c r="L4" s="289"/>
    </row>
    <row r="5" spans="2:12">
      <c r="B5" s="288"/>
      <c r="C5" s="73" t="s">
        <v>0</v>
      </c>
      <c r="D5"/>
      <c r="E5"/>
      <c r="F5"/>
      <c r="G5"/>
      <c r="H5"/>
      <c r="I5" s="71"/>
      <c r="J5" s="71"/>
      <c r="K5" s="71"/>
      <c r="L5" s="289"/>
    </row>
    <row r="6" spans="2:12">
      <c r="B6" s="288"/>
      <c r="C6" s="73" t="s">
        <v>1</v>
      </c>
      <c r="D6"/>
      <c r="E6"/>
      <c r="F6"/>
      <c r="G6"/>
      <c r="H6"/>
      <c r="I6" s="71"/>
      <c r="J6" s="71"/>
      <c r="K6" s="71"/>
      <c r="L6" s="289"/>
    </row>
    <row r="7" spans="2:12">
      <c r="B7" s="288"/>
      <c r="C7" s="73" t="s">
        <v>2</v>
      </c>
      <c r="D7"/>
      <c r="E7"/>
      <c r="F7"/>
      <c r="G7"/>
      <c r="H7"/>
      <c r="I7" s="71"/>
      <c r="J7" s="71"/>
      <c r="K7" s="71"/>
      <c r="L7" s="289"/>
    </row>
    <row r="8" spans="2:12">
      <c r="B8" s="288"/>
      <c r="C8"/>
      <c r="D8"/>
      <c r="E8"/>
      <c r="F8"/>
      <c r="G8"/>
      <c r="H8"/>
      <c r="I8" s="71"/>
      <c r="J8" s="71"/>
      <c r="K8" s="71"/>
      <c r="L8" s="289"/>
    </row>
    <row r="9" spans="2:12" ht="18.75">
      <c r="B9" s="288"/>
      <c r="C9" s="291" t="s">
        <v>488</v>
      </c>
      <c r="D9" s="71"/>
      <c r="E9" s="71"/>
      <c r="F9" s="71"/>
      <c r="G9" s="71"/>
      <c r="H9" s="71"/>
      <c r="I9" s="71"/>
      <c r="J9" s="71"/>
      <c r="K9" s="71"/>
      <c r="L9" s="289"/>
    </row>
    <row r="10" spans="2:12">
      <c r="B10" s="288"/>
      <c r="C10" s="292" t="s">
        <v>489</v>
      </c>
      <c r="D10" s="71"/>
      <c r="E10" s="71"/>
      <c r="F10" s="71"/>
      <c r="G10" s="71"/>
      <c r="H10" s="293" t="s">
        <v>448</v>
      </c>
      <c r="I10" s="71"/>
      <c r="J10" s="71"/>
      <c r="K10" s="71"/>
      <c r="L10" s="72"/>
    </row>
    <row r="11" spans="2:12">
      <c r="B11" s="288"/>
      <c r="C11" s="292" t="s">
        <v>449</v>
      </c>
      <c r="D11" s="71"/>
      <c r="E11" s="71"/>
      <c r="F11" s="71"/>
      <c r="G11" s="71"/>
      <c r="H11" s="293"/>
      <c r="I11" s="71"/>
      <c r="J11" s="71"/>
      <c r="K11" s="71"/>
      <c r="L11" s="72"/>
    </row>
    <row r="12" spans="2:12">
      <c r="B12" s="288"/>
      <c r="C12" s="292" t="s">
        <v>450</v>
      </c>
      <c r="D12" s="71"/>
      <c r="E12" s="71"/>
      <c r="F12" s="71"/>
      <c r="G12" s="71"/>
      <c r="H12" s="293"/>
      <c r="I12" s="71"/>
      <c r="J12" s="71"/>
      <c r="K12" s="71"/>
      <c r="L12" s="72"/>
    </row>
    <row r="13" spans="2:12">
      <c r="B13" s="288"/>
      <c r="C13" s="71" t="s">
        <v>451</v>
      </c>
      <c r="D13" s="71"/>
      <c r="E13" s="71"/>
      <c r="F13" s="71"/>
      <c r="G13" s="71"/>
      <c r="H13" s="71"/>
      <c r="I13" s="71"/>
      <c r="J13" s="71"/>
      <c r="K13" s="71"/>
      <c r="L13" s="72"/>
    </row>
    <row r="14" spans="2:12" ht="15" customHeight="1">
      <c r="B14" s="288"/>
      <c r="C14" s="294" t="s">
        <v>452</v>
      </c>
      <c r="D14" s="294" t="s">
        <v>453</v>
      </c>
      <c r="E14" s="294" t="s">
        <v>215</v>
      </c>
      <c r="F14" s="295" t="s">
        <v>454</v>
      </c>
      <c r="G14" s="295" t="s">
        <v>455</v>
      </c>
      <c r="H14" s="295"/>
      <c r="I14" s="295" t="s">
        <v>456</v>
      </c>
      <c r="J14" s="295"/>
      <c r="K14" s="295"/>
      <c r="L14" s="297"/>
    </row>
    <row r="15" spans="2:12" ht="15" customHeight="1">
      <c r="B15" s="288"/>
      <c r="C15" s="294"/>
      <c r="D15" s="294"/>
      <c r="E15" s="294"/>
      <c r="F15" s="295"/>
      <c r="G15" s="296" t="s">
        <v>457</v>
      </c>
      <c r="H15" s="296" t="s">
        <v>458</v>
      </c>
      <c r="I15" s="296" t="s">
        <v>237</v>
      </c>
      <c r="J15" s="296" t="s">
        <v>459</v>
      </c>
      <c r="K15" s="296" t="s">
        <v>460</v>
      </c>
      <c r="L15" s="297"/>
    </row>
    <row r="16" spans="2:12">
      <c r="B16" s="288"/>
      <c r="C16" s="307" t="s">
        <v>461</v>
      </c>
      <c r="D16" s="307" t="s">
        <v>482</v>
      </c>
      <c r="E16" s="299" t="s">
        <v>232</v>
      </c>
      <c r="F16" s="300" t="s">
        <v>471</v>
      </c>
      <c r="G16" s="344">
        <v>1</v>
      </c>
      <c r="H16" s="344">
        <v>5</v>
      </c>
      <c r="I16" s="344">
        <v>60</v>
      </c>
      <c r="J16" s="344">
        <v>90</v>
      </c>
      <c r="K16" s="344">
        <v>90</v>
      </c>
      <c r="L16" s="297"/>
    </row>
    <row r="17" spans="2:12" ht="15" customHeight="1">
      <c r="B17" s="288"/>
      <c r="C17" s="307"/>
      <c r="D17" s="307"/>
      <c r="E17" s="299"/>
      <c r="F17" s="300"/>
      <c r="G17" s="344">
        <v>6</v>
      </c>
      <c r="H17" s="344">
        <v>999</v>
      </c>
      <c r="I17" s="344">
        <v>80</v>
      </c>
      <c r="J17" s="344">
        <v>130</v>
      </c>
      <c r="K17" s="344">
        <v>130</v>
      </c>
      <c r="L17" s="297"/>
    </row>
    <row r="18" spans="2:12">
      <c r="B18" s="288"/>
      <c r="C18" s="307"/>
      <c r="D18" s="307"/>
      <c r="E18" s="299"/>
      <c r="F18" s="300"/>
      <c r="G18" s="301"/>
      <c r="H18" s="301"/>
      <c r="I18" s="301"/>
      <c r="J18" s="301"/>
      <c r="K18" s="301"/>
      <c r="L18" s="297"/>
    </row>
    <row r="19" spans="2:12">
      <c r="B19" s="288"/>
      <c r="C19" s="307"/>
      <c r="D19" s="307"/>
      <c r="E19" s="299"/>
      <c r="F19" s="300"/>
      <c r="G19" s="301"/>
      <c r="H19" s="301"/>
      <c r="I19" s="301"/>
      <c r="J19" s="301"/>
      <c r="K19" s="301"/>
      <c r="L19" s="327"/>
    </row>
    <row r="20" spans="2:12" ht="18.75" customHeight="1">
      <c r="B20" s="288"/>
      <c r="C20" s="307" t="s">
        <v>461</v>
      </c>
      <c r="D20" s="307" t="s">
        <v>464</v>
      </c>
      <c r="E20" s="299" t="s">
        <v>232</v>
      </c>
      <c r="F20" s="345" t="s">
        <v>465</v>
      </c>
      <c r="G20" s="344">
        <v>1</v>
      </c>
      <c r="H20" s="344">
        <v>3</v>
      </c>
      <c r="I20" s="344">
        <v>130</v>
      </c>
      <c r="J20" s="344">
        <v>160</v>
      </c>
      <c r="K20" s="344">
        <v>160</v>
      </c>
      <c r="L20" s="328"/>
    </row>
    <row r="21" spans="2:12" ht="15" customHeight="1">
      <c r="B21" s="288"/>
      <c r="C21" s="307"/>
      <c r="D21" s="307"/>
      <c r="E21" s="299"/>
      <c r="F21" s="345"/>
      <c r="G21" s="344">
        <v>4</v>
      </c>
      <c r="H21" s="344">
        <v>999</v>
      </c>
      <c r="I21" s="344">
        <v>170</v>
      </c>
      <c r="J21" s="344">
        <v>210</v>
      </c>
      <c r="K21" s="344">
        <v>210</v>
      </c>
      <c r="L21" s="328"/>
    </row>
    <row r="22" spans="2:12" ht="15" customHeight="1">
      <c r="B22" s="288"/>
      <c r="C22" s="307"/>
      <c r="D22" s="307"/>
      <c r="E22" s="299"/>
      <c r="F22" s="345"/>
      <c r="G22" s="344"/>
      <c r="H22" s="344"/>
      <c r="I22" s="344"/>
      <c r="J22" s="344"/>
      <c r="K22" s="344"/>
      <c r="L22" s="328"/>
    </row>
    <row r="23" spans="2:12" ht="15" customHeight="1">
      <c r="B23" s="288"/>
      <c r="C23" s="307"/>
      <c r="D23" s="307"/>
      <c r="E23" s="299"/>
      <c r="F23" s="345"/>
      <c r="G23" s="344"/>
      <c r="H23" s="344"/>
      <c r="I23" s="346"/>
      <c r="J23" s="346"/>
      <c r="K23" s="346"/>
      <c r="L23" s="297"/>
    </row>
    <row r="24" spans="2:12" ht="15" customHeight="1">
      <c r="B24" s="288"/>
      <c r="C24" s="307" t="s">
        <v>461</v>
      </c>
      <c r="D24" s="307" t="s">
        <v>490</v>
      </c>
      <c r="E24" s="299" t="s">
        <v>232</v>
      </c>
      <c r="F24" s="345" t="s">
        <v>465</v>
      </c>
      <c r="G24" s="344">
        <v>1</v>
      </c>
      <c r="H24" s="344">
        <v>3</v>
      </c>
      <c r="I24" s="344">
        <v>80</v>
      </c>
      <c r="J24" s="344">
        <v>110</v>
      </c>
      <c r="K24" s="344">
        <v>110</v>
      </c>
      <c r="L24" s="297"/>
    </row>
    <row r="25" spans="2:12">
      <c r="B25" s="288"/>
      <c r="C25" s="307"/>
      <c r="D25" s="307"/>
      <c r="E25" s="299"/>
      <c r="F25" s="345"/>
      <c r="G25" s="344">
        <v>4</v>
      </c>
      <c r="H25" s="344">
        <v>999</v>
      </c>
      <c r="I25" s="344">
        <v>165</v>
      </c>
      <c r="J25" s="344">
        <v>188</v>
      </c>
      <c r="K25" s="344">
        <v>188</v>
      </c>
      <c r="L25" s="297"/>
    </row>
    <row r="26" spans="2:12" ht="15" customHeight="1">
      <c r="B26" s="288"/>
      <c r="C26" s="307"/>
      <c r="D26" s="307"/>
      <c r="E26" s="299"/>
      <c r="F26" s="345"/>
      <c r="G26" s="344"/>
      <c r="H26" s="344"/>
      <c r="I26" s="344"/>
      <c r="J26" s="344"/>
      <c r="K26" s="344"/>
      <c r="L26" s="328"/>
    </row>
    <row r="27" spans="2:12" ht="17.25" customHeight="1">
      <c r="B27" s="288"/>
      <c r="C27" s="307"/>
      <c r="D27" s="307"/>
      <c r="E27" s="299"/>
      <c r="F27" s="345"/>
      <c r="G27" s="344"/>
      <c r="H27" s="344"/>
      <c r="I27" s="346"/>
      <c r="J27" s="346"/>
      <c r="K27" s="346"/>
      <c r="L27" s="328"/>
    </row>
    <row r="28" spans="2:12" ht="17.25" customHeight="1">
      <c r="B28" s="288"/>
      <c r="C28" s="307" t="s">
        <v>461</v>
      </c>
      <c r="D28" s="307" t="s">
        <v>466</v>
      </c>
      <c r="E28" s="299" t="s">
        <v>232</v>
      </c>
      <c r="F28" s="345" t="s">
        <v>465</v>
      </c>
      <c r="G28" s="344">
        <v>1</v>
      </c>
      <c r="H28" s="344">
        <v>3</v>
      </c>
      <c r="I28" s="344">
        <v>80</v>
      </c>
      <c r="J28" s="344">
        <v>110</v>
      </c>
      <c r="K28" s="344">
        <v>110</v>
      </c>
      <c r="L28" s="328"/>
    </row>
    <row r="29" spans="2:12" ht="17.25" customHeight="1">
      <c r="B29" s="288"/>
      <c r="C29" s="307"/>
      <c r="D29" s="307"/>
      <c r="E29" s="299"/>
      <c r="F29" s="345"/>
      <c r="G29" s="344">
        <v>4</v>
      </c>
      <c r="H29" s="344">
        <v>999</v>
      </c>
      <c r="I29" s="344">
        <v>165</v>
      </c>
      <c r="J29" s="344">
        <v>188</v>
      </c>
      <c r="K29" s="344">
        <v>188</v>
      </c>
      <c r="L29" s="328"/>
    </row>
    <row r="30" spans="2:12" ht="17.25" customHeight="1">
      <c r="B30" s="288"/>
      <c r="C30" s="307"/>
      <c r="D30" s="307"/>
      <c r="E30" s="299"/>
      <c r="F30" s="345"/>
      <c r="G30" s="344"/>
      <c r="H30" s="344"/>
      <c r="I30" s="344"/>
      <c r="J30" s="344"/>
      <c r="K30" s="344"/>
      <c r="L30" s="328"/>
    </row>
    <row r="31" spans="2:12" ht="17.25" customHeight="1">
      <c r="B31" s="288"/>
      <c r="C31" s="307"/>
      <c r="D31" s="307"/>
      <c r="E31" s="299"/>
      <c r="F31" s="345"/>
      <c r="G31" s="344"/>
      <c r="H31" s="344"/>
      <c r="I31" s="346"/>
      <c r="J31" s="346"/>
      <c r="K31" s="346"/>
      <c r="L31" s="328"/>
    </row>
    <row r="32" spans="2:12" ht="16.5" customHeight="1">
      <c r="B32" s="288"/>
      <c r="C32" s="307" t="s">
        <v>470</v>
      </c>
      <c r="D32" s="307" t="s">
        <v>491</v>
      </c>
      <c r="E32" s="299" t="s">
        <v>232</v>
      </c>
      <c r="F32" s="345" t="s">
        <v>469</v>
      </c>
      <c r="G32" s="344">
        <v>1</v>
      </c>
      <c r="H32" s="344">
        <v>7</v>
      </c>
      <c r="I32" s="344">
        <v>50</v>
      </c>
      <c r="J32" s="344">
        <v>70</v>
      </c>
      <c r="K32" s="344">
        <v>70</v>
      </c>
      <c r="L32" s="329"/>
    </row>
    <row r="33" spans="2:12" ht="15" customHeight="1">
      <c r="B33" s="288"/>
      <c r="C33" s="307"/>
      <c r="D33" s="307"/>
      <c r="E33" s="299"/>
      <c r="F33" s="345"/>
      <c r="G33" s="344">
        <v>8</v>
      </c>
      <c r="H33" s="344">
        <v>999</v>
      </c>
      <c r="I33" s="344">
        <v>70</v>
      </c>
      <c r="J33" s="344">
        <v>90</v>
      </c>
      <c r="K33" s="344">
        <v>90</v>
      </c>
      <c r="L33" s="297"/>
    </row>
    <row r="34" spans="2:12" ht="15" customHeight="1">
      <c r="B34" s="288"/>
      <c r="C34" s="307"/>
      <c r="D34" s="307"/>
      <c r="E34" s="299"/>
      <c r="F34" s="345"/>
      <c r="G34" s="344"/>
      <c r="H34" s="344"/>
      <c r="I34" s="344"/>
      <c r="J34" s="344"/>
      <c r="K34" s="344"/>
      <c r="L34" s="297"/>
    </row>
    <row r="35" spans="2:12" ht="15.75" customHeight="1">
      <c r="B35" s="288"/>
      <c r="C35" s="307"/>
      <c r="D35" s="307"/>
      <c r="E35" s="299"/>
      <c r="F35" s="345"/>
      <c r="G35" s="344"/>
      <c r="H35" s="344"/>
      <c r="I35" s="346"/>
      <c r="J35" s="346"/>
      <c r="K35" s="346"/>
      <c r="L35" s="297"/>
    </row>
    <row r="36" spans="2:12" ht="18" customHeight="1">
      <c r="B36" s="288"/>
      <c r="C36" s="307" t="s">
        <v>470</v>
      </c>
      <c r="D36" s="307" t="s">
        <v>464</v>
      </c>
      <c r="E36" s="299" t="s">
        <v>232</v>
      </c>
      <c r="F36" s="345" t="s">
        <v>469</v>
      </c>
      <c r="G36" s="344">
        <v>1</v>
      </c>
      <c r="H36" s="344">
        <v>7</v>
      </c>
      <c r="I36" s="344">
        <v>80</v>
      </c>
      <c r="J36" s="344">
        <v>100</v>
      </c>
      <c r="K36" s="344">
        <v>100</v>
      </c>
      <c r="L36" s="297"/>
    </row>
    <row r="37" spans="2:12" ht="15" customHeight="1">
      <c r="B37" s="288"/>
      <c r="C37" s="307"/>
      <c r="D37" s="307"/>
      <c r="E37" s="299"/>
      <c r="F37" s="345"/>
      <c r="G37" s="344">
        <v>8</v>
      </c>
      <c r="H37" s="344">
        <v>999</v>
      </c>
      <c r="I37" s="344">
        <v>120</v>
      </c>
      <c r="J37" s="344">
        <v>150</v>
      </c>
      <c r="K37" s="344">
        <v>150</v>
      </c>
      <c r="L37" s="328"/>
    </row>
    <row r="38" spans="2:12" ht="15" customHeight="1">
      <c r="B38" s="288"/>
      <c r="C38" s="307"/>
      <c r="D38" s="307"/>
      <c r="E38" s="299"/>
      <c r="F38" s="345"/>
      <c r="G38" s="344"/>
      <c r="H38" s="344"/>
      <c r="I38" s="344"/>
      <c r="J38" s="344"/>
      <c r="K38" s="344"/>
      <c r="L38" s="328"/>
    </row>
    <row r="39" spans="2:12" ht="15" customHeight="1">
      <c r="B39" s="288"/>
      <c r="C39" s="307"/>
      <c r="D39" s="307"/>
      <c r="E39" s="299"/>
      <c r="F39" s="345"/>
      <c r="G39" s="344"/>
      <c r="H39" s="344"/>
      <c r="I39" s="346"/>
      <c r="J39" s="346"/>
      <c r="K39" s="346"/>
      <c r="L39" s="328"/>
    </row>
    <row r="40" spans="2:12" ht="15" customHeight="1">
      <c r="B40" s="288"/>
      <c r="C40" s="307" t="s">
        <v>470</v>
      </c>
      <c r="D40" s="307" t="s">
        <v>468</v>
      </c>
      <c r="E40" s="299" t="s">
        <v>232</v>
      </c>
      <c r="F40" s="345" t="s">
        <v>469</v>
      </c>
      <c r="G40" s="301">
        <v>1</v>
      </c>
      <c r="H40" s="301">
        <v>7</v>
      </c>
      <c r="I40" s="301">
        <v>60</v>
      </c>
      <c r="J40" s="301">
        <v>85</v>
      </c>
      <c r="K40" s="301">
        <v>85</v>
      </c>
      <c r="L40" s="328"/>
    </row>
    <row r="41" spans="2:12" ht="15" customHeight="1">
      <c r="B41" s="288"/>
      <c r="C41" s="307"/>
      <c r="D41" s="307"/>
      <c r="E41" s="299"/>
      <c r="F41" s="345"/>
      <c r="G41" s="301">
        <v>8</v>
      </c>
      <c r="H41" s="301">
        <v>999</v>
      </c>
      <c r="I41" s="301">
        <v>90</v>
      </c>
      <c r="J41" s="301">
        <v>130</v>
      </c>
      <c r="K41" s="301">
        <v>130</v>
      </c>
      <c r="L41" s="328"/>
    </row>
    <row r="42" spans="2:12" ht="15" customHeight="1">
      <c r="B42" s="288"/>
      <c r="C42" s="307"/>
      <c r="D42" s="307"/>
      <c r="E42" s="299"/>
      <c r="F42" s="345"/>
      <c r="G42" s="301"/>
      <c r="H42" s="301"/>
      <c r="I42" s="301"/>
      <c r="J42" s="301"/>
      <c r="K42" s="301"/>
      <c r="L42" s="328"/>
    </row>
    <row r="43" spans="2:12" ht="15" customHeight="1">
      <c r="B43" s="288"/>
      <c r="C43" s="307"/>
      <c r="D43" s="307"/>
      <c r="E43" s="299"/>
      <c r="F43" s="345"/>
      <c r="G43" s="301"/>
      <c r="H43" s="301"/>
      <c r="I43" s="301"/>
      <c r="J43" s="301"/>
      <c r="K43" s="301"/>
      <c r="L43" s="328"/>
    </row>
    <row r="44" spans="2:12" ht="15" customHeight="1">
      <c r="B44" s="288"/>
      <c r="C44" s="308" t="s">
        <v>473</v>
      </c>
      <c r="D44" s="347"/>
      <c r="E44" s="348"/>
      <c r="F44" s="349"/>
      <c r="G44" s="350"/>
      <c r="H44" s="350"/>
      <c r="I44" s="350"/>
      <c r="J44" s="350"/>
      <c r="K44" s="350"/>
      <c r="L44" s="297"/>
    </row>
    <row r="45" spans="2:12" ht="15" customHeight="1">
      <c r="B45" s="288"/>
      <c r="C45" s="308" t="s">
        <v>474</v>
      </c>
      <c r="D45" s="347"/>
      <c r="E45" s="348"/>
      <c r="F45" s="349"/>
      <c r="G45" s="350"/>
      <c r="H45" s="350"/>
      <c r="I45" s="350"/>
      <c r="J45" s="350"/>
      <c r="K45" s="350"/>
      <c r="L45" s="328"/>
    </row>
    <row r="46" spans="2:12" ht="15" customHeight="1">
      <c r="B46" s="288"/>
      <c r="C46" s="309" t="s">
        <v>475</v>
      </c>
      <c r="D46" s="347"/>
      <c r="E46" s="348"/>
      <c r="F46" s="349"/>
      <c r="G46" s="350"/>
      <c r="H46" s="350"/>
      <c r="I46" s="350"/>
      <c r="J46" s="350"/>
      <c r="K46" s="350"/>
      <c r="L46" s="330"/>
    </row>
    <row r="47" spans="2:12" ht="15" customHeight="1">
      <c r="B47" s="288"/>
      <c r="C47" s="347"/>
      <c r="D47" s="347"/>
      <c r="E47" s="348"/>
      <c r="F47" s="349"/>
      <c r="G47" s="350"/>
      <c r="H47" s="350"/>
      <c r="I47" s="350"/>
      <c r="J47" s="350"/>
      <c r="K47" s="350"/>
      <c r="L47" s="330"/>
    </row>
    <row r="48" spans="2:12">
      <c r="B48" s="288"/>
      <c r="C48" s="315" t="s">
        <v>487</v>
      </c>
      <c r="D48" s="315"/>
      <c r="E48" s="315"/>
      <c r="F48" s="315"/>
      <c r="G48" s="315"/>
      <c r="H48" s="315"/>
      <c r="I48" s="315"/>
      <c r="J48" s="335"/>
      <c r="K48" s="335"/>
      <c r="L48" s="330"/>
    </row>
    <row r="49" spans="2:12" ht="15" customHeight="1">
      <c r="B49" s="288"/>
      <c r="C49" s="336" t="s">
        <v>477</v>
      </c>
      <c r="D49" s="336"/>
      <c r="E49" s="336"/>
      <c r="F49" s="336"/>
      <c r="G49" s="336"/>
      <c r="H49" s="336"/>
      <c r="I49" s="336"/>
      <c r="J49" s="336"/>
      <c r="K49" s="71"/>
      <c r="L49" s="72"/>
    </row>
    <row r="50" spans="2:12" ht="25.5" customHeight="1">
      <c r="B50" s="288"/>
      <c r="C50" s="336"/>
      <c r="D50" s="336"/>
      <c r="E50" s="336"/>
      <c r="F50" s="336"/>
      <c r="G50" s="336"/>
      <c r="H50" s="336"/>
      <c r="I50" s="336"/>
      <c r="J50" s="336"/>
      <c r="K50" s="71"/>
      <c r="L50" s="72"/>
    </row>
    <row r="51" spans="2:12">
      <c r="B51" s="288"/>
      <c r="C51" s="309" t="s">
        <v>479</v>
      </c>
      <c r="D51" s="315"/>
      <c r="E51" s="315"/>
      <c r="F51" s="315"/>
      <c r="G51" s="315"/>
      <c r="H51" s="315"/>
      <c r="I51" s="315"/>
      <c r="J51" s="71"/>
      <c r="K51" s="71"/>
      <c r="L51" s="72"/>
    </row>
    <row r="52" spans="2:12">
      <c r="B52" s="288"/>
      <c r="C52" s="317" t="s">
        <v>478</v>
      </c>
      <c r="D52" s="317"/>
      <c r="E52" s="317"/>
      <c r="F52" s="317"/>
      <c r="G52" s="317"/>
      <c r="H52" s="317"/>
      <c r="I52" s="317"/>
      <c r="J52" s="317"/>
      <c r="K52" s="71"/>
      <c r="L52" s="72"/>
    </row>
    <row r="53" spans="2:12" ht="15.75" thickBot="1">
      <c r="B53" s="319"/>
      <c r="C53" s="341"/>
      <c r="D53" s="341"/>
      <c r="E53" s="341"/>
      <c r="F53" s="341"/>
      <c r="G53" s="341"/>
      <c r="H53" s="341"/>
      <c r="I53" s="342"/>
      <c r="J53" s="342"/>
      <c r="K53" s="342"/>
      <c r="L53" s="343"/>
    </row>
  </sheetData>
  <mergeCells count="36">
    <mergeCell ref="C40:C43"/>
    <mergeCell ref="D40:D43"/>
    <mergeCell ref="E40:E43"/>
    <mergeCell ref="F40:F43"/>
    <mergeCell ref="C49:J50"/>
    <mergeCell ref="C52:J52"/>
    <mergeCell ref="C32:C35"/>
    <mergeCell ref="D32:D35"/>
    <mergeCell ref="E32:E35"/>
    <mergeCell ref="F32:F35"/>
    <mergeCell ref="C36:C39"/>
    <mergeCell ref="D36:D39"/>
    <mergeCell ref="E36:E39"/>
    <mergeCell ref="F36:F39"/>
    <mergeCell ref="C24:C27"/>
    <mergeCell ref="D24:D27"/>
    <mergeCell ref="E24:E27"/>
    <mergeCell ref="F24:F27"/>
    <mergeCell ref="C28:C31"/>
    <mergeCell ref="D28:D31"/>
    <mergeCell ref="E28:E31"/>
    <mergeCell ref="F28:F31"/>
    <mergeCell ref="C16:C19"/>
    <mergeCell ref="D16:D19"/>
    <mergeCell ref="E16:E19"/>
    <mergeCell ref="F16:F19"/>
    <mergeCell ref="C20:C23"/>
    <mergeCell ref="D20:D23"/>
    <mergeCell ref="E20:E23"/>
    <mergeCell ref="F20:F23"/>
    <mergeCell ref="C14:C15"/>
    <mergeCell ref="D14:D15"/>
    <mergeCell ref="E14:E15"/>
    <mergeCell ref="F14:F15"/>
    <mergeCell ref="G14:H14"/>
    <mergeCell ref="I14:K14"/>
  </mergeCells>
  <pageMargins left="0.70866141732283472" right="0.70866141732283472" top="0.74803149606299213" bottom="0.74803149606299213" header="0.31496062992125984" footer="0.31496062992125984"/>
  <pageSetup paperSize="9" scale="72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838F-73EF-4DA3-94ED-26313BDFE574}">
  <sheetPr codeName="Sheet14">
    <tabColor theme="7" tint="0.59999389629810485"/>
    <pageSetUpPr fitToPage="1"/>
  </sheetPr>
  <dimension ref="B1:J47"/>
  <sheetViews>
    <sheetView workbookViewId="0">
      <selection activeCell="X18" sqref="X18"/>
    </sheetView>
  </sheetViews>
  <sheetFormatPr defaultColWidth="9.140625" defaultRowHeight="15"/>
  <cols>
    <col min="1" max="1" width="3" style="351" customWidth="1"/>
    <col min="2" max="2" width="2" style="351" customWidth="1"/>
    <col min="3" max="3" width="42.5703125" style="351" customWidth="1"/>
    <col min="4" max="4" width="25.85546875" style="351" customWidth="1"/>
    <col min="5" max="7" width="8.85546875" style="351" customWidth="1"/>
    <col min="8" max="8" width="38.28515625" style="351" customWidth="1"/>
    <col min="9" max="9" width="1.85546875" style="351" customWidth="1"/>
    <col min="10" max="16384" width="9.140625" style="351"/>
  </cols>
  <sheetData>
    <row r="1" spans="2:9" ht="14.25" customHeight="1"/>
    <row r="2" spans="2:9" ht="10.5" customHeight="1">
      <c r="B2" s="71"/>
      <c r="C2" s="71"/>
      <c r="D2" s="71"/>
      <c r="E2" s="71"/>
      <c r="F2" s="71"/>
      <c r="G2" s="71"/>
      <c r="H2" s="71"/>
      <c r="I2" s="71"/>
    </row>
    <row r="3" spans="2:9" ht="15.75">
      <c r="B3" s="71"/>
      <c r="C3" s="71"/>
      <c r="D3" s="83" t="s">
        <v>492</v>
      </c>
      <c r="E3" s="83"/>
      <c r="F3" s="71"/>
      <c r="G3" s="71"/>
      <c r="H3" s="71"/>
      <c r="I3" s="71"/>
    </row>
    <row r="4" spans="2:9" ht="15.75">
      <c r="B4" s="71"/>
      <c r="C4" s="71"/>
      <c r="D4" s="71"/>
      <c r="E4" s="83"/>
      <c r="F4" s="71"/>
      <c r="G4" s="71"/>
      <c r="H4" s="71"/>
      <c r="I4" s="71"/>
    </row>
    <row r="5" spans="2:9">
      <c r="B5" s="71"/>
      <c r="C5" s="71"/>
      <c r="D5" s="71"/>
      <c r="E5" s="71"/>
      <c r="F5" s="71"/>
      <c r="G5" s="71"/>
      <c r="H5" s="293"/>
      <c r="I5" s="71"/>
    </row>
    <row r="6" spans="2:9" ht="17.25" customHeight="1">
      <c r="B6" s="71"/>
      <c r="C6" s="352" t="s">
        <v>493</v>
      </c>
      <c r="D6" s="352"/>
      <c r="E6" s="353" t="s">
        <v>494</v>
      </c>
      <c r="F6" s="354"/>
      <c r="G6" s="355"/>
      <c r="H6" s="356" t="s">
        <v>495</v>
      </c>
      <c r="I6" s="71"/>
    </row>
    <row r="7" spans="2:9" ht="30" customHeight="1">
      <c r="B7" s="71"/>
      <c r="C7" s="357"/>
      <c r="D7" s="358" t="s">
        <v>496</v>
      </c>
      <c r="E7" s="359" t="s">
        <v>497</v>
      </c>
      <c r="F7" s="359"/>
      <c r="G7" s="359"/>
      <c r="H7" s="360" t="s">
        <v>498</v>
      </c>
      <c r="I7" s="71"/>
    </row>
    <row r="8" spans="2:9" ht="30" customHeight="1">
      <c r="B8" s="71"/>
      <c r="C8" s="357"/>
      <c r="D8" s="361"/>
      <c r="E8" s="359" t="s">
        <v>499</v>
      </c>
      <c r="F8" s="359"/>
      <c r="G8" s="359"/>
      <c r="H8" s="360" t="s">
        <v>500</v>
      </c>
      <c r="I8" s="71"/>
    </row>
    <row r="9" spans="2:9" ht="30" customHeight="1">
      <c r="B9" s="71"/>
      <c r="C9" s="357"/>
      <c r="D9" s="362"/>
      <c r="E9" s="359" t="s">
        <v>501</v>
      </c>
      <c r="F9" s="359"/>
      <c r="G9" s="359"/>
      <c r="H9" s="360" t="s">
        <v>502</v>
      </c>
      <c r="I9" s="71"/>
    </row>
    <row r="10" spans="2:9" ht="30" customHeight="1">
      <c r="B10" s="71"/>
      <c r="C10" s="357"/>
      <c r="D10" s="363" t="s">
        <v>503</v>
      </c>
      <c r="E10" s="359" t="s">
        <v>504</v>
      </c>
      <c r="F10" s="359"/>
      <c r="G10" s="359"/>
      <c r="H10" s="360" t="s">
        <v>505</v>
      </c>
      <c r="I10" s="71"/>
    </row>
    <row r="11" spans="2:9" ht="38.25">
      <c r="B11" s="71"/>
      <c r="C11" s="357"/>
      <c r="D11" s="363" t="s">
        <v>506</v>
      </c>
      <c r="E11" s="359" t="s">
        <v>507</v>
      </c>
      <c r="F11" s="359"/>
      <c r="G11" s="359"/>
      <c r="H11" s="360" t="s">
        <v>508</v>
      </c>
      <c r="I11" s="71"/>
    </row>
    <row r="12" spans="2:9" ht="25.5">
      <c r="B12" s="71"/>
      <c r="C12" s="357"/>
      <c r="D12" s="363" t="s">
        <v>509</v>
      </c>
      <c r="E12" s="359" t="s">
        <v>510</v>
      </c>
      <c r="F12" s="359"/>
      <c r="G12" s="359"/>
      <c r="H12" s="360" t="s">
        <v>511</v>
      </c>
      <c r="I12" s="71"/>
    </row>
    <row r="13" spans="2:9" ht="30" customHeight="1">
      <c r="B13" s="71"/>
      <c r="C13" s="357"/>
      <c r="D13" s="363" t="s">
        <v>512</v>
      </c>
      <c r="E13" s="359" t="s">
        <v>513</v>
      </c>
      <c r="F13" s="359"/>
      <c r="G13" s="359"/>
      <c r="H13" s="360" t="s">
        <v>514</v>
      </c>
      <c r="I13" s="71"/>
    </row>
    <row r="14" spans="2:9" ht="30" customHeight="1">
      <c r="B14" s="71"/>
      <c r="C14" s="357"/>
      <c r="D14" s="363" t="s">
        <v>515</v>
      </c>
      <c r="E14" s="359" t="s">
        <v>516</v>
      </c>
      <c r="F14" s="359"/>
      <c r="G14" s="359"/>
      <c r="H14" s="360" t="s">
        <v>517</v>
      </c>
      <c r="I14" s="71"/>
    </row>
    <row r="15" spans="2:9" ht="30" customHeight="1">
      <c r="B15" s="71"/>
      <c r="C15" s="357"/>
      <c r="D15" s="363" t="s">
        <v>518</v>
      </c>
      <c r="E15" s="359" t="s">
        <v>497</v>
      </c>
      <c r="F15" s="359"/>
      <c r="G15" s="359"/>
      <c r="H15" s="360" t="s">
        <v>519</v>
      </c>
      <c r="I15" s="71"/>
    </row>
    <row r="16" spans="2:9" ht="30" customHeight="1">
      <c r="B16" s="71"/>
      <c r="C16" s="357"/>
      <c r="D16" s="364" t="s">
        <v>520</v>
      </c>
      <c r="E16" s="359" t="s">
        <v>521</v>
      </c>
      <c r="F16" s="359"/>
      <c r="G16" s="359"/>
      <c r="H16" s="360" t="s">
        <v>522</v>
      </c>
      <c r="I16" s="71"/>
    </row>
    <row r="17" spans="2:9" ht="30" customHeight="1">
      <c r="B17" s="71"/>
      <c r="C17" s="357"/>
      <c r="D17" s="364"/>
      <c r="E17" s="359" t="s">
        <v>516</v>
      </c>
      <c r="F17" s="359"/>
      <c r="G17" s="359"/>
      <c r="H17" s="360" t="s">
        <v>523</v>
      </c>
      <c r="I17" s="71"/>
    </row>
    <row r="18" spans="2:9" ht="30" customHeight="1">
      <c r="B18" s="71"/>
      <c r="C18" s="357"/>
      <c r="D18" s="363" t="s">
        <v>524</v>
      </c>
      <c r="E18" s="359" t="s">
        <v>525</v>
      </c>
      <c r="F18" s="359"/>
      <c r="G18" s="359"/>
      <c r="H18" s="360" t="s">
        <v>526</v>
      </c>
      <c r="I18" s="71"/>
    </row>
    <row r="19" spans="2:9" ht="30" customHeight="1">
      <c r="B19" s="71"/>
      <c r="C19" s="357"/>
      <c r="D19" s="363" t="s">
        <v>527</v>
      </c>
      <c r="E19" s="359" t="s">
        <v>528</v>
      </c>
      <c r="F19" s="359"/>
      <c r="G19" s="359"/>
      <c r="H19" s="360" t="s">
        <v>529</v>
      </c>
      <c r="I19" s="71"/>
    </row>
    <row r="20" spans="2:9" ht="30" customHeight="1">
      <c r="B20" s="71"/>
      <c r="C20" s="357"/>
      <c r="D20" s="363" t="s">
        <v>530</v>
      </c>
      <c r="E20" s="359" t="s">
        <v>531</v>
      </c>
      <c r="F20" s="359"/>
      <c r="G20" s="359"/>
      <c r="H20" s="360" t="s">
        <v>532</v>
      </c>
      <c r="I20" s="71"/>
    </row>
    <row r="21" spans="2:9" ht="25.5">
      <c r="B21" s="71"/>
      <c r="C21" s="357"/>
      <c r="D21" s="363" t="s">
        <v>533</v>
      </c>
      <c r="E21" s="359" t="s">
        <v>534</v>
      </c>
      <c r="F21" s="359"/>
      <c r="G21" s="359"/>
      <c r="H21" s="360" t="s">
        <v>535</v>
      </c>
      <c r="I21" s="71"/>
    </row>
    <row r="22" spans="2:9" ht="76.5">
      <c r="B22" s="71"/>
      <c r="C22" s="357"/>
      <c r="D22" s="365" t="s">
        <v>536</v>
      </c>
      <c r="E22" s="359" t="s">
        <v>537</v>
      </c>
      <c r="F22" s="359"/>
      <c r="G22" s="359"/>
      <c r="H22" s="360" t="s">
        <v>538</v>
      </c>
      <c r="I22" s="71"/>
    </row>
    <row r="23" spans="2:9">
      <c r="B23" s="71"/>
      <c r="C23" s="357"/>
      <c r="D23" s="358" t="s">
        <v>536</v>
      </c>
      <c r="E23" s="366" t="s">
        <v>539</v>
      </c>
      <c r="F23" s="367"/>
      <c r="G23" s="368"/>
      <c r="H23" s="360" t="s">
        <v>540</v>
      </c>
      <c r="I23" s="71"/>
    </row>
    <row r="24" spans="2:9">
      <c r="B24" s="71"/>
      <c r="C24" s="357"/>
      <c r="D24" s="361"/>
      <c r="E24" s="366" t="s">
        <v>541</v>
      </c>
      <c r="F24" s="367"/>
      <c r="G24" s="368"/>
      <c r="H24" s="360" t="s">
        <v>542</v>
      </c>
      <c r="I24" s="71"/>
    </row>
    <row r="25" spans="2:9">
      <c r="B25" s="71"/>
      <c r="C25" s="357"/>
      <c r="D25" s="362"/>
      <c r="E25" s="366" t="s">
        <v>543</v>
      </c>
      <c r="F25" s="367"/>
      <c r="G25" s="368"/>
      <c r="H25" s="360" t="s">
        <v>544</v>
      </c>
      <c r="I25" s="71"/>
    </row>
    <row r="26" spans="2:9" ht="25.5">
      <c r="B26" s="71"/>
      <c r="C26" s="357"/>
      <c r="D26" s="363" t="s">
        <v>545</v>
      </c>
      <c r="E26" s="359" t="s">
        <v>546</v>
      </c>
      <c r="F26" s="359"/>
      <c r="G26" s="359"/>
      <c r="H26" s="360" t="s">
        <v>547</v>
      </c>
      <c r="I26" s="71"/>
    </row>
    <row r="27" spans="2:9" ht="25.5">
      <c r="B27" s="71"/>
      <c r="C27" s="357"/>
      <c r="D27" s="360" t="s">
        <v>548</v>
      </c>
      <c r="E27" s="359" t="s">
        <v>549</v>
      </c>
      <c r="F27" s="359"/>
      <c r="G27" s="359"/>
      <c r="H27" s="360" t="s">
        <v>550</v>
      </c>
      <c r="I27" s="71"/>
    </row>
    <row r="28" spans="2:9" ht="38.25">
      <c r="B28" s="71"/>
      <c r="C28" s="357"/>
      <c r="D28" s="360" t="s">
        <v>551</v>
      </c>
      <c r="E28" s="359" t="s">
        <v>552</v>
      </c>
      <c r="F28" s="359"/>
      <c r="G28" s="359"/>
      <c r="H28" s="360" t="s">
        <v>553</v>
      </c>
      <c r="I28" s="71"/>
    </row>
    <row r="29" spans="2:9">
      <c r="B29" s="71"/>
      <c r="C29" s="357"/>
      <c r="D29" s="360" t="s">
        <v>554</v>
      </c>
      <c r="E29" s="359" t="s">
        <v>555</v>
      </c>
      <c r="F29" s="359"/>
      <c r="G29" s="359"/>
      <c r="H29" s="360" t="s">
        <v>556</v>
      </c>
      <c r="I29" s="71"/>
    </row>
    <row r="30" spans="2:9">
      <c r="B30" s="71"/>
      <c r="C30" s="369"/>
      <c r="D30" s="369"/>
      <c r="E30" s="369"/>
      <c r="F30" s="369"/>
      <c r="G30" s="369"/>
      <c r="H30" s="369"/>
      <c r="I30" s="71"/>
    </row>
    <row r="31" spans="2:9">
      <c r="B31" s="71"/>
      <c r="C31" s="369"/>
      <c r="D31" s="369"/>
      <c r="E31" s="369"/>
      <c r="F31" s="369"/>
      <c r="G31" s="369"/>
      <c r="H31" s="369"/>
      <c r="I31" s="71"/>
    </row>
    <row r="32" spans="2:9">
      <c r="B32" s="71"/>
      <c r="C32" s="369"/>
      <c r="D32" s="369"/>
      <c r="E32" s="369"/>
      <c r="F32" s="369"/>
      <c r="G32" s="369"/>
      <c r="H32" s="369"/>
      <c r="I32" s="71"/>
    </row>
    <row r="33" spans="2:10">
      <c r="B33" s="71"/>
      <c r="C33" s="369"/>
      <c r="D33" s="369"/>
      <c r="E33" s="369"/>
      <c r="F33" s="369"/>
      <c r="G33" s="369"/>
      <c r="H33" s="369"/>
      <c r="I33" s="71"/>
    </row>
    <row r="34" spans="2:10">
      <c r="B34" s="71"/>
      <c r="C34" s="369"/>
      <c r="D34" s="369"/>
      <c r="E34" s="369"/>
      <c r="F34" s="369"/>
      <c r="G34" s="369"/>
      <c r="H34" s="369"/>
      <c r="I34" s="71"/>
    </row>
    <row r="35" spans="2:10">
      <c r="B35" s="71"/>
      <c r="C35" s="369"/>
      <c r="D35" s="369"/>
      <c r="E35" s="369"/>
      <c r="F35" s="369"/>
      <c r="G35" s="369"/>
      <c r="H35" s="369"/>
      <c r="I35" s="71"/>
    </row>
    <row r="36" spans="2:10">
      <c r="B36" s="71"/>
      <c r="C36" s="369"/>
      <c r="D36" s="369"/>
      <c r="E36" s="369"/>
      <c r="F36" s="369"/>
      <c r="G36" s="369"/>
      <c r="H36" s="369"/>
      <c r="I36" s="71"/>
    </row>
    <row r="37" spans="2:10">
      <c r="B37" s="71"/>
      <c r="C37" s="369"/>
      <c r="D37" s="369"/>
      <c r="E37" s="369"/>
      <c r="F37" s="369"/>
      <c r="G37" s="369"/>
      <c r="H37" s="369"/>
      <c r="I37" s="71"/>
    </row>
    <row r="38" spans="2:10">
      <c r="B38" s="71"/>
      <c r="C38" s="369"/>
      <c r="D38" s="369"/>
      <c r="E38" s="369"/>
      <c r="F38" s="369"/>
      <c r="G38" s="369"/>
      <c r="H38" s="369"/>
      <c r="I38" s="71"/>
    </row>
    <row r="39" spans="2:10">
      <c r="B39" s="71"/>
      <c r="C39" s="369"/>
      <c r="D39" s="369"/>
      <c r="E39" s="369"/>
      <c r="F39" s="369"/>
      <c r="G39" s="369"/>
      <c r="H39" s="369"/>
      <c r="I39" s="71"/>
    </row>
    <row r="40" spans="2:10">
      <c r="B40" s="71"/>
      <c r="C40" s="71"/>
      <c r="D40" s="71"/>
      <c r="E40" s="71"/>
      <c r="F40" s="71"/>
      <c r="G40" s="71"/>
      <c r="H40" s="71"/>
      <c r="I40" s="71"/>
    </row>
    <row r="41" spans="2:10">
      <c r="B41" s="71"/>
      <c r="C41" s="71"/>
      <c r="D41" s="71"/>
      <c r="E41" s="71"/>
      <c r="F41" s="71"/>
      <c r="G41" s="71"/>
      <c r="H41" s="71"/>
      <c r="I41" s="71"/>
      <c r="J41" s="351" t="s">
        <v>137</v>
      </c>
    </row>
    <row r="42" spans="2:10">
      <c r="B42" s="71"/>
      <c r="C42" s="71"/>
      <c r="D42" s="71"/>
      <c r="E42" s="71"/>
      <c r="F42" s="71"/>
      <c r="G42" s="71"/>
      <c r="H42" s="71"/>
      <c r="I42" s="71"/>
    </row>
    <row r="43" spans="2:10">
      <c r="B43" s="71"/>
      <c r="C43" s="71"/>
      <c r="D43" s="71"/>
      <c r="E43" s="71"/>
      <c r="F43" s="71"/>
      <c r="G43" s="71"/>
      <c r="H43" s="71"/>
      <c r="I43" s="71"/>
    </row>
    <row r="44" spans="2:10">
      <c r="B44" s="71"/>
      <c r="C44" s="71"/>
      <c r="D44" s="71"/>
      <c r="E44" s="71"/>
      <c r="F44" s="71"/>
      <c r="G44" s="71"/>
      <c r="H44" s="71"/>
      <c r="I44" s="71"/>
    </row>
    <row r="45" spans="2:10">
      <c r="B45" s="71"/>
      <c r="C45" s="71"/>
      <c r="D45" s="71"/>
      <c r="E45" s="71"/>
      <c r="F45" s="71"/>
      <c r="G45" s="71"/>
      <c r="H45" s="71"/>
      <c r="I45" s="71"/>
    </row>
    <row r="46" spans="2:10">
      <c r="B46" s="71"/>
      <c r="C46" s="71"/>
      <c r="D46" s="71"/>
      <c r="E46" s="71"/>
      <c r="F46" s="71"/>
      <c r="G46" s="71"/>
      <c r="H46" s="71"/>
      <c r="I46" s="71"/>
    </row>
    <row r="47" spans="2:10">
      <c r="B47" s="71"/>
      <c r="C47" s="370"/>
      <c r="D47" s="370"/>
      <c r="E47" s="370"/>
      <c r="F47" s="370"/>
      <c r="G47" s="370"/>
      <c r="H47" s="370"/>
      <c r="I47" s="71"/>
    </row>
  </sheetData>
  <mergeCells count="30">
    <mergeCell ref="E26:G26"/>
    <mergeCell ref="E27:G27"/>
    <mergeCell ref="E28:G28"/>
    <mergeCell ref="E29:G29"/>
    <mergeCell ref="C47:H47"/>
    <mergeCell ref="E18:G18"/>
    <mergeCell ref="E19:G19"/>
    <mergeCell ref="E20:G20"/>
    <mergeCell ref="E21:G21"/>
    <mergeCell ref="E22:G22"/>
    <mergeCell ref="D23:D25"/>
    <mergeCell ref="E23:G23"/>
    <mergeCell ref="E24:G24"/>
    <mergeCell ref="E25:G25"/>
    <mergeCell ref="E13:G13"/>
    <mergeCell ref="E14:G14"/>
    <mergeCell ref="E15:G15"/>
    <mergeCell ref="D16:D17"/>
    <mergeCell ref="E16:G16"/>
    <mergeCell ref="E17:G17"/>
    <mergeCell ref="C6:D6"/>
    <mergeCell ref="E6:G6"/>
    <mergeCell ref="C7:C29"/>
    <mergeCell ref="D7:D9"/>
    <mergeCell ref="E7:G7"/>
    <mergeCell ref="E8:G8"/>
    <mergeCell ref="E9:G9"/>
    <mergeCell ref="E10:G10"/>
    <mergeCell ref="E11:G11"/>
    <mergeCell ref="E12:G12"/>
  </mergeCells>
  <pageMargins left="0.70866141732283472" right="0.70866141732283472" top="0.74803149606299213" bottom="0.74803149606299213" header="0.31496062992125984" footer="0.31496062992125984"/>
  <pageSetup paperSize="9" scale="63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97D0-56B7-40C6-B6AB-171D0812A5AD}">
  <sheetPr codeName="Sheet15">
    <pageSetUpPr fitToPage="1"/>
  </sheetPr>
  <dimension ref="B1:I59"/>
  <sheetViews>
    <sheetView showGridLines="0" workbookViewId="0">
      <selection activeCell="N12" sqref="N12"/>
    </sheetView>
  </sheetViews>
  <sheetFormatPr defaultColWidth="9.140625" defaultRowHeight="15"/>
  <cols>
    <col min="1" max="1" width="3" style="351" customWidth="1"/>
    <col min="2" max="2" width="2" style="351" customWidth="1"/>
    <col min="3" max="3" width="42.5703125" style="351" customWidth="1"/>
    <col min="4" max="4" width="15.28515625" style="351" customWidth="1"/>
    <col min="5" max="5" width="8.85546875" style="351" customWidth="1"/>
    <col min="6" max="6" width="14" style="351" customWidth="1"/>
    <col min="7" max="7" width="45.42578125" style="351" customWidth="1"/>
    <col min="8" max="8" width="1.85546875" style="351" customWidth="1"/>
    <col min="9" max="16384" width="9.140625" style="351"/>
  </cols>
  <sheetData>
    <row r="1" spans="2:8" ht="14.25" customHeight="1"/>
    <row r="2" spans="2:8" ht="10.5" customHeight="1">
      <c r="B2" s="71"/>
      <c r="C2" s="71"/>
      <c r="D2" s="71"/>
      <c r="E2" s="71"/>
      <c r="F2" s="71"/>
      <c r="G2" s="71"/>
      <c r="H2" s="71"/>
    </row>
    <row r="3" spans="2:8" ht="15.75">
      <c r="B3" s="71"/>
      <c r="C3" s="71"/>
      <c r="D3" s="83" t="s">
        <v>557</v>
      </c>
      <c r="E3" s="83"/>
      <c r="F3" s="83"/>
      <c r="G3" s="71"/>
      <c r="H3" s="71"/>
    </row>
    <row r="4" spans="2:8" ht="15.75">
      <c r="B4" s="71"/>
      <c r="C4" s="71"/>
      <c r="D4" s="83"/>
      <c r="E4" s="71"/>
      <c r="F4" s="71"/>
      <c r="G4" s="71"/>
      <c r="H4" s="71"/>
    </row>
    <row r="5" spans="2:8">
      <c r="B5" s="71"/>
      <c r="C5" s="71"/>
      <c r="D5" s="71"/>
      <c r="E5" s="71"/>
      <c r="F5" s="71"/>
      <c r="G5" s="293"/>
      <c r="H5" s="71"/>
    </row>
    <row r="6" spans="2:8" ht="17.25" customHeight="1">
      <c r="B6" s="71"/>
      <c r="C6" s="371" t="s">
        <v>558</v>
      </c>
      <c r="D6" s="352" t="s">
        <v>494</v>
      </c>
      <c r="E6" s="352"/>
      <c r="F6" s="352"/>
      <c r="G6" s="371" t="s">
        <v>495</v>
      </c>
      <c r="H6" s="71"/>
    </row>
    <row r="7" spans="2:8" ht="30" customHeight="1">
      <c r="B7" s="71"/>
      <c r="C7" s="372" t="s">
        <v>559</v>
      </c>
      <c r="D7" s="373" t="s">
        <v>560</v>
      </c>
      <c r="E7" s="373"/>
      <c r="F7" s="373"/>
      <c r="G7" s="374" t="s">
        <v>561</v>
      </c>
      <c r="H7" s="71"/>
    </row>
    <row r="8" spans="2:8" ht="30" customHeight="1">
      <c r="B8" s="71"/>
      <c r="C8" s="375"/>
      <c r="D8" s="376" t="s">
        <v>562</v>
      </c>
      <c r="E8" s="376"/>
      <c r="F8" s="376"/>
      <c r="G8" s="377" t="s">
        <v>563</v>
      </c>
      <c r="H8" s="71"/>
    </row>
    <row r="9" spans="2:8" ht="15.75" customHeight="1">
      <c r="B9" s="71"/>
      <c r="C9" s="378" t="s">
        <v>564</v>
      </c>
      <c r="D9" s="379"/>
      <c r="E9" s="379"/>
      <c r="F9" s="379"/>
      <c r="G9" s="380"/>
      <c r="H9" s="71"/>
    </row>
    <row r="10" spans="2:8" ht="30" customHeight="1">
      <c r="B10" s="71"/>
      <c r="C10" s="381" t="s">
        <v>565</v>
      </c>
      <c r="D10" s="376" t="s">
        <v>566</v>
      </c>
      <c r="E10" s="376"/>
      <c r="F10" s="376"/>
      <c r="G10" s="377" t="s">
        <v>567</v>
      </c>
      <c r="H10" s="71"/>
    </row>
    <row r="11" spans="2:8" ht="30" customHeight="1">
      <c r="B11" s="71"/>
      <c r="C11" s="381"/>
      <c r="D11" s="376" t="s">
        <v>568</v>
      </c>
      <c r="E11" s="376"/>
      <c r="F11" s="376"/>
      <c r="G11" s="377" t="s">
        <v>569</v>
      </c>
      <c r="H11" s="71"/>
    </row>
    <row r="12" spans="2:8" ht="30" customHeight="1">
      <c r="B12" s="71"/>
      <c r="C12" s="382" t="s">
        <v>570</v>
      </c>
      <c r="D12" s="383" t="s">
        <v>571</v>
      </c>
      <c r="E12" s="384"/>
      <c r="F12" s="385"/>
      <c r="G12" s="377" t="s">
        <v>572</v>
      </c>
      <c r="H12" s="71"/>
    </row>
    <row r="13" spans="2:8">
      <c r="B13" s="71"/>
      <c r="C13" s="386" t="s">
        <v>573</v>
      </c>
      <c r="D13" s="376" t="s">
        <v>574</v>
      </c>
      <c r="E13" s="376"/>
      <c r="F13" s="376"/>
      <c r="G13" s="377" t="s">
        <v>575</v>
      </c>
      <c r="H13" s="71"/>
    </row>
    <row r="14" spans="2:8">
      <c r="B14" s="71"/>
      <c r="C14" s="387" t="s">
        <v>576</v>
      </c>
      <c r="D14" s="376" t="s">
        <v>577</v>
      </c>
      <c r="E14" s="376"/>
      <c r="F14" s="376"/>
      <c r="G14" s="377" t="s">
        <v>578</v>
      </c>
      <c r="H14" s="71"/>
    </row>
    <row r="15" spans="2:8">
      <c r="B15" s="71"/>
      <c r="C15" s="378" t="s">
        <v>579</v>
      </c>
      <c r="D15" s="379"/>
      <c r="E15" s="379"/>
      <c r="F15" s="379"/>
      <c r="G15" s="380"/>
      <c r="H15" s="71"/>
    </row>
    <row r="16" spans="2:8" ht="30" customHeight="1">
      <c r="B16" s="71"/>
      <c r="C16" s="388" t="s">
        <v>580</v>
      </c>
      <c r="D16" s="376" t="s">
        <v>581</v>
      </c>
      <c r="E16" s="376"/>
      <c r="F16" s="376"/>
      <c r="G16" s="377" t="s">
        <v>561</v>
      </c>
      <c r="H16" s="71"/>
    </row>
    <row r="17" spans="2:8" ht="30" customHeight="1">
      <c r="B17" s="71"/>
      <c r="C17" s="389"/>
      <c r="D17" s="376" t="s">
        <v>582</v>
      </c>
      <c r="E17" s="376"/>
      <c r="F17" s="376"/>
      <c r="G17" s="377" t="s">
        <v>563</v>
      </c>
      <c r="H17" s="71"/>
    </row>
    <row r="18" spans="2:8" ht="30" customHeight="1">
      <c r="B18" s="71"/>
      <c r="C18" s="388" t="s">
        <v>583</v>
      </c>
      <c r="D18" s="383" t="s">
        <v>584</v>
      </c>
      <c r="E18" s="384"/>
      <c r="F18" s="385"/>
      <c r="G18" s="377" t="s">
        <v>585</v>
      </c>
      <c r="H18" s="71"/>
    </row>
    <row r="19" spans="2:8" ht="30" customHeight="1">
      <c r="B19" s="71"/>
      <c r="C19" s="389"/>
      <c r="D19" s="383" t="s">
        <v>586</v>
      </c>
      <c r="E19" s="384"/>
      <c r="F19" s="385"/>
      <c r="G19" s="377" t="s">
        <v>587</v>
      </c>
      <c r="H19" s="71"/>
    </row>
    <row r="20" spans="2:8" ht="30" customHeight="1">
      <c r="B20" s="71"/>
      <c r="C20" s="381" t="s">
        <v>588</v>
      </c>
      <c r="D20" s="376" t="s">
        <v>589</v>
      </c>
      <c r="E20" s="376"/>
      <c r="F20" s="376"/>
      <c r="G20" s="377" t="s">
        <v>590</v>
      </c>
      <c r="H20" s="71"/>
    </row>
    <row r="21" spans="2:8" ht="30" customHeight="1">
      <c r="B21" s="71"/>
      <c r="C21" s="381"/>
      <c r="D21" s="376" t="s">
        <v>591</v>
      </c>
      <c r="E21" s="376"/>
      <c r="F21" s="376"/>
      <c r="G21" s="377" t="s">
        <v>592</v>
      </c>
      <c r="H21" s="71"/>
    </row>
    <row r="22" spans="2:8" ht="30" customHeight="1">
      <c r="B22" s="71"/>
      <c r="C22" s="381"/>
      <c r="D22" s="376" t="s">
        <v>593</v>
      </c>
      <c r="E22" s="376"/>
      <c r="F22" s="376"/>
      <c r="G22" s="377" t="s">
        <v>594</v>
      </c>
      <c r="H22" s="71"/>
    </row>
    <row r="23" spans="2:8" ht="30" customHeight="1">
      <c r="B23" s="71"/>
      <c r="C23" s="381"/>
      <c r="D23" s="359" t="s">
        <v>595</v>
      </c>
      <c r="E23" s="359"/>
      <c r="F23" s="359"/>
      <c r="G23" s="390" t="s">
        <v>596</v>
      </c>
      <c r="H23" s="71"/>
    </row>
    <row r="24" spans="2:8" ht="23.25" customHeight="1">
      <c r="B24" s="71"/>
      <c r="C24" s="378" t="s">
        <v>597</v>
      </c>
      <c r="D24" s="379"/>
      <c r="E24" s="379"/>
      <c r="F24" s="379"/>
      <c r="G24" s="380"/>
      <c r="H24" s="71"/>
    </row>
    <row r="25" spans="2:8" ht="30" customHeight="1">
      <c r="B25" s="71"/>
      <c r="C25" s="381" t="s">
        <v>598</v>
      </c>
      <c r="D25" s="359" t="s">
        <v>599</v>
      </c>
      <c r="E25" s="359"/>
      <c r="F25" s="359"/>
      <c r="G25" s="377" t="s">
        <v>600</v>
      </c>
      <c r="H25" s="71"/>
    </row>
    <row r="26" spans="2:8" ht="30" customHeight="1">
      <c r="B26" s="71"/>
      <c r="C26" s="381"/>
      <c r="D26" s="359" t="s">
        <v>574</v>
      </c>
      <c r="E26" s="359"/>
      <c r="F26" s="359"/>
      <c r="G26" s="377" t="s">
        <v>601</v>
      </c>
      <c r="H26" s="71"/>
    </row>
    <row r="27" spans="2:8" ht="30" customHeight="1">
      <c r="B27" s="71"/>
      <c r="C27" s="381"/>
      <c r="D27" s="359" t="s">
        <v>602</v>
      </c>
      <c r="E27" s="359"/>
      <c r="F27" s="359"/>
      <c r="G27" s="377" t="s">
        <v>603</v>
      </c>
      <c r="H27" s="71"/>
    </row>
    <row r="28" spans="2:8" ht="30" customHeight="1">
      <c r="B28" s="71"/>
      <c r="C28" s="381"/>
      <c r="D28" s="359" t="s">
        <v>604</v>
      </c>
      <c r="E28" s="359"/>
      <c r="F28" s="359"/>
      <c r="G28" s="377" t="s">
        <v>605</v>
      </c>
      <c r="H28" s="71"/>
    </row>
    <row r="29" spans="2:8" ht="30" customHeight="1">
      <c r="B29" s="71"/>
      <c r="C29" s="382" t="s">
        <v>606</v>
      </c>
      <c r="D29" s="359" t="s">
        <v>607</v>
      </c>
      <c r="E29" s="359"/>
      <c r="F29" s="359"/>
      <c r="G29" s="377" t="s">
        <v>608</v>
      </c>
      <c r="H29" s="71"/>
    </row>
    <row r="30" spans="2:8" ht="39" customHeight="1">
      <c r="B30" s="71"/>
      <c r="C30" s="382" t="s">
        <v>609</v>
      </c>
      <c r="D30" s="366" t="s">
        <v>610</v>
      </c>
      <c r="E30" s="367"/>
      <c r="F30" s="368"/>
      <c r="G30" s="391" t="s">
        <v>611</v>
      </c>
      <c r="H30" s="71"/>
    </row>
    <row r="31" spans="2:8" ht="76.5" customHeight="1">
      <c r="B31" s="71"/>
      <c r="C31" s="382" t="s">
        <v>612</v>
      </c>
      <c r="D31" s="366" t="s">
        <v>613</v>
      </c>
      <c r="E31" s="367"/>
      <c r="F31" s="368"/>
      <c r="G31" s="391" t="s">
        <v>614</v>
      </c>
      <c r="H31" s="71"/>
    </row>
    <row r="32" spans="2:8">
      <c r="B32" s="71"/>
      <c r="C32" s="388" t="s">
        <v>615</v>
      </c>
      <c r="D32" s="376" t="s">
        <v>616</v>
      </c>
      <c r="E32" s="376"/>
      <c r="F32" s="376"/>
      <c r="G32" s="386" t="s">
        <v>617</v>
      </c>
      <c r="H32" s="71"/>
    </row>
    <row r="33" spans="2:8">
      <c r="B33" s="71"/>
      <c r="C33" s="389"/>
      <c r="D33" s="383" t="s">
        <v>618</v>
      </c>
      <c r="E33" s="384"/>
      <c r="F33" s="385"/>
      <c r="G33" s="392" t="s">
        <v>619</v>
      </c>
      <c r="H33" s="71"/>
    </row>
    <row r="34" spans="2:8" ht="27" customHeight="1">
      <c r="B34" s="71"/>
      <c r="C34" s="393" t="s">
        <v>620</v>
      </c>
      <c r="D34" s="394" t="s">
        <v>621</v>
      </c>
      <c r="E34" s="394"/>
      <c r="F34" s="394"/>
      <c r="G34" s="395" t="s">
        <v>622</v>
      </c>
      <c r="H34" s="71"/>
    </row>
    <row r="35" spans="2:8" ht="24.75" customHeight="1">
      <c r="B35" s="71"/>
      <c r="C35" s="393"/>
      <c r="D35" s="396" t="s">
        <v>623</v>
      </c>
      <c r="E35" s="397"/>
      <c r="F35" s="397"/>
      <c r="G35" s="395"/>
      <c r="H35" s="71"/>
    </row>
    <row r="36" spans="2:8" ht="24.75" customHeight="1">
      <c r="B36" s="71"/>
      <c r="C36" s="398" t="s">
        <v>624</v>
      </c>
      <c r="D36" s="399" t="s">
        <v>625</v>
      </c>
      <c r="E36" s="400"/>
      <c r="F36" s="401"/>
      <c r="G36" s="377"/>
      <c r="H36" s="71"/>
    </row>
    <row r="37" spans="2:8">
      <c r="B37" s="71"/>
      <c r="C37" s="388" t="s">
        <v>626</v>
      </c>
      <c r="D37" s="402" t="s">
        <v>627</v>
      </c>
      <c r="E37" s="402"/>
      <c r="F37" s="402"/>
      <c r="G37" s="395" t="s">
        <v>567</v>
      </c>
      <c r="H37" s="71"/>
    </row>
    <row r="38" spans="2:8">
      <c r="B38" s="71"/>
      <c r="C38" s="403"/>
      <c r="D38" s="402"/>
      <c r="E38" s="402"/>
      <c r="F38" s="402"/>
      <c r="G38" s="395"/>
      <c r="H38" s="71"/>
    </row>
    <row r="39" spans="2:8">
      <c r="B39" s="71"/>
      <c r="C39" s="403"/>
      <c r="D39" s="376" t="s">
        <v>628</v>
      </c>
      <c r="E39" s="376"/>
      <c r="F39" s="376"/>
      <c r="G39" s="377" t="s">
        <v>569</v>
      </c>
      <c r="H39" s="71"/>
    </row>
    <row r="40" spans="2:8">
      <c r="B40" s="71"/>
      <c r="C40" s="389"/>
      <c r="D40" s="376" t="s">
        <v>629</v>
      </c>
      <c r="E40" s="376"/>
      <c r="F40" s="376"/>
      <c r="G40" s="377" t="s">
        <v>569</v>
      </c>
      <c r="H40" s="71"/>
    </row>
    <row r="41" spans="2:8">
      <c r="B41" s="71"/>
      <c r="C41" s="369"/>
      <c r="D41" s="369"/>
      <c r="E41" s="369"/>
      <c r="F41" s="369"/>
      <c r="G41" s="369"/>
      <c r="H41" s="71"/>
    </row>
    <row r="42" spans="2:8">
      <c r="B42" s="71"/>
      <c r="C42" s="369"/>
      <c r="D42" s="369"/>
      <c r="E42" s="369"/>
      <c r="F42" s="369"/>
      <c r="G42" s="369"/>
      <c r="H42" s="71"/>
    </row>
    <row r="43" spans="2:8">
      <c r="B43" s="71"/>
      <c r="C43" s="369"/>
      <c r="D43" s="369"/>
      <c r="E43" s="369"/>
      <c r="F43" s="369"/>
      <c r="G43" s="369"/>
      <c r="H43" s="71"/>
    </row>
    <row r="44" spans="2:8">
      <c r="B44" s="71"/>
      <c r="C44" s="369"/>
      <c r="D44" s="369"/>
      <c r="E44" s="369"/>
      <c r="F44" s="369"/>
      <c r="G44" s="369"/>
      <c r="H44" s="71"/>
    </row>
    <row r="45" spans="2:8">
      <c r="B45" s="71"/>
      <c r="C45" s="369"/>
      <c r="D45" s="369"/>
      <c r="E45" s="369"/>
      <c r="F45" s="369"/>
      <c r="G45" s="369"/>
      <c r="H45" s="71"/>
    </row>
    <row r="46" spans="2:8">
      <c r="B46" s="71"/>
      <c r="C46" s="369"/>
      <c r="D46" s="369"/>
      <c r="E46" s="369"/>
      <c r="F46" s="369"/>
      <c r="G46" s="369"/>
      <c r="H46" s="71"/>
    </row>
    <row r="47" spans="2:8">
      <c r="B47" s="71"/>
      <c r="C47" s="369"/>
      <c r="D47" s="369"/>
      <c r="E47" s="369"/>
      <c r="F47" s="369"/>
      <c r="G47" s="369"/>
      <c r="H47" s="71"/>
    </row>
    <row r="48" spans="2:8">
      <c r="B48" s="71"/>
      <c r="C48" s="369"/>
      <c r="D48" s="369"/>
      <c r="E48" s="369"/>
      <c r="F48" s="369"/>
      <c r="G48" s="369"/>
      <c r="H48" s="71"/>
    </row>
    <row r="49" spans="2:9">
      <c r="B49" s="71"/>
      <c r="C49" s="369"/>
      <c r="D49" s="369"/>
      <c r="E49" s="369"/>
      <c r="F49" s="369"/>
      <c r="G49" s="369"/>
      <c r="H49" s="71"/>
    </row>
    <row r="50" spans="2:9">
      <c r="B50" s="71"/>
      <c r="C50" s="369"/>
      <c r="D50" s="369"/>
      <c r="E50" s="369"/>
      <c r="F50" s="369"/>
      <c r="G50" s="369"/>
      <c r="H50" s="71"/>
    </row>
    <row r="51" spans="2:9">
      <c r="B51" s="71"/>
      <c r="C51" s="369"/>
      <c r="D51" s="369"/>
      <c r="E51" s="369"/>
      <c r="F51" s="369"/>
      <c r="G51" s="369"/>
      <c r="H51" s="71"/>
    </row>
    <row r="52" spans="2:9">
      <c r="B52" s="71"/>
      <c r="C52" s="71"/>
      <c r="D52" s="71"/>
      <c r="E52" s="71"/>
      <c r="F52" s="71"/>
      <c r="G52" s="71"/>
      <c r="H52" s="71"/>
    </row>
    <row r="53" spans="2:9">
      <c r="B53" s="71"/>
      <c r="C53" s="71"/>
      <c r="D53" s="71"/>
      <c r="E53" s="71"/>
      <c r="F53" s="71"/>
      <c r="G53" s="71"/>
      <c r="H53" s="71"/>
      <c r="I53" s="351" t="s">
        <v>137</v>
      </c>
    </row>
    <row r="54" spans="2:9">
      <c r="B54" s="71"/>
      <c r="C54" s="71"/>
      <c r="D54" s="71"/>
      <c r="E54" s="71"/>
      <c r="F54" s="71"/>
      <c r="G54" s="71"/>
      <c r="H54" s="71"/>
    </row>
    <row r="55" spans="2:9">
      <c r="B55" s="71"/>
      <c r="C55" s="71"/>
      <c r="D55" s="71"/>
      <c r="E55" s="71"/>
      <c r="F55" s="71"/>
      <c r="G55" s="71"/>
      <c r="H55" s="71"/>
    </row>
    <row r="56" spans="2:9">
      <c r="B56" s="71"/>
      <c r="C56" s="71"/>
      <c r="D56" s="71"/>
      <c r="E56" s="71"/>
      <c r="F56" s="71"/>
      <c r="G56" s="71"/>
      <c r="H56" s="71"/>
    </row>
    <row r="57" spans="2:9">
      <c r="B57" s="71"/>
      <c r="C57" s="71"/>
      <c r="D57" s="71"/>
      <c r="E57" s="71"/>
      <c r="F57" s="71"/>
      <c r="G57" s="71"/>
      <c r="H57" s="71"/>
    </row>
    <row r="58" spans="2:9">
      <c r="B58" s="71"/>
      <c r="C58" s="71"/>
      <c r="D58" s="71"/>
      <c r="E58" s="71"/>
      <c r="F58" s="71"/>
      <c r="G58" s="71"/>
      <c r="H58" s="71"/>
    </row>
    <row r="59" spans="2:9">
      <c r="B59" s="71"/>
      <c r="C59" s="370"/>
      <c r="D59" s="370"/>
      <c r="E59" s="370"/>
      <c r="F59" s="370"/>
      <c r="G59" s="370"/>
      <c r="H59" s="71"/>
    </row>
  </sheetData>
  <mergeCells count="46">
    <mergeCell ref="C59:G59"/>
    <mergeCell ref="C34:C35"/>
    <mergeCell ref="D34:F34"/>
    <mergeCell ref="G34:G35"/>
    <mergeCell ref="D35:F35"/>
    <mergeCell ref="D36:F36"/>
    <mergeCell ref="C37:C40"/>
    <mergeCell ref="D37:F38"/>
    <mergeCell ref="G37:G38"/>
    <mergeCell ref="D39:F39"/>
    <mergeCell ref="D40:F40"/>
    <mergeCell ref="D29:F29"/>
    <mergeCell ref="D30:F30"/>
    <mergeCell ref="D31:F31"/>
    <mergeCell ref="C32:C33"/>
    <mergeCell ref="D32:F32"/>
    <mergeCell ref="D33:F33"/>
    <mergeCell ref="C24:G24"/>
    <mergeCell ref="C25:C28"/>
    <mergeCell ref="D25:F25"/>
    <mergeCell ref="D26:F26"/>
    <mergeCell ref="D27:F27"/>
    <mergeCell ref="D28:F28"/>
    <mergeCell ref="C18:C19"/>
    <mergeCell ref="D18:F18"/>
    <mergeCell ref="D19:F19"/>
    <mergeCell ref="C20:C23"/>
    <mergeCell ref="D20:F20"/>
    <mergeCell ref="D21:F21"/>
    <mergeCell ref="D22:F22"/>
    <mergeCell ref="D23:F23"/>
    <mergeCell ref="D12:F12"/>
    <mergeCell ref="D13:F13"/>
    <mergeCell ref="D14:F14"/>
    <mergeCell ref="C15:G15"/>
    <mergeCell ref="C16:C17"/>
    <mergeCell ref="D16:F16"/>
    <mergeCell ref="D17:F17"/>
    <mergeCell ref="D6:F6"/>
    <mergeCell ref="C7:C8"/>
    <mergeCell ref="D7:F7"/>
    <mergeCell ref="D8:F8"/>
    <mergeCell ref="C9:G9"/>
    <mergeCell ref="C10:C11"/>
    <mergeCell ref="D10:F10"/>
    <mergeCell ref="D11:F11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1. Intro</vt:lpstr>
      <vt:lpstr>1.1. RDA Application</vt:lpstr>
      <vt:lpstr>1.2 GMD</vt:lpstr>
      <vt:lpstr>1.3 EFL</vt:lpstr>
      <vt:lpstr>2. EES Surcharge</vt:lpstr>
      <vt:lpstr>3. Main Ports I FIM I TW</vt:lpstr>
      <vt:lpstr>4. Japan Outports</vt:lpstr>
      <vt:lpstr>5. China I SE Asia</vt:lpstr>
      <vt:lpstr>6. Empty Pick Up</vt:lpstr>
      <vt:lpstr>7. Free Times Germany</vt:lpstr>
      <vt:lpstr>8. Free Times Netherlands</vt:lpstr>
      <vt:lpstr>9. Free Times Belgium</vt:lpstr>
      <vt:lpstr>10. T&amp;D Surcharges</vt:lpstr>
      <vt:lpstr>11. Operation Charges</vt:lpstr>
      <vt:lpstr>'1. Intro'!Print_Area</vt:lpstr>
      <vt:lpstr>'1.1. RDA Application'!Print_Area</vt:lpstr>
      <vt:lpstr>'1.2 GMD'!Print_Area</vt:lpstr>
      <vt:lpstr>'1.3 EFL'!Print_Area</vt:lpstr>
      <vt:lpstr>'10. T&amp;D Surcharges'!Print_Area</vt:lpstr>
      <vt:lpstr>'11. Operation Charges'!Print_Area</vt:lpstr>
      <vt:lpstr>'2. EES Surcharge'!Print_Area</vt:lpstr>
      <vt:lpstr>'3. Main Ports I FIM I TW'!Print_Area</vt:lpstr>
      <vt:lpstr>'4. Japan Outports'!Print_Area</vt:lpstr>
      <vt:lpstr>'5. China I SE Asia'!Print_Area</vt:lpstr>
      <vt:lpstr>'6. Empty Pick Up'!Print_Area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Froembling</dc:creator>
  <cp:lastModifiedBy>Lena Froembling</cp:lastModifiedBy>
  <dcterms:created xsi:type="dcterms:W3CDTF">2026-03-20T10:57:26Z</dcterms:created>
  <dcterms:modified xsi:type="dcterms:W3CDTF">2026-03-20T10:57:27Z</dcterms:modified>
</cp:coreProperties>
</file>