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I:\Sales\SALES SUPPORT\OOG RATE SHEET\2026\202604 APR\"/>
    </mc:Choice>
  </mc:AlternateContent>
  <xr:revisionPtr revIDLastSave="0" documentId="8_{D1AD69CD-274A-4509-93D1-E66565C32C85}" xr6:coauthVersionLast="47" xr6:coauthVersionMax="47" xr10:uidLastSave="{00000000-0000-0000-0000-000000000000}"/>
  <bookViews>
    <workbookView xWindow="-110" yWindow="-110" windowWidth="25820" windowHeight="15500" xr2:uid="{6237B44F-12AD-43ED-8689-296D2C55D9CC}"/>
  </bookViews>
  <sheets>
    <sheet name="OOG" sheetId="1" r:id="rId1"/>
  </sheets>
  <definedNames>
    <definedName name="_xlnm.Print_Area" localSheetId="0">OOG!$A$1:$P$82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O39" i="1"/>
  <c r="A39" i="1"/>
</calcChain>
</file>

<file path=xl/sharedStrings.xml><?xml version="1.0" encoding="utf-8"?>
<sst xmlns="http://schemas.openxmlformats.org/spreadsheetml/2006/main" count="158" uniqueCount="90">
  <si>
    <t>Rate Sheet for Special Equipment / Direct Ports only</t>
  </si>
  <si>
    <t>Hamburg, 20.3.2026</t>
  </si>
  <si>
    <t>HMM (Germany) GmbH &amp; Co. KG</t>
  </si>
  <si>
    <t xml:space="preserve">FOR CUSTOMER:  </t>
  </si>
  <si>
    <t>CJ ICM Logistics GmbH</t>
  </si>
  <si>
    <t>as Agent of HMM Co.Ltd., Seoul/Korea</t>
  </si>
  <si>
    <t>RATE AGREEMENT/SERVICE CONTRACT: WGB2000001</t>
  </si>
  <si>
    <t>Herrengraben 3,  D-20459 Hamburg, Germany</t>
  </si>
  <si>
    <t>VALIDITY AS PER RATING DATE (RDA): 01.04.2026 until 30.04.2026</t>
  </si>
  <si>
    <t>FAR EAST</t>
  </si>
  <si>
    <t xml:space="preserve">Remarks:
20'FR /OT OOG  not acceptable on MSC operated vessels (FE5/FE6-services)
Rates via POL Antwerp to be checked case by case </t>
  </si>
  <si>
    <t>Currency: USD</t>
  </si>
  <si>
    <t>OT ig</t>
  </si>
  <si>
    <t>FR ig</t>
  </si>
  <si>
    <t>OT oh</t>
  </si>
  <si>
    <t>FR oh</t>
  </si>
  <si>
    <t>FR ow both sides</t>
  </si>
  <si>
    <t>FR ow/oh</t>
  </si>
  <si>
    <t>POD:</t>
  </si>
  <si>
    <t>Country:</t>
  </si>
  <si>
    <t>POL</t>
  </si>
  <si>
    <t>Service(s)</t>
  </si>
  <si>
    <t>20'</t>
  </si>
  <si>
    <t>40'</t>
  </si>
  <si>
    <t>BUSAN</t>
  </si>
  <si>
    <t>SOUTH KOREA</t>
  </si>
  <si>
    <t>EX RTM/HAM</t>
  </si>
  <si>
    <t>FE3, FE6</t>
  </si>
  <si>
    <t>SINGAPORE</t>
  </si>
  <si>
    <t>FP1, FE3, FE4, FE5, FE6</t>
  </si>
  <si>
    <t>SHANGHAI</t>
  </si>
  <si>
    <t>CHINA</t>
  </si>
  <si>
    <t>EX RTM</t>
  </si>
  <si>
    <t>FE3, FE4, FE5</t>
  </si>
  <si>
    <t>EX HAM</t>
  </si>
  <si>
    <t>NINGBO</t>
  </si>
  <si>
    <t>FE4, FE5</t>
  </si>
  <si>
    <t>QINGDAO</t>
  </si>
  <si>
    <t>FE3, FE5</t>
  </si>
  <si>
    <t>YANTIAN</t>
  </si>
  <si>
    <t>FE3, FE4</t>
  </si>
  <si>
    <t>KOBE</t>
  </si>
  <si>
    <t>JAPAN</t>
  </si>
  <si>
    <t>FP1</t>
  </si>
  <si>
    <t>NAGOYA</t>
  </si>
  <si>
    <t>TOKYO</t>
  </si>
  <si>
    <t>INDIA / PAKISTAN</t>
  </si>
  <si>
    <t>NHAVA SHEVA</t>
  </si>
  <si>
    <t>INDIA</t>
  </si>
  <si>
    <t>EX RTM/HAM/ANR</t>
  </si>
  <si>
    <t>INX</t>
  </si>
  <si>
    <t>MUNDRA</t>
  </si>
  <si>
    <t>KARACHI</t>
  </si>
  <si>
    <t>PAKISTAN</t>
  </si>
  <si>
    <t>HAZIRA</t>
  </si>
  <si>
    <t>Included surcharges (V.A.T.O.S.):</t>
  </si>
  <si>
    <t>Excluded surcharges (V.A.T.O.S.):</t>
  </si>
  <si>
    <t>AMS Aden Gulf Emergency Surcharge</t>
  </si>
  <si>
    <r>
      <t xml:space="preserve">KLS  Korean Low Sulphur Surcharge: </t>
    </r>
    <r>
      <rPr>
        <b/>
        <sz val="11"/>
        <rFont val="Calibri"/>
        <family val="2"/>
        <scheme val="minor"/>
      </rPr>
      <t xml:space="preserve">USD 3,00/TEU </t>
    </r>
    <r>
      <rPr>
        <sz val="11"/>
        <rFont val="Calibri"/>
        <family val="2"/>
        <scheme val="minor"/>
      </rPr>
      <t>- applicable for destinations in Korea only</t>
    </r>
  </si>
  <si>
    <t>BUC Bunker Charge</t>
  </si>
  <si>
    <r>
      <t xml:space="preserve">EES  EU ETS Surcharge Q2/2026: </t>
    </r>
    <r>
      <rPr>
        <b/>
        <sz val="11"/>
        <rFont val="Calibri"/>
        <family val="2"/>
        <scheme val="minor"/>
      </rPr>
      <t>EUR 25,00/TEU to Asia</t>
    </r>
    <r>
      <rPr>
        <sz val="11"/>
        <rFont val="Calibri"/>
        <family val="2"/>
        <scheme val="minor"/>
      </rPr>
      <t xml:space="preserve">, </t>
    </r>
    <r>
      <rPr>
        <b/>
        <sz val="11"/>
        <rFont val="Calibri"/>
        <family val="2"/>
        <scheme val="minor"/>
      </rPr>
      <t>EUR 35,00/TEU to India &amp; Pakistan</t>
    </r>
  </si>
  <si>
    <t>ECC Environmental Compliance Charge</t>
  </si>
  <si>
    <r>
      <t>EFL Emergency Fuel Surcharge, currently</t>
    </r>
    <r>
      <rPr>
        <b/>
        <sz val="11"/>
        <rFont val="Calibri"/>
        <family val="2"/>
        <scheme val="minor"/>
      </rPr>
      <t xml:space="preserve"> USD 75,00/TEU</t>
    </r>
    <r>
      <rPr>
        <sz val="11"/>
        <rFont val="Calibri"/>
        <family val="2"/>
        <scheme val="minor"/>
      </rPr>
      <t>, to be reviewed bi-weekly</t>
    </r>
  </si>
  <si>
    <t>STF Suez Transit Fee</t>
  </si>
  <si>
    <t>THL THC in Loading Port</t>
  </si>
  <si>
    <t>DOC Fee: EUR 30/BL (web/wisetech), EUR 40/BL (Dakosy, EDI), EUR 50/BL (GT Nexus, Inttra)</t>
  </si>
  <si>
    <t>TSL Terminal Security charges (ISPS) in Loading Port</t>
  </si>
  <si>
    <t>AM1 (CHINA) Filing: USD 35/BL</t>
  </si>
  <si>
    <t>AFR (Japan) Filing: USD 35/BL</t>
  </si>
  <si>
    <t>Page 1/2</t>
  </si>
  <si>
    <t>- Outports available upon request by Email; please provide pictures/drawings and position of CoG!</t>
  </si>
  <si>
    <t>- subject to any new implemented surcharge at time of booking (e.g. PES, CIC) and until further notice</t>
  </si>
  <si>
    <r>
      <t xml:space="preserve">- FAR EAST a.m. rates are valid for </t>
    </r>
    <r>
      <rPr>
        <b/>
        <sz val="11"/>
        <color theme="1"/>
        <rFont val="Calibri"/>
        <family val="2"/>
        <scheme val="minor"/>
      </rPr>
      <t>max. 1150cm (40'FR) / 550cm (20'FR) cargo length, max. 400cm cargo width; max. 400cm cargo height, max. payload of 25ts/20'FR &amp; 35ts/40'FR</t>
    </r>
  </si>
  <si>
    <r>
      <t xml:space="preserve">- INDIA a.m. rates are valid for </t>
    </r>
    <r>
      <rPr>
        <b/>
        <sz val="11"/>
        <color theme="1"/>
        <rFont val="Calibri"/>
        <family val="2"/>
        <scheme val="minor"/>
      </rPr>
      <t>max. 1150cm (40'FR) / 550cm (20'FR) cargo length, max. 400cm cargo width; max. 375cm cargo height, max. payload of 20ts/20'FR &amp; 25ts/40'FR</t>
    </r>
  </si>
  <si>
    <t xml:space="preserve">  any cargo dimensions/weight exceeding above limits to be checked case-by-case</t>
  </si>
  <si>
    <t>- OT/FR Premium of USD 200 will apply, when specific HC FR/OT equipment is requested</t>
  </si>
  <si>
    <t>- OWOS = one side overwidth only against request and only acceptable if based on technical reason</t>
  </si>
  <si>
    <t>- OL = Overlength cargo only possible on deck with equal overlength each side; max. 16m length on own HMM vessels (on partner vessels to be checked case-by-case)</t>
  </si>
  <si>
    <t>The rates on this sheet are subject to following conditions:</t>
  </si>
  <si>
    <t>1. Space &amp; equipment availibility / Vessel operator’s appoval</t>
  </si>
  <si>
    <t>2. Shipper’s responsibility to ensure that cargo safely stuffed and lashed on special equipment</t>
  </si>
  <si>
    <t>3. No guarantee for under deck shipments, but OOG will be normally loaded in highest tier under deck</t>
  </si>
  <si>
    <t>4. The cargo dimension and total weight (after completion of lashing / bracing / securing) provided by customer must no be different from actual dimension and weight.</t>
  </si>
  <si>
    <t>5. If it is proved to be different by the local 3rd party surveyor, the ocean freight can be adjusted as per carrier’s rule.</t>
  </si>
  <si>
    <t>6. All additional costs incurred during operation will be on customers’ account.</t>
  </si>
  <si>
    <t>7. Length limitation on 40'Flat Rack as below</t>
  </si>
  <si>
    <t>Herrengraben 3, 20459 Hamburg, Germany</t>
  </si>
  <si>
    <r>
      <t xml:space="preserve">Geschäftsführer: </t>
    </r>
    <r>
      <rPr>
        <b/>
        <sz val="7"/>
        <color rgb="FF000000"/>
        <rFont val="Calibri"/>
        <family val="2"/>
        <scheme val="minor"/>
      </rPr>
      <t>N.H.(Namhun) Baik</t>
    </r>
  </si>
  <si>
    <t>Handelsregister Hamburg: HRA120428</t>
  </si>
  <si>
    <t>Page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</si>
</sst>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FF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</font>
    <font>
      <b/>
      <i/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/>
    <xf numFmtId="0" fontId="0" fillId="3" borderId="5" xfId="0" applyFill="1" applyBorder="1"/>
    <xf numFmtId="0" fontId="7" fillId="3" borderId="5" xfId="0" applyFont="1" applyFill="1" applyBorder="1" applyAlignment="1">
      <alignment horizontal="left" vertical="center"/>
    </xf>
    <xf numFmtId="0" fontId="0" fillId="3" borderId="5" xfId="0" applyFill="1" applyBorder="1" applyAlignment="1">
      <alignment vertical="center"/>
    </xf>
    <xf numFmtId="0" fontId="8" fillId="3" borderId="5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center"/>
    </xf>
    <xf numFmtId="0" fontId="0" fillId="3" borderId="6" xfId="0" applyFill="1" applyBorder="1"/>
    <xf numFmtId="0" fontId="10" fillId="3" borderId="7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/>
    </xf>
    <xf numFmtId="0" fontId="10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/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0" fillId="3" borderId="8" xfId="0" applyFill="1" applyBorder="1"/>
    <xf numFmtId="0" fontId="10" fillId="3" borderId="7" xfId="0" applyFont="1" applyFill="1" applyBorder="1" applyAlignment="1">
      <alignment vertical="center"/>
    </xf>
    <xf numFmtId="0" fontId="10" fillId="3" borderId="0" xfId="0" applyFont="1" applyFill="1"/>
    <xf numFmtId="0" fontId="10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11" fillId="3" borderId="0" xfId="0" applyFont="1" applyFill="1"/>
    <xf numFmtId="0" fontId="11" fillId="3" borderId="8" xfId="0" applyFont="1" applyFill="1" applyBorder="1"/>
    <xf numFmtId="0" fontId="12" fillId="3" borderId="9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3" fontId="3" fillId="3" borderId="10" xfId="0" applyNumberFormat="1" applyFont="1" applyFill="1" applyBorder="1" applyAlignment="1">
      <alignment horizontal="center" vertical="center"/>
    </xf>
    <xf numFmtId="3" fontId="3" fillId="3" borderId="11" xfId="0" applyNumberFormat="1" applyFont="1" applyFill="1" applyBorder="1" applyAlignment="1">
      <alignment horizontal="center" vertical="center"/>
    </xf>
    <xf numFmtId="0" fontId="13" fillId="0" borderId="7" xfId="0" applyFont="1" applyBorder="1"/>
    <xf numFmtId="0" fontId="14" fillId="0" borderId="0" xfId="0" applyFont="1"/>
    <xf numFmtId="0" fontId="1" fillId="0" borderId="0" xfId="0" applyFont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5" fillId="0" borderId="7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" fillId="0" borderId="12" xfId="0" applyFont="1" applyBorder="1" applyAlignment="1">
      <alignment horizontal="right" wrapText="1"/>
    </xf>
    <xf numFmtId="0" fontId="1" fillId="0" borderId="13" xfId="0" applyFont="1" applyBorder="1" applyAlignment="1">
      <alignment horizontal="right" wrapText="1"/>
    </xf>
    <xf numFmtId="0" fontId="15" fillId="0" borderId="14" xfId="0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2" fillId="2" borderId="26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3" fillId="0" borderId="1" xfId="0" applyFont="1" applyBorder="1"/>
    <xf numFmtId="0" fontId="14" fillId="0" borderId="2" xfId="0" applyFont="1" applyBorder="1"/>
    <xf numFmtId="0" fontId="1" fillId="0" borderId="30" xfId="0" applyFont="1" applyBorder="1" applyAlignment="1">
      <alignment horizontal="right" wrapText="1"/>
    </xf>
    <xf numFmtId="0" fontId="1" fillId="0" borderId="31" xfId="0" applyFont="1" applyBorder="1" applyAlignment="1">
      <alignment horizontal="right" wrapText="1"/>
    </xf>
    <xf numFmtId="0" fontId="12" fillId="0" borderId="14" xfId="0" applyFont="1" applyBorder="1"/>
    <xf numFmtId="0" fontId="3" fillId="0" borderId="12" xfId="0" applyFont="1" applyBorder="1"/>
    <xf numFmtId="0" fontId="3" fillId="0" borderId="13" xfId="0" applyFont="1" applyBorder="1"/>
    <xf numFmtId="0" fontId="1" fillId="2" borderId="12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3" fillId="2" borderId="32" xfId="0" applyFont="1" applyFill="1" applyBorder="1" applyAlignment="1">
      <alignment horizontal="center" vertical="center"/>
    </xf>
    <xf numFmtId="3" fontId="16" fillId="4" borderId="26" xfId="0" applyNumberFormat="1" applyFont="1" applyFill="1" applyBorder="1" applyAlignment="1">
      <alignment horizontal="center" vertical="center"/>
    </xf>
    <xf numFmtId="3" fontId="16" fillId="4" borderId="33" xfId="0" applyNumberFormat="1" applyFont="1" applyFill="1" applyBorder="1" applyAlignment="1">
      <alignment horizontal="center" vertical="center"/>
    </xf>
    <xf numFmtId="3" fontId="16" fillId="4" borderId="18" xfId="0" applyNumberFormat="1" applyFont="1" applyFill="1" applyBorder="1" applyAlignment="1">
      <alignment horizontal="center" vertical="center"/>
    </xf>
    <xf numFmtId="3" fontId="16" fillId="4" borderId="28" xfId="0" applyNumberFormat="1" applyFont="1" applyFill="1" applyBorder="1" applyAlignment="1">
      <alignment horizontal="center" vertical="center"/>
    </xf>
    <xf numFmtId="3" fontId="16" fillId="4" borderId="34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3" fontId="16" fillId="4" borderId="35" xfId="0" applyNumberFormat="1" applyFont="1" applyFill="1" applyBorder="1" applyAlignment="1">
      <alignment horizontal="center" vertical="center"/>
    </xf>
    <xf numFmtId="3" fontId="16" fillId="4" borderId="36" xfId="0" applyNumberFormat="1" applyFont="1" applyFill="1" applyBorder="1" applyAlignment="1">
      <alignment horizontal="center" vertical="center"/>
    </xf>
    <xf numFmtId="3" fontId="16" fillId="4" borderId="16" xfId="0" applyNumberFormat="1" applyFont="1" applyFill="1" applyBorder="1" applyAlignment="1">
      <alignment horizontal="center" vertical="center"/>
    </xf>
    <xf numFmtId="3" fontId="16" fillId="4" borderId="37" xfId="0" applyNumberFormat="1" applyFont="1" applyFill="1" applyBorder="1" applyAlignment="1">
      <alignment horizontal="center" vertical="center"/>
    </xf>
    <xf numFmtId="0" fontId="17" fillId="0" borderId="0" xfId="0" applyFont="1"/>
    <xf numFmtId="0" fontId="15" fillId="0" borderId="7" xfId="0" applyFont="1" applyBorder="1"/>
    <xf numFmtId="0" fontId="15" fillId="0" borderId="0" xfId="0" applyFont="1"/>
    <xf numFmtId="0" fontId="15" fillId="0" borderId="8" xfId="0" applyFont="1" applyBorder="1"/>
    <xf numFmtId="0" fontId="15" fillId="0" borderId="0" xfId="0" applyFont="1" applyAlignment="1">
      <alignment horizontal="left"/>
    </xf>
    <xf numFmtId="0" fontId="18" fillId="0" borderId="7" xfId="0" applyFont="1" applyBorder="1"/>
    <xf numFmtId="0" fontId="3" fillId="0" borderId="0" xfId="0" applyFont="1"/>
    <xf numFmtId="0" fontId="18" fillId="0" borderId="0" xfId="0" applyFont="1"/>
    <xf numFmtId="0" fontId="3" fillId="0" borderId="7" xfId="0" applyFont="1" applyBorder="1"/>
    <xf numFmtId="0" fontId="3" fillId="0" borderId="0" xfId="0" applyFont="1" applyAlignment="1">
      <alignment horizontal="left"/>
    </xf>
    <xf numFmtId="0" fontId="0" fillId="0" borderId="9" xfId="0" quotePrefix="1" applyBorder="1"/>
    <xf numFmtId="0" fontId="0" fillId="0" borderId="10" xfId="0" quotePrefix="1" applyBorder="1"/>
    <xf numFmtId="0" fontId="0" fillId="0" borderId="10" xfId="0" applyBorder="1"/>
    <xf numFmtId="0" fontId="0" fillId="0" borderId="11" xfId="0" applyBorder="1"/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right" vertical="center"/>
    </xf>
    <xf numFmtId="0" fontId="5" fillId="2" borderId="40" xfId="0" applyFont="1" applyFill="1" applyBorder="1" applyAlignment="1">
      <alignment horizontal="right" vertical="center"/>
    </xf>
    <xf numFmtId="0" fontId="11" fillId="3" borderId="5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/>
    <xf numFmtId="0" fontId="10" fillId="3" borderId="9" xfId="0" applyFont="1" applyFill="1" applyBorder="1" applyAlignment="1">
      <alignment vertical="center"/>
    </xf>
    <xf numFmtId="0" fontId="10" fillId="3" borderId="10" xfId="0" applyFont="1" applyFill="1" applyBorder="1"/>
    <xf numFmtId="0" fontId="10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0" fillId="0" borderId="10" xfId="0" applyBorder="1"/>
    <xf numFmtId="0" fontId="8" fillId="3" borderId="10" xfId="0" applyFont="1" applyFill="1" applyBorder="1" applyAlignment="1">
      <alignment horizontal="left"/>
    </xf>
    <xf numFmtId="0" fontId="11" fillId="3" borderId="10" xfId="0" applyFont="1" applyFill="1" applyBorder="1"/>
    <xf numFmtId="0" fontId="11" fillId="3" borderId="11" xfId="0" applyFont="1" applyFill="1" applyBorder="1"/>
    <xf numFmtId="0" fontId="19" fillId="0" borderId="7" xfId="0" quotePrefix="1" applyFont="1" applyBorder="1"/>
    <xf numFmtId="0" fontId="19" fillId="0" borderId="0" xfId="0" quotePrefix="1" applyFont="1"/>
    <xf numFmtId="0" fontId="19" fillId="0" borderId="0" xfId="0" applyFont="1"/>
    <xf numFmtId="0" fontId="19" fillId="0" borderId="8" xfId="0" applyFont="1" applyBorder="1"/>
    <xf numFmtId="0" fontId="0" fillId="0" borderId="7" xfId="0" quotePrefix="1" applyBorder="1"/>
    <xf numFmtId="0" fontId="0" fillId="0" borderId="8" xfId="0" applyBorder="1"/>
    <xf numFmtId="0" fontId="0" fillId="0" borderId="7" xfId="0" quotePrefix="1" applyBorder="1"/>
    <xf numFmtId="0" fontId="0" fillId="0" borderId="8" xfId="0" applyBorder="1"/>
    <xf numFmtId="0" fontId="1" fillId="0" borderId="7" xfId="0" quotePrefix="1" applyFont="1" applyBorder="1"/>
    <xf numFmtId="0" fontId="1" fillId="0" borderId="0" xfId="0" applyFont="1"/>
    <xf numFmtId="0" fontId="20" fillId="0" borderId="7" xfId="0" quotePrefix="1" applyFont="1" applyBorder="1" applyAlignment="1">
      <alignment vertical="center"/>
    </xf>
    <xf numFmtId="0" fontId="19" fillId="0" borderId="0" xfId="0" quotePrefix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8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0" fillId="0" borderId="7" xfId="0" applyBorder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0" fontId="0" fillId="0" borderId="14" xfId="0" applyBorder="1"/>
    <xf numFmtId="0" fontId="0" fillId="0" borderId="12" xfId="0" applyBorder="1"/>
    <xf numFmtId="0" fontId="23" fillId="0" borderId="12" xfId="0" applyFont="1" applyBorder="1" applyAlignment="1">
      <alignment vertical="center"/>
    </xf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266701</xdr:colOff>
      <xdr:row>1</xdr:row>
      <xdr:rowOff>57150</xdr:rowOff>
    </xdr:from>
    <xdr:to>
      <xdr:col>15</xdr:col>
      <xdr:colOff>533401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7FC91-871C-4CAF-877A-0B660BDE8E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3651" y="381000"/>
          <a:ext cx="1485900" cy="635000"/>
        </a:xfrm>
        <a:prstGeom prst="rect">
          <a:avLst/>
        </a:prstGeom>
        <a:noFill/>
      </xdr:spPr>
    </xdr:pic>
    <xdr:clientData/>
  </xdr:twoCellAnchor>
  <xdr:oneCellAnchor>
    <xdr:from>
      <xdr:col>13</xdr:col>
      <xdr:colOff>266701</xdr:colOff>
      <xdr:row>39</xdr:row>
      <xdr:rowOff>57150</xdr:rowOff>
    </xdr:from>
    <xdr:ext cx="1428750" cy="628650"/>
    <xdr:pic>
      <xdr:nvPicPr>
        <xdr:cNvPr id="3" name="Picture 2">
          <a:extLst>
            <a:ext uri="{FF2B5EF4-FFF2-40B4-BE49-F238E27FC236}">
              <a16:creationId xmlns:a16="http://schemas.microsoft.com/office/drawing/2014/main" id="{F4A0EFCB-5A9D-4884-ADDB-11B519D352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3651" y="9347200"/>
          <a:ext cx="1428750" cy="628650"/>
        </a:xfrm>
        <a:prstGeom prst="rect">
          <a:avLst/>
        </a:prstGeom>
        <a:noFill/>
      </xdr:spPr>
    </xdr:pic>
    <xdr:clientData/>
  </xdr:oneCellAnchor>
  <xdr:twoCellAnchor>
    <xdr:from>
      <xdr:col>0</xdr:col>
      <xdr:colOff>76200</xdr:colOff>
      <xdr:row>61</xdr:row>
      <xdr:rowOff>28575</xdr:rowOff>
    </xdr:from>
    <xdr:to>
      <xdr:col>3</xdr:col>
      <xdr:colOff>1149350</xdr:colOff>
      <xdr:row>80</xdr:row>
      <xdr:rowOff>28575</xdr:rowOff>
    </xdr:to>
    <xdr:pic>
      <xdr:nvPicPr>
        <xdr:cNvPr id="4" name="그림 1" descr="cid:image001.png@01D5FD3C.6BFFF7E0">
          <a:extLst>
            <a:ext uri="{FF2B5EF4-FFF2-40B4-BE49-F238E27FC236}">
              <a16:creationId xmlns:a16="http://schemas.microsoft.com/office/drawing/2014/main" id="{CA78AFFA-6624-4AC1-9BF3-310C43777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017625"/>
          <a:ext cx="5226050" cy="325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AD91-21B6-4B90-9E7A-0F2F95949FCC}">
  <sheetPr codeName="Sheet2">
    <pageSetUpPr fitToPage="1"/>
  </sheetPr>
  <dimension ref="A1:R82"/>
  <sheetViews>
    <sheetView showGridLines="0" tabSelected="1" zoomScaleNormal="100" workbookViewId="0">
      <selection activeCell="A82" sqref="A82"/>
    </sheetView>
  </sheetViews>
  <sheetFormatPr defaultColWidth="8.7265625" defaultRowHeight="14.5" x14ac:dyDescent="0.35"/>
  <cols>
    <col min="1" max="1" width="20.7265625" customWidth="1"/>
    <col min="2" max="2" width="14.453125" customWidth="1"/>
    <col min="3" max="3" width="24.26953125" customWidth="1"/>
    <col min="4" max="4" width="24.7265625" bestFit="1" customWidth="1"/>
    <col min="5" max="5" width="7.81640625" customWidth="1"/>
    <col min="6" max="6" width="7.7265625" customWidth="1"/>
    <col min="7" max="8" width="8.1796875" customWidth="1"/>
    <col min="16" max="16" width="8.7265625" customWidth="1"/>
  </cols>
  <sheetData>
    <row r="1" spans="1:16" ht="25.5" customHeight="1" x14ac:dyDescent="0.3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 t="s">
        <v>1</v>
      </c>
      <c r="P1" s="5"/>
    </row>
    <row r="2" spans="1:16" ht="20.5" customHeight="1" x14ac:dyDescent="0.5">
      <c r="A2" s="6" t="s">
        <v>2</v>
      </c>
      <c r="B2" s="7"/>
      <c r="C2" s="7"/>
      <c r="D2" s="8"/>
      <c r="E2" s="9" t="s">
        <v>3</v>
      </c>
      <c r="F2" s="8"/>
      <c r="G2" s="9" t="s">
        <v>4</v>
      </c>
      <c r="H2" s="10"/>
      <c r="I2" s="10"/>
      <c r="J2" s="10"/>
      <c r="K2" s="11"/>
      <c r="L2" s="11"/>
      <c r="M2" s="11"/>
      <c r="N2" s="12"/>
      <c r="O2" s="12"/>
      <c r="P2" s="13"/>
    </row>
    <row r="3" spans="1:16" ht="20.5" customHeight="1" x14ac:dyDescent="0.5">
      <c r="A3" s="14" t="s">
        <v>5</v>
      </c>
      <c r="B3" s="15"/>
      <c r="C3" s="15"/>
      <c r="D3" s="15"/>
      <c r="E3" s="16" t="s">
        <v>6</v>
      </c>
      <c r="F3" s="17"/>
      <c r="G3" s="17"/>
      <c r="H3" s="17"/>
      <c r="I3" s="17"/>
      <c r="J3" s="17"/>
      <c r="K3" s="17"/>
      <c r="L3" s="18"/>
      <c r="M3" s="19"/>
      <c r="N3" s="20"/>
      <c r="O3" s="20"/>
      <c r="P3" s="21"/>
    </row>
    <row r="4" spans="1:16" ht="19.5" customHeight="1" x14ac:dyDescent="0.35">
      <c r="A4" s="22" t="s">
        <v>7</v>
      </c>
      <c r="B4" s="23"/>
      <c r="C4" s="23"/>
      <c r="D4" s="23"/>
      <c r="E4" s="24" t="s">
        <v>8</v>
      </c>
      <c r="F4" s="25"/>
      <c r="G4" s="25"/>
      <c r="H4" s="25"/>
      <c r="I4" s="25"/>
      <c r="J4" s="25"/>
      <c r="K4" s="18"/>
      <c r="L4" s="18"/>
      <c r="M4" s="19"/>
      <c r="N4" s="26"/>
      <c r="O4" s="26"/>
      <c r="P4" s="27"/>
    </row>
    <row r="5" spans="1:16" ht="6" customHeight="1" x14ac:dyDescent="0.35">
      <c r="A5" s="28"/>
      <c r="B5" s="29"/>
      <c r="C5" s="30"/>
      <c r="D5" s="30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2"/>
    </row>
    <row r="6" spans="1:16" ht="22.5" customHeight="1" x14ac:dyDescent="0.45">
      <c r="A6" s="33" t="s">
        <v>9</v>
      </c>
      <c r="B6" s="34"/>
      <c r="C6" s="34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spans="1:16" ht="22.5" customHeight="1" thickBot="1" x14ac:dyDescent="0.4">
      <c r="A7" s="37" t="s">
        <v>10</v>
      </c>
      <c r="B7" s="38"/>
      <c r="C7" s="38"/>
      <c r="D7" s="38"/>
      <c r="E7" s="39" t="s">
        <v>11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40"/>
    </row>
    <row r="8" spans="1:16" ht="22.5" customHeight="1" thickBot="1" x14ac:dyDescent="0.4">
      <c r="A8" s="41"/>
      <c r="B8" s="42"/>
      <c r="C8" s="42"/>
      <c r="D8" s="42"/>
      <c r="E8" s="43" t="s">
        <v>12</v>
      </c>
      <c r="F8" s="44"/>
      <c r="G8" s="45" t="s">
        <v>13</v>
      </c>
      <c r="H8" s="46"/>
      <c r="I8" s="45" t="s">
        <v>14</v>
      </c>
      <c r="J8" s="46"/>
      <c r="K8" s="45" t="s">
        <v>15</v>
      </c>
      <c r="L8" s="46"/>
      <c r="M8" s="45" t="s">
        <v>16</v>
      </c>
      <c r="N8" s="46"/>
      <c r="O8" s="45" t="s">
        <v>17</v>
      </c>
      <c r="P8" s="47"/>
    </row>
    <row r="9" spans="1:16" ht="20.149999999999999" customHeight="1" thickBot="1" x14ac:dyDescent="0.4">
      <c r="A9" s="48" t="s">
        <v>18</v>
      </c>
      <c r="B9" s="49" t="s">
        <v>19</v>
      </c>
      <c r="C9" s="50" t="s">
        <v>20</v>
      </c>
      <c r="D9" s="51" t="s">
        <v>21</v>
      </c>
      <c r="E9" s="52" t="s">
        <v>22</v>
      </c>
      <c r="F9" s="53" t="s">
        <v>23</v>
      </c>
      <c r="G9" s="54" t="s">
        <v>22</v>
      </c>
      <c r="H9" s="53" t="s">
        <v>23</v>
      </c>
      <c r="I9" s="54" t="s">
        <v>22</v>
      </c>
      <c r="J9" s="53" t="s">
        <v>23</v>
      </c>
      <c r="K9" s="54" t="s">
        <v>22</v>
      </c>
      <c r="L9" s="53" t="s">
        <v>23</v>
      </c>
      <c r="M9" s="54" t="s">
        <v>22</v>
      </c>
      <c r="N9" s="53" t="s">
        <v>23</v>
      </c>
      <c r="O9" s="54" t="s">
        <v>22</v>
      </c>
      <c r="P9" s="55" t="s">
        <v>23</v>
      </c>
    </row>
    <row r="10" spans="1:16" ht="20.149999999999999" customHeight="1" thickTop="1" thickBot="1" x14ac:dyDescent="0.4">
      <c r="A10" s="56" t="s">
        <v>24</v>
      </c>
      <c r="B10" s="57" t="s">
        <v>25</v>
      </c>
      <c r="C10" s="58" t="s">
        <v>26</v>
      </c>
      <c r="D10" s="58" t="s">
        <v>27</v>
      </c>
      <c r="E10" s="59">
        <v>800</v>
      </c>
      <c r="F10" s="59">
        <v>700</v>
      </c>
      <c r="G10" s="59">
        <v>800</v>
      </c>
      <c r="H10" s="59">
        <v>700</v>
      </c>
      <c r="I10" s="59">
        <v>1000</v>
      </c>
      <c r="J10" s="59">
        <v>1000</v>
      </c>
      <c r="K10" s="59">
        <v>1000</v>
      </c>
      <c r="L10" s="59">
        <v>1000</v>
      </c>
      <c r="M10" s="60">
        <v>1250</v>
      </c>
      <c r="N10" s="59">
        <v>1250</v>
      </c>
      <c r="O10" s="60">
        <v>1600</v>
      </c>
      <c r="P10" s="61">
        <v>1500</v>
      </c>
    </row>
    <row r="11" spans="1:16" ht="20.149999999999999" customHeight="1" thickBot="1" x14ac:dyDescent="0.4">
      <c r="A11" s="56" t="s">
        <v>28</v>
      </c>
      <c r="B11" s="57" t="s">
        <v>28</v>
      </c>
      <c r="C11" s="62" t="s">
        <v>26</v>
      </c>
      <c r="D11" s="62" t="s">
        <v>29</v>
      </c>
      <c r="E11" s="59">
        <v>800</v>
      </c>
      <c r="F11" s="59">
        <v>700</v>
      </c>
      <c r="G11" s="59">
        <v>800</v>
      </c>
      <c r="H11" s="59">
        <v>700</v>
      </c>
      <c r="I11" s="59">
        <v>1000</v>
      </c>
      <c r="J11" s="59">
        <v>1000</v>
      </c>
      <c r="K11" s="59">
        <v>1000</v>
      </c>
      <c r="L11" s="59">
        <v>1000</v>
      </c>
      <c r="M11" s="60">
        <v>1250</v>
      </c>
      <c r="N11" s="59">
        <v>1250</v>
      </c>
      <c r="O11" s="60">
        <v>1600</v>
      </c>
      <c r="P11" s="61">
        <v>1500</v>
      </c>
    </row>
    <row r="12" spans="1:16" ht="20.149999999999999" customHeight="1" thickBot="1" x14ac:dyDescent="0.4">
      <c r="A12" s="56" t="s">
        <v>30</v>
      </c>
      <c r="B12" s="57" t="s">
        <v>31</v>
      </c>
      <c r="C12" s="62" t="s">
        <v>32</v>
      </c>
      <c r="D12" s="58" t="s">
        <v>33</v>
      </c>
      <c r="E12" s="59">
        <v>800</v>
      </c>
      <c r="F12" s="59">
        <v>450</v>
      </c>
      <c r="G12" s="59">
        <v>800</v>
      </c>
      <c r="H12" s="59">
        <v>700</v>
      </c>
      <c r="I12" s="59">
        <v>1000</v>
      </c>
      <c r="J12" s="59">
        <v>1000</v>
      </c>
      <c r="K12" s="59">
        <v>1000</v>
      </c>
      <c r="L12" s="59">
        <v>1000</v>
      </c>
      <c r="M12" s="60">
        <v>1250</v>
      </c>
      <c r="N12" s="59">
        <v>1250</v>
      </c>
      <c r="O12" s="60">
        <v>1600</v>
      </c>
      <c r="P12" s="61">
        <v>1500</v>
      </c>
    </row>
    <row r="13" spans="1:16" ht="20.149999999999999" customHeight="1" thickBot="1" x14ac:dyDescent="0.4">
      <c r="A13" s="56" t="s">
        <v>30</v>
      </c>
      <c r="B13" s="57" t="s">
        <v>31</v>
      </c>
      <c r="C13" s="62" t="s">
        <v>34</v>
      </c>
      <c r="D13" s="58" t="s">
        <v>33</v>
      </c>
      <c r="E13" s="59">
        <v>800</v>
      </c>
      <c r="F13" s="59">
        <v>500</v>
      </c>
      <c r="G13" s="59">
        <v>800</v>
      </c>
      <c r="H13" s="59">
        <v>700</v>
      </c>
      <c r="I13" s="59">
        <v>1000</v>
      </c>
      <c r="J13" s="59">
        <v>1000</v>
      </c>
      <c r="K13" s="59">
        <v>1000</v>
      </c>
      <c r="L13" s="59">
        <v>1000</v>
      </c>
      <c r="M13" s="60">
        <v>1250</v>
      </c>
      <c r="N13" s="59">
        <v>1250</v>
      </c>
      <c r="O13" s="60">
        <v>1600</v>
      </c>
      <c r="P13" s="61">
        <v>1500</v>
      </c>
    </row>
    <row r="14" spans="1:16" ht="20.149999999999999" customHeight="1" thickBot="1" x14ac:dyDescent="0.4">
      <c r="A14" s="56" t="s">
        <v>35</v>
      </c>
      <c r="B14" s="57" t="s">
        <v>31</v>
      </c>
      <c r="C14" s="62" t="s">
        <v>26</v>
      </c>
      <c r="D14" s="58" t="s">
        <v>36</v>
      </c>
      <c r="E14" s="59">
        <v>800</v>
      </c>
      <c r="F14" s="59">
        <v>450</v>
      </c>
      <c r="G14" s="59">
        <v>800</v>
      </c>
      <c r="H14" s="59">
        <v>700</v>
      </c>
      <c r="I14" s="59">
        <v>1000</v>
      </c>
      <c r="J14" s="59">
        <v>1000</v>
      </c>
      <c r="K14" s="59">
        <v>1000</v>
      </c>
      <c r="L14" s="59">
        <v>1000</v>
      </c>
      <c r="M14" s="60">
        <v>1250</v>
      </c>
      <c r="N14" s="59">
        <v>1250</v>
      </c>
      <c r="O14" s="60">
        <v>1600</v>
      </c>
      <c r="P14" s="61">
        <v>1500</v>
      </c>
    </row>
    <row r="15" spans="1:16" ht="20.149999999999999" customHeight="1" thickBot="1" x14ac:dyDescent="0.4">
      <c r="A15" s="56" t="s">
        <v>37</v>
      </c>
      <c r="B15" s="57" t="s">
        <v>31</v>
      </c>
      <c r="C15" s="62" t="s">
        <v>26</v>
      </c>
      <c r="D15" s="58" t="s">
        <v>38</v>
      </c>
      <c r="E15" s="59">
        <v>800</v>
      </c>
      <c r="F15" s="59">
        <v>450</v>
      </c>
      <c r="G15" s="59">
        <v>800</v>
      </c>
      <c r="H15" s="59">
        <v>700</v>
      </c>
      <c r="I15" s="59">
        <v>1000</v>
      </c>
      <c r="J15" s="59">
        <v>1000</v>
      </c>
      <c r="K15" s="59">
        <v>1000</v>
      </c>
      <c r="L15" s="59">
        <v>1000</v>
      </c>
      <c r="M15" s="60">
        <v>1250</v>
      </c>
      <c r="N15" s="59">
        <v>1250</v>
      </c>
      <c r="O15" s="60">
        <v>1600</v>
      </c>
      <c r="P15" s="61">
        <v>1500</v>
      </c>
    </row>
    <row r="16" spans="1:16" ht="20.149999999999999" customHeight="1" thickBot="1" x14ac:dyDescent="0.4">
      <c r="A16" s="56" t="s">
        <v>39</v>
      </c>
      <c r="B16" s="57" t="s">
        <v>31</v>
      </c>
      <c r="C16" s="62" t="s">
        <v>32</v>
      </c>
      <c r="D16" s="58" t="s">
        <v>33</v>
      </c>
      <c r="E16" s="59">
        <v>800</v>
      </c>
      <c r="F16" s="59">
        <v>450</v>
      </c>
      <c r="G16" s="59">
        <v>800</v>
      </c>
      <c r="H16" s="59">
        <v>700</v>
      </c>
      <c r="I16" s="59">
        <v>1000</v>
      </c>
      <c r="J16" s="59">
        <v>1000</v>
      </c>
      <c r="K16" s="59">
        <v>1000</v>
      </c>
      <c r="L16" s="59">
        <v>1000</v>
      </c>
      <c r="M16" s="60">
        <v>1250</v>
      </c>
      <c r="N16" s="59">
        <v>1250</v>
      </c>
      <c r="O16" s="60">
        <v>1600</v>
      </c>
      <c r="P16" s="61">
        <v>1500</v>
      </c>
    </row>
    <row r="17" spans="1:18" ht="20.149999999999999" customHeight="1" thickBot="1" x14ac:dyDescent="0.4">
      <c r="A17" s="56" t="s">
        <v>39</v>
      </c>
      <c r="B17" s="57" t="s">
        <v>31</v>
      </c>
      <c r="C17" s="62" t="s">
        <v>34</v>
      </c>
      <c r="D17" s="58" t="s">
        <v>40</v>
      </c>
      <c r="E17" s="59">
        <v>800</v>
      </c>
      <c r="F17" s="59">
        <v>500</v>
      </c>
      <c r="G17" s="59">
        <v>800</v>
      </c>
      <c r="H17" s="59">
        <v>700</v>
      </c>
      <c r="I17" s="59">
        <v>1000</v>
      </c>
      <c r="J17" s="59">
        <v>1000</v>
      </c>
      <c r="K17" s="59">
        <v>1000</v>
      </c>
      <c r="L17" s="59">
        <v>1000</v>
      </c>
      <c r="M17" s="60">
        <v>1250</v>
      </c>
      <c r="N17" s="59">
        <v>1250</v>
      </c>
      <c r="O17" s="60">
        <v>1600</v>
      </c>
      <c r="P17" s="61">
        <v>1500</v>
      </c>
    </row>
    <row r="18" spans="1:18" ht="20.149999999999999" customHeight="1" thickBot="1" x14ac:dyDescent="0.4">
      <c r="A18" s="56" t="s">
        <v>41</v>
      </c>
      <c r="B18" s="57" t="s">
        <v>42</v>
      </c>
      <c r="C18" s="58" t="s">
        <v>26</v>
      </c>
      <c r="D18" s="58" t="s">
        <v>43</v>
      </c>
      <c r="E18" s="59">
        <v>1200</v>
      </c>
      <c r="F18" s="59">
        <v>1100</v>
      </c>
      <c r="G18" s="59">
        <v>1300</v>
      </c>
      <c r="H18" s="59">
        <v>1200</v>
      </c>
      <c r="I18" s="60">
        <v>1350</v>
      </c>
      <c r="J18" s="59">
        <v>1300</v>
      </c>
      <c r="K18" s="60">
        <v>1500</v>
      </c>
      <c r="L18" s="59">
        <v>1500</v>
      </c>
      <c r="M18" s="60">
        <v>1700</v>
      </c>
      <c r="N18" s="59">
        <v>1700</v>
      </c>
      <c r="O18" s="60">
        <v>2000</v>
      </c>
      <c r="P18" s="61">
        <v>2000</v>
      </c>
    </row>
    <row r="19" spans="1:18" ht="20.149999999999999" customHeight="1" thickBot="1" x14ac:dyDescent="0.4">
      <c r="A19" s="56" t="s">
        <v>44</v>
      </c>
      <c r="B19" s="57" t="s">
        <v>42</v>
      </c>
      <c r="C19" s="58" t="s">
        <v>26</v>
      </c>
      <c r="D19" s="58" t="s">
        <v>43</v>
      </c>
      <c r="E19" s="59">
        <v>1200</v>
      </c>
      <c r="F19" s="59">
        <v>1100</v>
      </c>
      <c r="G19" s="59">
        <v>1300</v>
      </c>
      <c r="H19" s="59">
        <v>1200</v>
      </c>
      <c r="I19" s="60">
        <v>1350</v>
      </c>
      <c r="J19" s="59">
        <v>1300</v>
      </c>
      <c r="K19" s="60">
        <v>1500</v>
      </c>
      <c r="L19" s="59">
        <v>1500</v>
      </c>
      <c r="M19" s="60">
        <v>1700</v>
      </c>
      <c r="N19" s="59">
        <v>1700</v>
      </c>
      <c r="O19" s="60">
        <v>2000</v>
      </c>
      <c r="P19" s="61">
        <v>2000</v>
      </c>
    </row>
    <row r="20" spans="1:18" ht="19.5" customHeight="1" thickBot="1" x14ac:dyDescent="0.4">
      <c r="A20" s="56" t="s">
        <v>45</v>
      </c>
      <c r="B20" s="57" t="s">
        <v>42</v>
      </c>
      <c r="C20" s="58" t="s">
        <v>26</v>
      </c>
      <c r="D20" s="58" t="s">
        <v>43</v>
      </c>
      <c r="E20" s="59">
        <v>1200</v>
      </c>
      <c r="F20" s="59">
        <v>1100</v>
      </c>
      <c r="G20" s="59">
        <v>1300</v>
      </c>
      <c r="H20" s="59">
        <v>1200</v>
      </c>
      <c r="I20" s="60">
        <v>1350</v>
      </c>
      <c r="J20" s="59">
        <v>1300</v>
      </c>
      <c r="K20" s="60">
        <v>1500</v>
      </c>
      <c r="L20" s="59">
        <v>1500</v>
      </c>
      <c r="M20" s="60">
        <v>1700</v>
      </c>
      <c r="N20" s="59">
        <v>1700</v>
      </c>
      <c r="O20" s="60">
        <v>2000</v>
      </c>
      <c r="P20" s="61">
        <v>2000</v>
      </c>
    </row>
    <row r="21" spans="1:18" ht="22.5" customHeight="1" thickBot="1" x14ac:dyDescent="0.5">
      <c r="A21" s="63" t="s">
        <v>46</v>
      </c>
      <c r="B21" s="64"/>
      <c r="C21" s="64"/>
      <c r="D21" s="64"/>
      <c r="E21" s="65" t="s">
        <v>11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6"/>
    </row>
    <row r="22" spans="1:18" ht="22.5" customHeight="1" thickBot="1" x14ac:dyDescent="0.4">
      <c r="A22" s="67"/>
      <c r="B22" s="68"/>
      <c r="C22" s="68"/>
      <c r="D22" s="69"/>
      <c r="E22" s="70" t="s">
        <v>12</v>
      </c>
      <c r="F22" s="46"/>
      <c r="G22" s="45" t="s">
        <v>13</v>
      </c>
      <c r="H22" s="46"/>
      <c r="I22" s="45" t="s">
        <v>14</v>
      </c>
      <c r="J22" s="46"/>
      <c r="K22" s="45" t="s">
        <v>15</v>
      </c>
      <c r="L22" s="46"/>
      <c r="M22" s="45" t="s">
        <v>16</v>
      </c>
      <c r="N22" s="46"/>
      <c r="O22" s="45" t="s">
        <v>17</v>
      </c>
      <c r="P22" s="47"/>
    </row>
    <row r="23" spans="1:18" ht="20.5" customHeight="1" thickBot="1" x14ac:dyDescent="0.4">
      <c r="A23" s="48" t="s">
        <v>18</v>
      </c>
      <c r="B23" s="49" t="s">
        <v>19</v>
      </c>
      <c r="C23" s="50" t="s">
        <v>20</v>
      </c>
      <c r="D23" s="51" t="s">
        <v>21</v>
      </c>
      <c r="E23" s="71" t="s">
        <v>22</v>
      </c>
      <c r="F23" s="53" t="s">
        <v>23</v>
      </c>
      <c r="G23" s="54" t="s">
        <v>22</v>
      </c>
      <c r="H23" s="53" t="s">
        <v>23</v>
      </c>
      <c r="I23" s="54" t="s">
        <v>22</v>
      </c>
      <c r="J23" s="53" t="s">
        <v>23</v>
      </c>
      <c r="K23" s="54" t="s">
        <v>22</v>
      </c>
      <c r="L23" s="53" t="s">
        <v>23</v>
      </c>
      <c r="M23" s="54" t="s">
        <v>22</v>
      </c>
      <c r="N23" s="53" t="s">
        <v>23</v>
      </c>
      <c r="O23" s="54" t="s">
        <v>22</v>
      </c>
      <c r="P23" s="55" t="s">
        <v>23</v>
      </c>
    </row>
    <row r="24" spans="1:18" ht="20.5" customHeight="1" thickTop="1" thickBot="1" x14ac:dyDescent="0.4">
      <c r="A24" s="56" t="s">
        <v>47</v>
      </c>
      <c r="B24" s="57" t="s">
        <v>48</v>
      </c>
      <c r="C24" s="62" t="s">
        <v>49</v>
      </c>
      <c r="D24" s="72" t="s">
        <v>50</v>
      </c>
      <c r="E24" s="73">
        <v>1100</v>
      </c>
      <c r="F24" s="74">
        <v>1150</v>
      </c>
      <c r="G24" s="75">
        <v>1100</v>
      </c>
      <c r="H24" s="76">
        <v>1150</v>
      </c>
      <c r="I24" s="76">
        <v>1500</v>
      </c>
      <c r="J24" s="76">
        <v>1400</v>
      </c>
      <c r="K24" s="76">
        <v>1500</v>
      </c>
      <c r="L24" s="76">
        <v>1400</v>
      </c>
      <c r="M24" s="76">
        <v>1900</v>
      </c>
      <c r="N24" s="76">
        <v>1800</v>
      </c>
      <c r="O24" s="76">
        <v>2400</v>
      </c>
      <c r="P24" s="77">
        <v>2300</v>
      </c>
    </row>
    <row r="25" spans="1:18" ht="20.5" customHeight="1" thickTop="1" thickBot="1" x14ac:dyDescent="0.4">
      <c r="A25" s="56" t="s">
        <v>51</v>
      </c>
      <c r="B25" s="57" t="s">
        <v>48</v>
      </c>
      <c r="C25" s="62" t="s">
        <v>49</v>
      </c>
      <c r="D25" s="78" t="s">
        <v>50</v>
      </c>
      <c r="E25" s="73">
        <v>1100</v>
      </c>
      <c r="F25" s="74">
        <v>1150</v>
      </c>
      <c r="G25" s="75">
        <v>1100</v>
      </c>
      <c r="H25" s="76">
        <v>1150</v>
      </c>
      <c r="I25" s="76">
        <v>1500</v>
      </c>
      <c r="J25" s="76">
        <v>1400</v>
      </c>
      <c r="K25" s="76">
        <v>1500</v>
      </c>
      <c r="L25" s="76">
        <v>1400</v>
      </c>
      <c r="M25" s="76">
        <v>1900</v>
      </c>
      <c r="N25" s="76">
        <v>1800</v>
      </c>
      <c r="O25" s="76">
        <v>2400</v>
      </c>
      <c r="P25" s="77">
        <v>2300</v>
      </c>
    </row>
    <row r="26" spans="1:18" ht="20.5" customHeight="1" thickTop="1" thickBot="1" x14ac:dyDescent="0.4">
      <c r="A26" s="56" t="s">
        <v>52</v>
      </c>
      <c r="B26" s="57" t="s">
        <v>53</v>
      </c>
      <c r="C26" s="62" t="s">
        <v>49</v>
      </c>
      <c r="D26" s="78" t="s">
        <v>50</v>
      </c>
      <c r="E26" s="73">
        <v>1100</v>
      </c>
      <c r="F26" s="74">
        <v>1150</v>
      </c>
      <c r="G26" s="75">
        <v>1100</v>
      </c>
      <c r="H26" s="76">
        <v>1150</v>
      </c>
      <c r="I26" s="76">
        <v>1500</v>
      </c>
      <c r="J26" s="76">
        <v>1400</v>
      </c>
      <c r="K26" s="76">
        <v>1500</v>
      </c>
      <c r="L26" s="76">
        <v>1400</v>
      </c>
      <c r="M26" s="76">
        <v>1900</v>
      </c>
      <c r="N26" s="76">
        <v>1800</v>
      </c>
      <c r="O26" s="76">
        <v>2400</v>
      </c>
      <c r="P26" s="77">
        <v>2300</v>
      </c>
    </row>
    <row r="27" spans="1:18" ht="20.5" customHeight="1" thickBot="1" x14ac:dyDescent="0.4">
      <c r="A27" s="56" t="s">
        <v>54</v>
      </c>
      <c r="B27" s="57" t="s">
        <v>48</v>
      </c>
      <c r="C27" s="62" t="s">
        <v>49</v>
      </c>
      <c r="D27" s="78" t="s">
        <v>50</v>
      </c>
      <c r="E27" s="79">
        <v>1200</v>
      </c>
      <c r="F27" s="80">
        <v>1350</v>
      </c>
      <c r="G27" s="81">
        <v>1200</v>
      </c>
      <c r="H27" s="80">
        <v>1350</v>
      </c>
      <c r="I27" s="80">
        <v>1600</v>
      </c>
      <c r="J27" s="80">
        <v>1600</v>
      </c>
      <c r="K27" s="80">
        <v>1600</v>
      </c>
      <c r="L27" s="80">
        <v>1600</v>
      </c>
      <c r="M27" s="80">
        <v>2000</v>
      </c>
      <c r="N27" s="80">
        <v>2000</v>
      </c>
      <c r="O27" s="80">
        <v>2500</v>
      </c>
      <c r="P27" s="82">
        <v>2500</v>
      </c>
      <c r="R27" s="83"/>
    </row>
    <row r="28" spans="1:18" x14ac:dyDescent="0.35">
      <c r="A28" s="84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6"/>
      <c r="R28" s="87"/>
    </row>
    <row r="29" spans="1:18" x14ac:dyDescent="0.35">
      <c r="A29" s="88" t="s">
        <v>55</v>
      </c>
      <c r="B29" s="89"/>
      <c r="C29" s="89"/>
      <c r="D29" s="89"/>
      <c r="E29" s="90" t="s">
        <v>56</v>
      </c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6"/>
      <c r="R29" s="87"/>
    </row>
    <row r="30" spans="1:18" x14ac:dyDescent="0.35">
      <c r="A30" s="91" t="s">
        <v>57</v>
      </c>
      <c r="B30" s="89"/>
      <c r="C30" s="89"/>
      <c r="D30" s="89"/>
      <c r="E30" s="92" t="s">
        <v>58</v>
      </c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6"/>
    </row>
    <row r="31" spans="1:18" x14ac:dyDescent="0.35">
      <c r="A31" s="91" t="s">
        <v>59</v>
      </c>
      <c r="B31" s="89"/>
      <c r="C31" s="89"/>
      <c r="D31" s="89"/>
      <c r="E31" s="92" t="s">
        <v>60</v>
      </c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6"/>
    </row>
    <row r="32" spans="1:18" x14ac:dyDescent="0.35">
      <c r="A32" s="91" t="s">
        <v>61</v>
      </c>
      <c r="B32" s="89"/>
      <c r="C32" s="89"/>
      <c r="D32" s="89"/>
      <c r="E32" s="92" t="s">
        <v>62</v>
      </c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6"/>
    </row>
    <row r="33" spans="1:16" x14ac:dyDescent="0.35">
      <c r="A33" s="91" t="s">
        <v>63</v>
      </c>
      <c r="B33" s="89"/>
      <c r="C33" s="89"/>
      <c r="D33" s="89"/>
      <c r="E33" s="92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6"/>
    </row>
    <row r="34" spans="1:16" x14ac:dyDescent="0.35">
      <c r="A34" s="91" t="s">
        <v>64</v>
      </c>
      <c r="B34" s="89"/>
      <c r="C34" s="89"/>
      <c r="D34" s="89"/>
      <c r="E34" s="92" t="s">
        <v>65</v>
      </c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6"/>
    </row>
    <row r="35" spans="1:16" x14ac:dyDescent="0.35">
      <c r="A35" s="91" t="s">
        <v>66</v>
      </c>
      <c r="B35" s="89"/>
      <c r="C35" s="89"/>
      <c r="D35" s="89"/>
      <c r="E35" s="92" t="s">
        <v>67</v>
      </c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6"/>
    </row>
    <row r="36" spans="1:16" x14ac:dyDescent="0.35">
      <c r="A36" s="91"/>
      <c r="B36" s="89"/>
      <c r="C36" s="89"/>
      <c r="D36" s="89"/>
      <c r="E36" s="92" t="s">
        <v>68</v>
      </c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</row>
    <row r="37" spans="1:16" x14ac:dyDescent="0.35">
      <c r="A37" s="93"/>
      <c r="B37" s="94"/>
      <c r="C37" s="94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6"/>
    </row>
    <row r="38" spans="1:16" x14ac:dyDescent="0.35">
      <c r="P38" t="s">
        <v>69</v>
      </c>
    </row>
    <row r="39" spans="1:16" ht="25.5" customHeight="1" x14ac:dyDescent="0.35">
      <c r="A39" s="97" t="str">
        <f>A1</f>
        <v>Rate Sheet for Special Equipment / Direct Ports only</v>
      </c>
      <c r="B39" s="98"/>
      <c r="C39" s="98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100" t="str">
        <f>O1</f>
        <v>Hamburg, 20.3.2026</v>
      </c>
      <c r="P39" s="101"/>
    </row>
    <row r="40" spans="1:16" ht="20.149999999999999" customHeight="1" x14ac:dyDescent="0.5">
      <c r="A40" s="6" t="s">
        <v>2</v>
      </c>
      <c r="B40" s="7"/>
      <c r="C40" s="7"/>
      <c r="D40" s="8"/>
      <c r="E40" s="9"/>
      <c r="F40" s="8"/>
      <c r="G40" s="102"/>
      <c r="H40" s="10"/>
      <c r="I40" s="10"/>
      <c r="J40" s="10"/>
      <c r="K40" s="11"/>
      <c r="L40" s="11"/>
      <c r="M40" s="11"/>
      <c r="N40" s="12"/>
      <c r="O40" s="12"/>
      <c r="P40" s="13"/>
    </row>
    <row r="41" spans="1:16" ht="20.149999999999999" customHeight="1" x14ac:dyDescent="0.5">
      <c r="A41" s="14" t="s">
        <v>5</v>
      </c>
      <c r="B41" s="15"/>
      <c r="C41" s="15"/>
      <c r="D41" s="15"/>
      <c r="E41" s="16"/>
      <c r="F41" s="17"/>
      <c r="G41" s="17"/>
      <c r="H41" s="17"/>
      <c r="I41" s="17"/>
      <c r="J41" s="17"/>
      <c r="K41" s="17"/>
      <c r="L41" s="18"/>
      <c r="M41" s="19"/>
      <c r="N41" s="20"/>
      <c r="O41" s="20"/>
      <c r="P41" s="21"/>
    </row>
    <row r="42" spans="1:16" ht="20.149999999999999" customHeight="1" x14ac:dyDescent="0.5">
      <c r="A42" s="14" t="s">
        <v>7</v>
      </c>
      <c r="B42" s="15"/>
      <c r="C42" s="15"/>
      <c r="D42" s="15"/>
      <c r="E42" s="103" t="str">
        <f>E3</f>
        <v>RATE AGREEMENT/SERVICE CONTRACT: WGB2000001</v>
      </c>
      <c r="F42" s="104"/>
      <c r="G42" s="104"/>
      <c r="H42" s="104"/>
      <c r="I42" s="104"/>
      <c r="J42" s="104"/>
      <c r="K42" s="104"/>
      <c r="L42" s="105"/>
      <c r="M42" s="19"/>
      <c r="N42" s="20"/>
      <c r="O42" s="20"/>
      <c r="P42" s="21"/>
    </row>
    <row r="43" spans="1:16" ht="4.5" customHeight="1" x14ac:dyDescent="0.35">
      <c r="A43" s="106"/>
      <c r="B43" s="107"/>
      <c r="C43" s="107"/>
      <c r="D43" s="107"/>
      <c r="E43" s="108"/>
      <c r="F43" s="109"/>
      <c r="G43" s="109"/>
      <c r="H43" s="109"/>
      <c r="I43" s="109"/>
      <c r="J43" s="109"/>
      <c r="K43" s="109"/>
      <c r="L43" s="110"/>
      <c r="M43" s="111"/>
      <c r="N43" s="112"/>
      <c r="O43" s="112"/>
      <c r="P43" s="113"/>
    </row>
    <row r="44" spans="1:16" s="116" customFormat="1" ht="8.15" customHeight="1" x14ac:dyDescent="0.35">
      <c r="A44" s="114"/>
      <c r="B44" s="115"/>
      <c r="C44" s="115"/>
      <c r="P44" s="117"/>
    </row>
    <row r="45" spans="1:16" ht="17.5" customHeight="1" x14ac:dyDescent="0.35">
      <c r="A45" s="118" t="s">
        <v>70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19"/>
    </row>
    <row r="46" spans="1:16" ht="17.5" customHeight="1" x14ac:dyDescent="0.35">
      <c r="A46" s="118" t="s">
        <v>71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19"/>
    </row>
    <row r="47" spans="1:16" ht="17.5" customHeight="1" x14ac:dyDescent="0.35">
      <c r="A47" s="118" t="s">
        <v>72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19"/>
    </row>
    <row r="48" spans="1:16" ht="17.5" customHeight="1" x14ac:dyDescent="0.35">
      <c r="A48" s="118" t="s">
        <v>73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19"/>
    </row>
    <row r="49" spans="1:16" ht="17.5" customHeight="1" x14ac:dyDescent="0.35">
      <c r="A49" s="120" t="s">
        <v>74</v>
      </c>
      <c r="P49" s="121"/>
    </row>
    <row r="50" spans="1:16" ht="17.5" customHeight="1" x14ac:dyDescent="0.35">
      <c r="A50" s="122" t="s">
        <v>75</v>
      </c>
      <c r="B50" s="123"/>
      <c r="C50" s="123"/>
      <c r="D50" s="123"/>
      <c r="P50" s="121"/>
    </row>
    <row r="51" spans="1:16" ht="17.5" customHeight="1" x14ac:dyDescent="0.35">
      <c r="A51" s="120" t="s">
        <v>76</v>
      </c>
      <c r="P51" s="121"/>
    </row>
    <row r="52" spans="1:16" ht="17.5" customHeight="1" x14ac:dyDescent="0.35">
      <c r="A52" s="120" t="s">
        <v>77</v>
      </c>
      <c r="P52" s="121"/>
    </row>
    <row r="53" spans="1:16" s="116" customFormat="1" ht="17.5" customHeight="1" x14ac:dyDescent="0.35">
      <c r="A53" s="114"/>
      <c r="B53" s="115"/>
      <c r="C53" s="115"/>
      <c r="P53" s="117"/>
    </row>
    <row r="54" spans="1:16" s="126" customFormat="1" ht="17.5" customHeight="1" x14ac:dyDescent="0.35">
      <c r="A54" s="124" t="s">
        <v>78</v>
      </c>
      <c r="B54" s="125"/>
      <c r="C54" s="125"/>
      <c r="P54" s="127"/>
    </row>
    <row r="55" spans="1:16" s="126" customFormat="1" ht="17.5" customHeight="1" x14ac:dyDescent="0.35">
      <c r="A55" s="128" t="s">
        <v>79</v>
      </c>
      <c r="B55" s="125"/>
      <c r="C55" s="125"/>
      <c r="P55" s="127"/>
    </row>
    <row r="56" spans="1:16" s="126" customFormat="1" ht="17.5" customHeight="1" x14ac:dyDescent="0.35">
      <c r="A56" s="128" t="s">
        <v>80</v>
      </c>
      <c r="B56" s="125"/>
      <c r="C56" s="125"/>
      <c r="P56" s="127"/>
    </row>
    <row r="57" spans="1:16" s="126" customFormat="1" ht="17.5" customHeight="1" x14ac:dyDescent="0.35">
      <c r="A57" s="128" t="s">
        <v>81</v>
      </c>
      <c r="B57" s="125"/>
      <c r="C57" s="125"/>
      <c r="P57" s="127"/>
    </row>
    <row r="58" spans="1:16" s="126" customFormat="1" ht="17.5" customHeight="1" x14ac:dyDescent="0.35">
      <c r="A58" s="128" t="s">
        <v>82</v>
      </c>
      <c r="B58" s="125"/>
      <c r="C58" s="125"/>
      <c r="P58" s="127"/>
    </row>
    <row r="59" spans="1:16" s="126" customFormat="1" ht="17.5" customHeight="1" x14ac:dyDescent="0.35">
      <c r="A59" s="128" t="s">
        <v>83</v>
      </c>
      <c r="B59" s="125"/>
      <c r="C59" s="125"/>
      <c r="P59" s="127"/>
    </row>
    <row r="60" spans="1:16" s="126" customFormat="1" ht="17.5" customHeight="1" x14ac:dyDescent="0.35">
      <c r="A60" s="128" t="s">
        <v>84</v>
      </c>
      <c r="B60" s="125"/>
      <c r="C60" s="125"/>
      <c r="P60" s="127"/>
    </row>
    <row r="61" spans="1:16" s="126" customFormat="1" ht="17.5" customHeight="1" x14ac:dyDescent="0.35">
      <c r="A61" s="128" t="s">
        <v>85</v>
      </c>
      <c r="B61" s="125"/>
      <c r="C61" s="125"/>
      <c r="P61" s="127"/>
    </row>
    <row r="62" spans="1:16" ht="13.5" customHeight="1" x14ac:dyDescent="0.35">
      <c r="A62" s="129"/>
      <c r="P62" s="121"/>
    </row>
    <row r="63" spans="1:16" ht="13.5" customHeight="1" x14ac:dyDescent="0.35">
      <c r="A63" s="129"/>
      <c r="P63" s="121"/>
    </row>
    <row r="64" spans="1:16" ht="13.5" customHeight="1" x14ac:dyDescent="0.35">
      <c r="A64" s="129"/>
      <c r="P64" s="121"/>
    </row>
    <row r="65" spans="1:16" ht="13.5" customHeight="1" x14ac:dyDescent="0.35">
      <c r="A65" s="129"/>
      <c r="P65" s="121"/>
    </row>
    <row r="66" spans="1:16" ht="13.5" customHeight="1" x14ac:dyDescent="0.35">
      <c r="A66" s="129"/>
      <c r="P66" s="121"/>
    </row>
    <row r="67" spans="1:16" ht="13.5" customHeight="1" x14ac:dyDescent="0.35">
      <c r="A67" s="129"/>
      <c r="P67" s="121"/>
    </row>
    <row r="68" spans="1:16" ht="13.5" customHeight="1" x14ac:dyDescent="0.35">
      <c r="A68" s="129"/>
      <c r="P68" s="121"/>
    </row>
    <row r="69" spans="1:16" ht="13.5" customHeight="1" x14ac:dyDescent="0.35">
      <c r="A69" s="129"/>
      <c r="P69" s="121"/>
    </row>
    <row r="70" spans="1:16" ht="13.5" customHeight="1" x14ac:dyDescent="0.35">
      <c r="A70" s="129"/>
      <c r="P70" s="121"/>
    </row>
    <row r="71" spans="1:16" ht="13.5" customHeight="1" x14ac:dyDescent="0.35">
      <c r="A71" s="129"/>
      <c r="P71" s="121"/>
    </row>
    <row r="72" spans="1:16" ht="13.5" customHeight="1" x14ac:dyDescent="0.35">
      <c r="A72" s="129"/>
      <c r="P72" s="121"/>
    </row>
    <row r="73" spans="1:16" ht="13.5" customHeight="1" x14ac:dyDescent="0.35">
      <c r="A73" s="129"/>
      <c r="P73" s="121"/>
    </row>
    <row r="74" spans="1:16" ht="13.5" customHeight="1" x14ac:dyDescent="0.35">
      <c r="A74" s="129"/>
      <c r="P74" s="121"/>
    </row>
    <row r="75" spans="1:16" ht="13.5" customHeight="1" x14ac:dyDescent="0.35">
      <c r="A75" s="129"/>
      <c r="P75" s="121"/>
    </row>
    <row r="76" spans="1:16" ht="13.5" customHeight="1" x14ac:dyDescent="0.35">
      <c r="A76" s="129"/>
      <c r="P76" s="121"/>
    </row>
    <row r="77" spans="1:16" ht="13.5" customHeight="1" x14ac:dyDescent="0.35">
      <c r="A77" s="129"/>
      <c r="M77" s="130" t="s">
        <v>2</v>
      </c>
      <c r="P77" s="121"/>
    </row>
    <row r="78" spans="1:16" ht="13.5" customHeight="1" x14ac:dyDescent="0.35">
      <c r="A78" s="129"/>
      <c r="M78" s="130" t="s">
        <v>5</v>
      </c>
      <c r="P78" s="121"/>
    </row>
    <row r="79" spans="1:16" ht="13.5" customHeight="1" x14ac:dyDescent="0.35">
      <c r="A79" s="129"/>
      <c r="M79" s="131" t="s">
        <v>86</v>
      </c>
      <c r="N79" s="130"/>
      <c r="P79" s="121"/>
    </row>
    <row r="80" spans="1:16" ht="13.5" customHeight="1" x14ac:dyDescent="0.35">
      <c r="A80" s="129"/>
      <c r="M80" s="132" t="s">
        <v>87</v>
      </c>
      <c r="N80" s="131"/>
      <c r="P80" s="121"/>
    </row>
    <row r="81" spans="1:16" ht="16.5" customHeight="1" thickBot="1" x14ac:dyDescent="0.4">
      <c r="A81" s="133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5" t="s">
        <v>88</v>
      </c>
      <c r="N81" s="134"/>
      <c r="O81" s="134"/>
      <c r="P81" s="136"/>
    </row>
    <row r="82" spans="1:16" x14ac:dyDescent="0.35">
      <c r="P82" t="s">
        <v>89</v>
      </c>
    </row>
  </sheetData>
  <mergeCells count="28">
    <mergeCell ref="A47:P47"/>
    <mergeCell ref="A48:P48"/>
    <mergeCell ref="A39:N39"/>
    <mergeCell ref="O39:P39"/>
    <mergeCell ref="E41:L41"/>
    <mergeCell ref="E43:L43"/>
    <mergeCell ref="A45:P45"/>
    <mergeCell ref="A46:P46"/>
    <mergeCell ref="K8:L8"/>
    <mergeCell ref="M8:N8"/>
    <mergeCell ref="O8:P8"/>
    <mergeCell ref="E21:P21"/>
    <mergeCell ref="E22:F22"/>
    <mergeCell ref="G22:H22"/>
    <mergeCell ref="I22:J22"/>
    <mergeCell ref="K22:L22"/>
    <mergeCell ref="M22:N22"/>
    <mergeCell ref="O22:P22"/>
    <mergeCell ref="A1:N1"/>
    <mergeCell ref="O1:P1"/>
    <mergeCell ref="E3:L3"/>
    <mergeCell ref="E4:L4"/>
    <mergeCell ref="E6:P6"/>
    <mergeCell ref="A7:D8"/>
    <mergeCell ref="E7:P7"/>
    <mergeCell ref="E8:F8"/>
    <mergeCell ref="G8:H8"/>
    <mergeCell ref="I8:J8"/>
  </mergeCells>
  <pageMargins left="0.70866141732283472" right="0.70866141732283472" top="0.74803149606299213" bottom="0.55118110236220474" header="0.31496062992125984" footer="0.31496062992125984"/>
  <pageSetup paperSize="9" scale="70" fitToHeight="0" orientation="landscape" r:id="rId1"/>
  <rowBreaks count="1" manualBreakCount="1">
    <brk id="38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OOG</vt:lpstr>
      <vt:lpstr>OOG!Print_Area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Soyeon Seo</dc:creator>
  <cp:lastModifiedBy>Soyeon Seo</cp:lastModifiedBy>
  <dcterms:created xsi:type="dcterms:W3CDTF">2026-03-19T16:05:44Z</dcterms:created>
  <dcterms:modified xsi:type="dcterms:W3CDTF">2026-03-19T16:05:45Z</dcterms:modified>
</cp:coreProperties>
</file>